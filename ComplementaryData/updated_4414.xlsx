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1630" tabRatio="887" firstSheet="1" activeTab="4"/>
  </bookViews>
  <sheets>
    <sheet name="RXNS" sheetId="1" r:id="rId1"/>
    <sheet name="updated_grRules" sheetId="2" r:id="rId2"/>
    <sheet name="updated_MetNames" sheetId="3" r:id="rId3"/>
    <sheet name="updated_RxnECs" sheetId="4" r:id="rId4"/>
    <sheet name="new_Reactions2" sheetId="18" r:id="rId5"/>
    <sheet name="subSystem" sheetId="19" r:id="rId6"/>
  </sheets>
  <externalReferences>
    <externalReference r:id="rId7"/>
  </externalReferences>
  <definedNames>
    <definedName name="_xlnm._FilterDatabase" localSheetId="0" hidden="1">RXNS!$A$1:$X$954</definedName>
    <definedName name="_xlnm._FilterDatabase" localSheetId="3" hidden="1">updated_RxnECs!$A$1:$B$1131</definedName>
    <definedName name="_xlnm._FilterDatabase" localSheetId="4" hidden="1">new_Reactions2!$A$1:$U$317</definedName>
    <definedName name="_xlnm._FilterDatabase" localSheetId="5" hidden="1">subSystem!$A$1:$B$2708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<sst xmlns="http://schemas.openxmlformats.org/spreadsheetml/2006/main" count="18655" uniqueCount="8273">
  <si>
    <t>#</t>
  </si>
  <si>
    <t>ID</t>
  </si>
  <si>
    <t>iTN656</t>
  </si>
  <si>
    <t>exact id</t>
  </si>
  <si>
    <t>iTN656 NAME</t>
  </si>
  <si>
    <t>NAME</t>
  </si>
  <si>
    <t>exact name</t>
  </si>
  <si>
    <t>iTN656 EQUATION</t>
  </si>
  <si>
    <t>iTN656 ECNUMBER</t>
  </si>
  <si>
    <t>EQUATION</t>
  </si>
  <si>
    <t>EC-NUMBER</t>
  </si>
  <si>
    <t>exact equation</t>
  </si>
  <si>
    <t>exact EC number</t>
  </si>
  <si>
    <t>GENE ASSOCIATION</t>
  </si>
  <si>
    <t>LOWER BOUND</t>
  </si>
  <si>
    <t>UPPER BOUND</t>
  </si>
  <si>
    <t>OBJECTIVE</t>
  </si>
  <si>
    <t>COMPARTMENT</t>
  </si>
  <si>
    <t>MIRIAM</t>
  </si>
  <si>
    <t>SUBSYSTEM</t>
  </si>
  <si>
    <t>REPLACEMENT ID</t>
  </si>
  <si>
    <t>NOTE</t>
  </si>
  <si>
    <t>REFERENCE</t>
  </si>
  <si>
    <t>CONFIDENCE SCORE</t>
  </si>
  <si>
    <t>2HXICDH</t>
  </si>
  <si>
    <t>L-2-hydroxyisocaproate dehydrogenase</t>
  </si>
  <si>
    <t>4-Methyl-2-oxopentanoate[c] + H+[c] + Nicotinamide adenine dinucleotide - reduced[c] &lt;=&gt; L-2-hydroxyisocaproate[c] + Nicotinamide adenine dinucleotide[c]</t>
  </si>
  <si>
    <t>GCODGGCH_00286 or GCODGGCH_00416 or GCODGGCH_00725 or GCODGGCH_01127 or GCODGGCH_00286 or GCODGGCH_00416 or GCODGGCH_00725 or GCODGGCH_01127 or GCODGGCH_01664</t>
  </si>
  <si>
    <t>bigg.reaction/2HXICDH;sbo/SBO:0000375</t>
  </si>
  <si>
    <t>unclassified</t>
  </si>
  <si>
    <t>Included by getModelFromHomology</t>
  </si>
  <si>
    <t>AACPS183</t>
  </si>
  <si>
    <t>Acyl-[acyl-carrier-protein] synthetase (n-C18:3)</t>
  </si>
  <si>
    <t>acyl carrier protein[c] + ATP[c] + octadecynoate (n-C18:3)[c] =&gt; AMP[c] + octadecatrienoyl-ACP (n-C18:3ACP)[c] + Diphosphate[c]</t>
  </si>
  <si>
    <t>Fatty acid metabolism</t>
  </si>
  <si>
    <t>additional rxns from AC5 model</t>
  </si>
  <si>
    <t>AALDH</t>
  </si>
  <si>
    <t>aryl-alcohol dehydrogenase</t>
  </si>
  <si>
    <t>1.1.1.90; 1.1.1.1</t>
  </si>
  <si>
    <t>H+[c] + Nicotinamide adenine dinucleotide - reduced[c] + Phenylacetaldehyde[c] &lt;=&gt; Phenylethyl alcohol[c] + Nicotinamide adenine dinucleotide[c]</t>
  </si>
  <si>
    <t>GCODGGCH_01833 or GCODGGCH_01132 or GCODGGCH_01342</t>
  </si>
  <si>
    <t>bigg.reaction/AALDH;sbo/SBO:0000375</t>
  </si>
  <si>
    <t>Phenylalanine metabolism</t>
  </si>
  <si>
    <t>ABTA</t>
  </si>
  <si>
    <t>4-aminobutyrate transaminase</t>
  </si>
  <si>
    <t>2.6.1.19</t>
  </si>
  <si>
    <t>4-Aminobutanoate[c] + 2-Oxoglutarate[c] =&gt; L-Glutamate[c] + Succinic semialdehyde[c]</t>
  </si>
  <si>
    <t>GCODGGCH_01879</t>
  </si>
  <si>
    <t>kegg.reaction/R01648;metanetx.reaction/MNXR95186;biocyc/META:GABATRANSAM-RXN;rhea/23352;rhea/23353;rhea/23354;rhea/23355;bigg.reaction/ABTA;sbo/SBO:0000375</t>
  </si>
  <si>
    <t>Alanine, aspartate and glutamate metabolism</t>
  </si>
  <si>
    <t>AC5_BIOMASS</t>
  </si>
  <si>
    <t>AC5 specific Biomass reaction</t>
  </si>
  <si>
    <t>0.4717 capsular polysaccharide linkage unit, LRE specific[c] + 0.0054 Lipids specific for L.reuteri[c] + 0.0154 Lipoteichoic acid specific for L.reuteri[c] + 0.1211 peptidoglycan with D-lac as C-terminal residue to form pentadepsipeptide[c] + 0.0002 Pseudo Coenzyme B12 (Co-alpha-[alpha-(adenin-7-yl)]-Co-beta-adenosylcobamide)[c] + 49.7 ATP[c] + 1e-05 Biotin[c] + 0.0002 Coenzyme A[c] + 1e-05 Reduced glutathione[c] + 49.7 H2O[c] + 0.0625 DNA, AC5 specific[c] + 2.8925 Protein, AC5 specific[c] + 0.2861 RNA, AC5 specific[c] + 0.0002 Nicotinamide adenine dinucleotide[c] + 1e-05 Pyridoxal 5'-phosphate[c] + 0.0002 Riboflavin[c] + 0.0002 5,6,7,8-Tetrahydrofolate[c] + 1e-05 Thiamine diphosphate[c] + 0.0002 Undecaprenyl diphosphate[c] =&gt; 49.7 ADP[c] + 49.7 H+[c] + Biomass, AC5 specific[c] + 49.7 Phosphate[c]</t>
  </si>
  <si>
    <t>biomass</t>
  </si>
  <si>
    <t>AC5_DNA</t>
  </si>
  <si>
    <t>AC5 specific DNA synthesis</t>
  </si>
  <si>
    <t>29.37 ATP[c] + 0.3035 dATP[c] + 0.1965 dCTP[c] + 0.1965 dGTP[c] + 0.3035 dTTP[c] + 29.37 H2O[c] =&gt; 29.37 ADP[c] + 29.37 H+[c] + DNA, AC5 specific[c] + 29.37 Phosphate[c]</t>
  </si>
  <si>
    <t>pseudo reaction</t>
  </si>
  <si>
    <t>AC5_GROWTH</t>
  </si>
  <si>
    <t>Biomass, AC5 specific</t>
  </si>
  <si>
    <t xml:space="preserve">Biomass, AC5 specific[c] =&gt; </t>
  </si>
  <si>
    <t>exchange</t>
  </si>
  <si>
    <t>AC5_PROTEIN</t>
  </si>
  <si>
    <t>AC5 specific protein synthesis</t>
  </si>
  <si>
    <t>0.047 L-Alanyl-tRNA(Ala)[c] + 0.061 L-Arginyl-tRNA(Arg)[c] + 0.058 L-Asparaginyl-tRNA(Asn)[c] + 0.03 L-Aspartyl-tRNA(Asp)[c] + 0.306 ATP[c] + 0.039 L-Cysteinyl-tRNA(Cys)[c] + 0.039 L-Glutaminyl-tRNA(Gln)[c] + 0.029 L-Glutamyl-tRNA(Glu)[c] + 0.042 Glycyl-tRNA(Gly)[c] + 12 GTP[c] + 12.306 H2O[c] + 0.031 L-Histidyl-tRNA(His)[c] + 0.08 L-Isoleucyl-tRNA(Ile)[c] + 0.117 L-Leucyl-tRNA(Leu)[c] + 0.059 L-Lysine-tRNA (Lys)[c] + 0.019 L-Methionyl-tRNA (Met)[c] + 0.06 L-Phenylalanyl-tRNA(Phe)[c] + 0.044 L-Prolyl-tRNA(Pro)[c] + 0.093 L-Seryl-tRNA(Ser)[c] + 0.055 L-Threonyl-tRNA(Thr)[c] + 0.016 L-Tryptophanyl-tRNA(Trp)[c] + 0.036 L-Tyrosyl-tRNA(Tyr)[c] + 0.054 L-Valyl-tRNA(Val)[c] =&gt; 0.306 ADP[c] + 12 GDP[c] + 12.306 H+[c] + Protein, AC5 specific[c] + 12.306 Phosphate[c] + 0.047 tRNA(Ala)[c] + 0.061 tRNA(Arg)[c] + 0.058 tRNA(Asn)[c] + 0.03 tRNA(Asp)[c] + 0.039 tRNA(Cys)[c] + 0.068 tRNA (Glu)[c] + 0.042 tRNA(Gly)[c] + 0.031 tRNA(His)[c] + 0.08 tRNA(Ile)[c] + 0.117 tRNA(Leu)[c] + 0.059 tRNA(Lys)[c] + 0.019 tRNA(Met)[c] + 0.06 tRNA(Phe)[c] + 0.044 tRNA(Pro)[c] + 0.093 tRNA(Ser)[c] + 0.055 tRNA(Thr)[c] + 0.016 tRNA(Trp)[c] + 0.036 tRNA(Tyr)[c] + 0.054 tRNA(Val)[c]</t>
  </si>
  <si>
    <t>AC5_RNA</t>
  </si>
  <si>
    <t>AC5 specific RNA synthesis</t>
  </si>
  <si>
    <t>27.2 ATP[c] + 0.196 CTP[c] + 0.1895 GTP[c] + 27.2 H2O[c] + 0.3088 UTP[c] =&gt; 27.2 ADP[c] + 27.2 H+[c] + RNA, AC5 specific[c] + 27.2 Phosphate[c]</t>
  </si>
  <si>
    <t>ACACT1r</t>
  </si>
  <si>
    <t>acetyl-CoA C-acetyltransferase</t>
  </si>
  <si>
    <t>2.3.1.9</t>
  </si>
  <si>
    <t>2 Acetyl-CoA[c] &lt;=&gt; Acetoacetyl-CoA[c] + Coenzyme A[c]</t>
  </si>
  <si>
    <t>GCODGGCH_01099</t>
  </si>
  <si>
    <t>kegg.reaction/R00238;metanetx.reaction/MNXR95194;biocyc/META:ACETYL-COA-ACETYLTRANSFER-RXN;rhea/21036;rhea/21037;rhea/21038;rhea/21039;bigg.reaction/ACACT1r;sbo/SBO:0000375</t>
  </si>
  <si>
    <t>Pyruvate metabolism</t>
  </si>
  <si>
    <t>ACALD</t>
  </si>
  <si>
    <t>acetaldehyde dehydrogenase (acetylating)</t>
  </si>
  <si>
    <t>1.2.1.10</t>
  </si>
  <si>
    <t>Acetaldehyde[c] + Coenzyme A[c] + Nicotinamide adenine dinucleotide[c] &lt;=&gt; Acetyl-CoA[c] + H+[c] + Nicotinamide adenine dinucleotide - reduced[c]</t>
  </si>
  <si>
    <t>GCODGGCH_00336</t>
  </si>
  <si>
    <t>kegg.reaction/R00228;metanetx.reaction/MNXR95210;biocyc/META:ACETALD-DEHYDROG-RXN;rhea/23288;rhea/23289;rhea/23290;rhea/23291;bigg.reaction/ACALD;sbo/SBO:0000375</t>
  </si>
  <si>
    <t>ACBIPGT</t>
  </si>
  <si>
    <t>Adenosyl cobainamide GTP transferase</t>
  </si>
  <si>
    <t>2.7.7.62</t>
  </si>
  <si>
    <t>Adenosyl cobinamide phosphate[c] + GTP[c] + H+[c] =&gt; Adenosine-GDP-cobinamide[c] + Diphosphate[c]</t>
  </si>
  <si>
    <t>Porphyrin and Chlorophyll metabolism</t>
  </si>
  <si>
    <t>ACCOAC</t>
  </si>
  <si>
    <t>acetyl-CoA carboxylase</t>
  </si>
  <si>
    <t>6.4.1.2</t>
  </si>
  <si>
    <t>Acetyl-CoA[c] + ATP[c] + Bicarbonate[c] =&gt; ADP[c] + H+[c] + Malonyl-CoA[c] + Phosphate[c]</t>
  </si>
  <si>
    <t>GCODGGCH_00383 and GCODGGCH_00376 and GCODGGCH_00380 and GCODGGCH_00379 and (GCODGGCH_00378 or GCODGGCH_01125 or GCODGGCH_01126 or GCODGGCH_01869)</t>
  </si>
  <si>
    <t>kegg.reaction/R00742;metanetx.reaction/MNXR95219;biocyc/META:ACETYL-COA-CARBOXYLTRANSFER-RXN;rhea/11308;rhea/11309;rhea/11310;rhea/11311;bigg.reaction/ACCOAC;sbo/SBO:0000375</t>
  </si>
  <si>
    <t>ACGK</t>
  </si>
  <si>
    <t>acetylglutamate kinase</t>
  </si>
  <si>
    <t>2.7.2.8</t>
  </si>
  <si>
    <t>N-Acetyl-L-glutamate[c] + ATP[c] =&gt; N-Acetyl-L-glutamyl 5-phosphate[c] + ADP[c]</t>
  </si>
  <si>
    <t>Arginine biosynthesis</t>
  </si>
  <si>
    <t>ACHBS</t>
  </si>
  <si>
    <t>2-aceto-2-hydroxybutanoate synthase</t>
  </si>
  <si>
    <t>2.2.1.6</t>
  </si>
  <si>
    <t>2-Oxobutanoate[c] + H+[c] + Pyruvate[c] =&gt; (S)-2-Aceto-2-hydroxybutanoate[c] + CO2[c]</t>
  </si>
  <si>
    <t>GCODGGCH_01043</t>
  </si>
  <si>
    <t>kegg.reaction/R08648;metanetx.reaction/MNXR95260;biocyc/META:ACETOOHBUTSYN-RXN;rhea/27654;rhea/27655;rhea/27656;rhea/27657;bigg.reaction/ACHBS;sbo/SBO:0000375</t>
  </si>
  <si>
    <t>Valine, leucine and isoleucine biosynthesis</t>
  </si>
  <si>
    <t>ACKr</t>
  </si>
  <si>
    <t>acetate kinase</t>
  </si>
  <si>
    <t>2.7.2.1; 2.7.2.15</t>
  </si>
  <si>
    <t>Acetate[c] + ATP[c] &lt;=&gt; Acetyl phosphate[c] + ADP[c]</t>
  </si>
  <si>
    <t>GCODGGCH_00660 or GCODGGCH_00660 or GCODGGCH_00660</t>
  </si>
  <si>
    <t>kegg.reaction/R00315;metanetx.reaction/MNXR95269;biocyc/META:ACETATEKIN-RXN;rhea/11352;rhea/11353;rhea/11354;rhea/11355;bigg.reaction/ACKr;sbo/SBO:0000375</t>
  </si>
  <si>
    <t>ACLDC</t>
  </si>
  <si>
    <t>acetolactate decarboxylase</t>
  </si>
  <si>
    <t>4.1.1.5</t>
  </si>
  <si>
    <t>(S)-2-Acetolactate[c] + H+[c] =&gt; (R)-Acetoin[c] + CO2[c]</t>
  </si>
  <si>
    <t>Butanoate metabolism</t>
  </si>
  <si>
    <t>ACLS</t>
  </si>
  <si>
    <t>acetolactate synthase (Also catalyzes ACHBS)</t>
  </si>
  <si>
    <t>H+[c] + 2 Pyruvate[c] =&gt; (S)-2-Acetolactate[c] + CO2[c]</t>
  </si>
  <si>
    <t>kegg.reaction/R00226;metanetx.reaction/MNXR95271;biocyc/META:ACETOLACTSYN-RXN;rhea/25249;rhea/25250;rhea/25251;rhea/25252;bigg.reaction/ACLS;sbo/SBO:0000375</t>
  </si>
  <si>
    <t>ACOTA</t>
  </si>
  <si>
    <t>acetylornithine transaminase</t>
  </si>
  <si>
    <t>2.6.1.11</t>
  </si>
  <si>
    <t>N2-Acetyl-L-ornithine[c] + 2-Oxoglutarate[c] &lt;=&gt; N-Acetyl-L-glutamate 5-semialdehyde[c] + L-Glutamate[c]</t>
  </si>
  <si>
    <t>GCODGGCH_00064 or GCODGGCH_01349 or GCODGGCH_00064 or GCODGGCH_01349</t>
  </si>
  <si>
    <t>kegg.reaction/R02283;metanetx.reaction/MNXR95388;biocyc/META:ACETYLORNTRANSAM-RXN;rhea/18049;rhea/18050;rhea/18051;rhea/18052;bigg.reaction/ACOTA;sbo/SBO:0000375</t>
  </si>
  <si>
    <t>ACPS2</t>
  </si>
  <si>
    <t>acyl-carrier protein synthase</t>
  </si>
  <si>
    <t>2.7.8.7</t>
  </si>
  <si>
    <t>apoprotein [acyl carrier protein][c] + Coenzyme A[c] =&gt; acyl carrier protein[c] + H+[c] + Adenosine 3',5'-bisphosphate[c]</t>
  </si>
  <si>
    <t>GCODGGCH_00247</t>
  </si>
  <si>
    <t>bigg.reaction/ACPS2;sbo/SBO:0000375</t>
  </si>
  <si>
    <t>Pantothenate and CoA biosynthesis</t>
  </si>
  <si>
    <t>ACTD</t>
  </si>
  <si>
    <t>acetoin dehydrogenase</t>
  </si>
  <si>
    <t>1.1.1.303</t>
  </si>
  <si>
    <t>(R)-Acetoin[c] + Nicotinamide adenine dinucleotide[c] &lt;=&gt; Diacetyl[c] + H+[c] + Nicotinamide adenine dinucleotide - reduced[c]</t>
  </si>
  <si>
    <t>GCODGGCH_01718</t>
  </si>
  <si>
    <t>kegg.reaction/R02855;metanetx.reaction/MNXR95419;biocyc/META:RXN-11036;rhea/22900;rhea/22901;rhea/22902;rhea/22903;bigg.reaction/ACTD;sbo/SBO:0000375</t>
  </si>
  <si>
    <t>ACTPASE</t>
  </si>
  <si>
    <t>acylphosphatase</t>
  </si>
  <si>
    <t>3.6.1.7</t>
  </si>
  <si>
    <t>Acetyl phosphate[c] + H2O[c] =&gt; Acetate[c] + H+[c] + Phosphate[c]</t>
  </si>
  <si>
    <t>pyruvate metabolism</t>
  </si>
  <si>
    <t>ACt6</t>
  </si>
  <si>
    <t>acetate transport in/out via proton symport</t>
  </si>
  <si>
    <t>Acetate[e] + H+[e] &lt;=&gt; Acetate[c] + H+[c]</t>
  </si>
  <si>
    <t>transport</t>
  </si>
  <si>
    <t>ADA</t>
  </si>
  <si>
    <t>Adenosine deaminase</t>
  </si>
  <si>
    <t>3.5.4.4</t>
  </si>
  <si>
    <t>Adenosine[c] + H2O[c] + H+[c] =&gt; Inosine[c] + Ammonium[c]</t>
  </si>
  <si>
    <t>GCODGGCH_00342</t>
  </si>
  <si>
    <t>kegg.reaction/R01560;metanetx.reaction/MNXR95432;biocyc/META:ADENODEAMIN-RXN;rhea/24408;rhea/24409;rhea/24410;rhea/24411;bigg.reaction/ADA;sbo/SBO:0000375</t>
  </si>
  <si>
    <t>Purine metabolism</t>
  </si>
  <si>
    <t>ADCOBAPS</t>
  </si>
  <si>
    <t>Adenosylcobinamide-phosphate synthase</t>
  </si>
  <si>
    <t>6.3.1.10</t>
  </si>
  <si>
    <t>adenosyl-cobyric acid[c] + D-1-Aminopropan-2-ol O-phosphate[c] + ATP[c] =&gt; Adenosyl cobinamide phosphate[c] + ADP[c] + H+[c] + Phosphate[c]</t>
  </si>
  <si>
    <t>ADCPS1</t>
  </si>
  <si>
    <t>adenosyl-cobyric acid[c] + 1-Aminopropan-2-ol[c] + ATP[c] &lt;=&gt; Adenosyl cobinamide[c] + ADP[c] + H+[c] + Phosphate[c]</t>
  </si>
  <si>
    <t>Porphyrin and chlorophyll metabolism</t>
  </si>
  <si>
    <t>ADEADOCBLPP</t>
  </si>
  <si>
    <t>Adenine Adenosylcobalamide phosphate phosphatase</t>
  </si>
  <si>
    <t>3.1.3.73</t>
  </si>
  <si>
    <t>Co-alpha-[alpha-(adenin-9-yl)]-Co-beta-adenosylcobamide 5-phosphate[c] + H2O[c] =&gt; Pseudo Coenzyme B12 (Co-alpha-[alpha-(adenin-7-yl)]-Co-beta-adenosylcobamide)[c] + Phosphate[c]</t>
  </si>
  <si>
    <t>ADEADOCBLS</t>
  </si>
  <si>
    <t>Adenine Adenosylcobalamin 5-phosphate synthase</t>
  </si>
  <si>
    <t>2.7.8.26</t>
  </si>
  <si>
    <t>Adenosine-GDP-cobinamide[c] + adenine ribotide phosphate (7-(5-phospho-α-D-ribosyl)adenine)[c] =&gt; Co-alpha-[alpha-(adenin-9-yl)]-Co-beta-adenosylcobamide 5-phosphate[c] + GMP[c] + H+[c]</t>
  </si>
  <si>
    <t>ADEt2</t>
  </si>
  <si>
    <t>adenine transport via proton symport (reversible)</t>
  </si>
  <si>
    <t>Adenine[e] + H+[e] &lt;=&gt; Adenine[c] + H+[c]</t>
  </si>
  <si>
    <t>ADK1</t>
  </si>
  <si>
    <t>adenylate kinase</t>
  </si>
  <si>
    <t>2.7.4.3</t>
  </si>
  <si>
    <t>AMP[c] + ATP[c] =&gt; 2 ADP[c]</t>
  </si>
  <si>
    <t>GCODGGCH_01733</t>
  </si>
  <si>
    <t>kegg.reaction/R00127;metanetx.reaction/MNXR95450;biocyc/META:ADENYL-KIN-RXN;rhea/12973;rhea/12974;rhea/12975;rhea/12976;bigg.reaction/ADK1;sbo/SBO:0000375</t>
  </si>
  <si>
    <t>ADOCBIK</t>
  </si>
  <si>
    <t>Adenosyl cobinamide kinase</t>
  </si>
  <si>
    <t>2.7.1.156</t>
  </si>
  <si>
    <t>Adenosyl cobinamide[c] + ATP[c] =&gt; Adenosyl cobinamide phosphate[c] + ADP[c] + H+[c]</t>
  </si>
  <si>
    <t>ADPDS</t>
  </si>
  <si>
    <t>acetyl-diaminopimelate deacetylase</t>
  </si>
  <si>
    <t>3.5.1.47</t>
  </si>
  <si>
    <t>H2O[c] + H+[c] + N6-Acetyl-LL-2,6-diaminoheptanedioate[c] =&gt; LL-2,6-Diaminoheptanedioate[c] + Acetate[c]</t>
  </si>
  <si>
    <t>GCODGGCH_01261</t>
  </si>
  <si>
    <t>bigg.reaction/ADPDS;sbo/SBO:0000375</t>
  </si>
  <si>
    <t>Lysine biosynthesis</t>
  </si>
  <si>
    <t>ADPRDP</t>
  </si>
  <si>
    <t>ADPribose diphosphatase</t>
  </si>
  <si>
    <t>3.6.1.13</t>
  </si>
  <si>
    <t>ADPribose[c] + H2O[c] =&gt; AMP[c] + 2 H+[c] + alpha-D-Ribose 5-phosphate[c]</t>
  </si>
  <si>
    <t>GCODGGCH_00719</t>
  </si>
  <si>
    <t>metanetx.reaction/MNXR95480;bigg.reaction/ADPRDP;sbo/SBO:0000375</t>
  </si>
  <si>
    <t>ADPT</t>
  </si>
  <si>
    <t>adenine phosphoribosyltransferase</t>
  </si>
  <si>
    <t>2.4.2.7; 2.4.2.8</t>
  </si>
  <si>
    <t>Adenine[c] + 5-Phospho-alpha-D-ribose 1-diphosphate[c] =&gt; AMP[c] + Diphosphate[c]</t>
  </si>
  <si>
    <t>GCODGGCH_00257 or GCODGGCH_00257</t>
  </si>
  <si>
    <t>kegg.reaction/R00190;metanetx.reaction/MNXR95482;biocyc/META:ADENPRIBOSYLTRAN-RXN;rhea/16609;rhea/16610;rhea/16611;rhea/16612;bigg.reaction/ADPT;sbo/SBO:0000375</t>
  </si>
  <si>
    <t>ADPTA</t>
  </si>
  <si>
    <t>acetyldiaminopimelate transaminase</t>
  </si>
  <si>
    <t>2.6.1.-</t>
  </si>
  <si>
    <t>2-Oxoglutarate[c] + H+[c] + N6-Acetyl-LL-2,6-diaminoheptanedioate[c] &lt;=&gt; N-Acetyl-L-2-amino-6-oxopimelate[c] + L-Glutamate[c]</t>
  </si>
  <si>
    <t>GCODGGCH_00037 or GCODGGCH_00146 or GCODGGCH_01258 or GCODGGCH_00036 or GCODGGCH_00037 or GCODGGCH_00146 or GCODGGCH_01258 or GCODGGCH_00036 or GCODGGCH_00037 or GCODGGCH_00146 or GCODGGCH_01258 or GCODGGCH_00036 or GCODGGCH_00037 or GCODGGCH_00146 or GCODGGCH_01258</t>
  </si>
  <si>
    <t>bigg.reaction/ADPTA;sbo/SBO:0000375</t>
  </si>
  <si>
    <t>ADSL1r</t>
  </si>
  <si>
    <t>adenylosuccinate lyase</t>
  </si>
  <si>
    <t>4.3.2.2</t>
  </si>
  <si>
    <t>N6-(1,2-Dicarboxyethyl)-AMP[c] &lt;=&gt; AMP[c] + Fumarate[c]</t>
  </si>
  <si>
    <t>GCODGGCH_00131</t>
  </si>
  <si>
    <t>kegg.reaction/R01083;metanetx.reaction/MNXR95493;biocyc/META:AMPSYN-RXN;rhea/16853;rhea/16854;rhea/16855;rhea/16856;bigg.reaction/ADSL1r;sbo/SBO:0000375</t>
  </si>
  <si>
    <t>ADSL2r</t>
  </si>
  <si>
    <t>(S)-2-[5-Amino-1-(5-phospho-D-ribosyl)imidazole-4-carboxamido]succinate[c] &lt;=&gt; 5-Amino-1-(5-Phospho-D-ribosyl)imidazole-4-carboxamide[c] + Fumarate[c]</t>
  </si>
  <si>
    <t>metanetx.reaction/MNXR95494;biocyc/META:AICARSYN-RXN;bigg.reaction/ADSL2r;sbo/SBO:0000375</t>
  </si>
  <si>
    <t>ADSS</t>
  </si>
  <si>
    <t>adenylosuccinate synthetase</t>
  </si>
  <si>
    <t>6.3.4.4</t>
  </si>
  <si>
    <t>L-Aspartate[c] + GTP[c] + IMP[c] =&gt; N6-(1,2-Dicarboxyethyl)-AMP[c] + GDP[c] + 2 H+[c] + Phosphate[c]</t>
  </si>
  <si>
    <t>GCODGGCH_00050</t>
  </si>
  <si>
    <t>kegg.reaction/R01135;metanetx.reaction/MNXR95495;biocyc/META:ADENYLOSUCCINATE-SYNTHASE-RXN;rhea/15753;rhea/15754;rhea/15755;rhea/15756;bigg.reaction/ADSS;sbo/SBO:0000375</t>
  </si>
  <si>
    <t>purine metabolism</t>
  </si>
  <si>
    <t>AGAT_LRE</t>
  </si>
  <si>
    <t>1-Acyl-glycerol-3-phosphate acyltransferase (Lb reuteri specific)</t>
  </si>
  <si>
    <t>2.3.1.51</t>
  </si>
  <si>
    <t>1-Acyl-sn-glycerol 3-phosphate[c] + 0.0211 cyclopropanoyl octadecanoyl-[acyl-carrier protein][c] + 0.0258 Hexadecenoyl-ACP (n-C16:1ACP)[c] + 0.075 Octadecanoyl-[acyl-carrier protein][c] + 0.0418 octadecatrienoyl-ACP (n-C18:3ACP)[c] + 0.3519 Octadecynoyl-ACP (n-C18:2ACP)[c] + 0.1591 Octadecenoyl-ACP (n-C18:1ACP)[c] + 0.2566 Palmitoyl-ACP (n-C16:0ACP)[c] + 0.0687 Tetradecanoyl-[acyl-carrier protein][c] =&gt; acyl carrier protein[c] + phosphatidic acid (Lb reuteri specific)[c]</t>
  </si>
  <si>
    <t>GCODGGCH_00807</t>
  </si>
  <si>
    <t>Glycerolipid metabolism</t>
  </si>
  <si>
    <t>AGPR</t>
  </si>
  <si>
    <t>N-acetyl-g-glutamyl-phosphate reductase</t>
  </si>
  <si>
    <t>1.2.1.38</t>
  </si>
  <si>
    <t>N-Acetyl-L-glutamate 5-semialdehyde[c] + Nicotinamide adenine dinucleotide phosphate[c] + Phosphate[c] &lt;=&gt; N-Acetyl-L-glutamyl 5-phosphate[c] + H+[c] + Nicotinamide adenine dinucleotide phosphate - reduced[c]</t>
  </si>
  <si>
    <t>AHCYSNS</t>
  </si>
  <si>
    <t>adenosylhomocysteine nucleosidase</t>
  </si>
  <si>
    <t>3.2.2.9</t>
  </si>
  <si>
    <t>S-Adenosyl-L-homocysteine[c] + H2O[c] =&gt; Adenine[c] + S-Ribosyl-L-homocysteine[c]</t>
  </si>
  <si>
    <t>GCODGGCH_00721</t>
  </si>
  <si>
    <t>kegg.reaction/R00194;metanetx.reaction/MNXR95625;biocyc/META:ADENOSYLHOMOCYSTEINE-NUCLEOSIDASE-RXN;rhea/17805;rhea/17806;rhea/17807;rhea/17808;bigg.reaction/AHCYSNS;sbo/SBO:0000375</t>
  </si>
  <si>
    <t>Cysteine and methionine metabolism</t>
  </si>
  <si>
    <t>AHMMPS</t>
  </si>
  <si>
    <t>4-amino-5-hydroxymethyl-2-methylpyrimidine synthetase</t>
  </si>
  <si>
    <t>4.1.99.17</t>
  </si>
  <si>
    <t>5-amino-1-(5-phospho-D-ribosyl)imidazole[c] + H2O[c] =&gt; 4-Amino-5-hydroxymethyl-2-methylpyrimidine[c] + Glycolaldehyde[c] + 0.5 O2[c] + Phosphate[c]</t>
  </si>
  <si>
    <t>Thiamine metabolism</t>
  </si>
  <si>
    <t>AICART</t>
  </si>
  <si>
    <t>phosphoribosylaminoimidazolecarboxamide formyltransferase</t>
  </si>
  <si>
    <t>2.1.2.3</t>
  </si>
  <si>
    <t>10-Formyltetrahydrofolate[c] + 5-Amino-1-(5-Phospho-D-ribosyl)imidazole-4-carboxamide[c] &lt;=&gt; 5-Formamido-1-(5-phospho-D-ribosyl)imidazole-4-carboxamide[c] + 5,6,7,8-Tetrahydrofolate[c]</t>
  </si>
  <si>
    <t>GCODGGCH_00141</t>
  </si>
  <si>
    <t>kegg.reaction/R04560;metanetx.reaction/MNXR95639;rhea/22192;rhea/22193;rhea/22194;rhea/22195;bigg.reaction/AICART;sbo/SBO:0000375</t>
  </si>
  <si>
    <t>AIRC</t>
  </si>
  <si>
    <t>phosphoribosylaminoimidazole carboxylase</t>
  </si>
  <si>
    <t>4.1.1.21</t>
  </si>
  <si>
    <t>5-amino-1-(5-phospho-D-ribosyl)imidazole[c] + CO2[c] =&gt; 5-amino-1-(5-phospho-D-ribosyl)imidazole-4-carboxylate[c] + H+[c]</t>
  </si>
  <si>
    <t>GCODGGCH_01715 or GCODGGCH_00130 or GCODGGCH_00129</t>
  </si>
  <si>
    <t>ALALAC</t>
  </si>
  <si>
    <t>D-alanine-D-lactate ligase (reversible)</t>
  </si>
  <si>
    <t>6.1.2.1</t>
  </si>
  <si>
    <t>D-Alanine[c] + ATP[c] + D-Lactate[c] &lt;=&gt; ADP[c] + D-Alanyl-D-lactate[c] + Phosphate[c]</t>
  </si>
  <si>
    <t>GCODGGCH_00525</t>
  </si>
  <si>
    <t>Alanine metabolism</t>
  </si>
  <si>
    <t>ALAR</t>
  </si>
  <si>
    <t>alanine racemase</t>
  </si>
  <si>
    <t>5.1.1.1</t>
  </si>
  <si>
    <t>L-Alanine[c] &lt;=&gt; D-Alanine[c]</t>
  </si>
  <si>
    <t>GCODGGCH_00248</t>
  </si>
  <si>
    <t>kegg.reaction/R00401;metanetx.reaction/MNXR95693;biocyc/META:ALARACECAT-RXN;rhea/20249;rhea/20250;rhea/20251;rhea/20252;bigg.reaction/ALAR;sbo/SBO:0000375</t>
  </si>
  <si>
    <t>ALATA_Lr</t>
  </si>
  <si>
    <t>alanine transaminase</t>
  </si>
  <si>
    <t>2.6.1.30</t>
  </si>
  <si>
    <t>L-Alanine[c] + Pyridoxal[c] &lt;=&gt; Pyridoxamine[c] + Pyruvate[c]</t>
  </si>
  <si>
    <t>vitamin B6 metabolism</t>
  </si>
  <si>
    <t>ALATRS</t>
  </si>
  <si>
    <t>Alanyl-tRNA synthetase</t>
  </si>
  <si>
    <t>6.1.1.7</t>
  </si>
  <si>
    <t>L-Alanine[c] + ATP[c] + tRNA(Ala)[c] =&gt; L-Alanyl-tRNA(Ala)[c] + AMP[c] + Diphosphate[c]</t>
  </si>
  <si>
    <t>GCODGGCH_00628 or GCODGGCH_00628</t>
  </si>
  <si>
    <t>Aminoacyl-tRNA biosynthesis</t>
  </si>
  <si>
    <t>ALA_Lt6</t>
  </si>
  <si>
    <t>L-alanine transport in/out via proton symport</t>
  </si>
  <si>
    <t>L-Alanine[e] + H+[e] &lt;=&gt; L-Alanine[c] + H+[c]</t>
  </si>
  <si>
    <t>or GCODGGCH_00080 or GCODGGCH_01574 or GCODGGCH_00080 or GCODGGCH_01574</t>
  </si>
  <si>
    <t>ALCD19</t>
  </si>
  <si>
    <t>alcohol dehydrogenase (glycerol)</t>
  </si>
  <si>
    <t>1.1.1.21; 1.1.1.72; 1.1.1.2</t>
  </si>
  <si>
    <t>D-Glyceraldehyde[c] + H+[c] + Nicotinamide adenine dinucleotide - reduced[c] &lt;=&gt; Glycerol[c] + Nicotinamide adenine dinucleotide[c]</t>
  </si>
  <si>
    <t>GCODGGCH_00400</t>
  </si>
  <si>
    <t>kegg.reaction/R01036;metanetx.reaction/MNXR95709;rhea/30027;rhea/30028;rhea/30029;rhea/30030;bigg.reaction/ALCD19;sbo/SBO:0000375</t>
  </si>
  <si>
    <t>ALCD19_D</t>
  </si>
  <si>
    <t>alcohol dehydrogenase (D-glyceraldehyde to glycerol, NADP)</t>
  </si>
  <si>
    <t>1.1.1.2; 1.1.1.21; 1.1.1.372;1.1.1.72</t>
  </si>
  <si>
    <t>D-Glyceraldehyde[c] + H+[c] + Nicotinamide adenine dinucleotide phosphate - reduced[c] &lt;=&gt; Glycerol[c] + Nicotinamide adenine dinucleotide phosphate[c]</t>
  </si>
  <si>
    <t>GCODGGCH_00043 or GCODGGCH_00486 or GCODGGCH_01158</t>
  </si>
  <si>
    <t>ALCD19_L</t>
  </si>
  <si>
    <t>alcohol dehydrogenase (L-glyceraldehyde to glycerol, NADP)</t>
  </si>
  <si>
    <t>1.1.1.372</t>
  </si>
  <si>
    <t>L-Glyceraldehyde[c] + H+[c] + Nicotinamide adenine dinucleotide phosphate - reduced[c] &lt;=&gt; Glycerol[c] + Nicotinamide adenine dinucleotide phosphate[c]</t>
  </si>
  <si>
    <t>kegg.reaction/R10563;metanetx.reaction/MNXR95710;biocyc/META:RXN-11382;rhea/38111;rhea/38112;rhea/38113;rhea/38114;bigg.reaction/ALCD19_L;sbo/SBO:0000375</t>
  </si>
  <si>
    <t>ALCD23x</t>
  </si>
  <si>
    <t>2-methylpropanol dehydrogenase</t>
  </si>
  <si>
    <t>1.2.1.98</t>
  </si>
  <si>
    <t>2-methylpropanal[c] + H+[c] + Nicotinamide adenine dinucleotide - reduced[c] &lt;=&gt; 2-methylpropanol[c] + Nicotinamide adenine dinucleotide[c]</t>
  </si>
  <si>
    <t>ALCD2x</t>
  </si>
  <si>
    <t>alcohol dehydrogenase (ethanol: NAD)</t>
  </si>
  <si>
    <t>1.1.1.1; 1.1.1.71</t>
  </si>
  <si>
    <t>Ethanol[c] + Nicotinamide adenine dinucleotide[c] &lt;=&gt; Acetaldehyde[c] + H+[c] + Nicotinamide adenine dinucleotide - reduced[c]</t>
  </si>
  <si>
    <t>GCODGGCH_00400 or GCODGGCH_00336 or GCODGGCH_01767 or GCODGGCH_01767 or GCODGGCH_01767</t>
  </si>
  <si>
    <t>kegg.reaction/R00754;metanetx.reaction/MNXR95725;biocyc/META:ALCOHOL-DEHYDROG-RXN;rhea/25290;rhea/25291;rhea/25292;rhea/25293;bigg.reaction/ALCD2x;sbo/SBO:0000375</t>
  </si>
  <si>
    <t>ALCD3</t>
  </si>
  <si>
    <t>alcohol dehydrogenase (propanol)</t>
  </si>
  <si>
    <t>1.1.1.1; 1.2.1.98;1.1.1.202</t>
  </si>
  <si>
    <t>Nicotinamide adenine dinucleotide[c] + 1-Propanol[c] &lt;=&gt; H+[c] + Nicotinamide adenine dinucleotide - reduced[c] + Propanal[c]</t>
  </si>
  <si>
    <t>GCODGGCH_00844 or OLD_iTN656_AC5u0009GL001912</t>
  </si>
  <si>
    <t>Propanoate metabolism</t>
  </si>
  <si>
    <t>ALDD2x</t>
  </si>
  <si>
    <t>aldehyde dehydrogenase (acetaldehyde, NAD)</t>
  </si>
  <si>
    <t>1.2.1.3; 1.2.1.5</t>
  </si>
  <si>
    <t>Acetaldehyde[c] + H2O[c] + Nicotinamide adenine dinucleotide[c] =&gt; Acetate[c] + 2 H+[c] + Nicotinamide adenine dinucleotide - reduced[c]</t>
  </si>
  <si>
    <t>kegg.reaction/R00710;metanetx.reaction/MNXR95749;biocyc/META:RXN66-3;rhea/25294;rhea/25295;rhea/25296;rhea/25297;bigg.reaction/ALDD2x;sbo/SBO:0000375</t>
  </si>
  <si>
    <t>ALDD8x</t>
  </si>
  <si>
    <t>aldehyde dehydrogenase (D-glyceraldehyde, NAD)</t>
  </si>
  <si>
    <t>1.2.1.3</t>
  </si>
  <si>
    <t>D-Glyceraldehyde[c] + H2O[c] + Nicotinamide adenine dinucleotide[c] =&gt; (R)-Glycerate[c] + 2 H+[c] + Nicotinamide adenine dinucleotide - reduced[c]</t>
  </si>
  <si>
    <t>ALKP</t>
  </si>
  <si>
    <t>alkaline phosphatase</t>
  </si>
  <si>
    <t>3.1.3.-; 3.1.3.1; 3.1.3.2</t>
  </si>
  <si>
    <t>Dihydroxyacetone phosphate[c] + H2O[c] =&gt; Dihydroxyacetone[c] + Phosphate[c]</t>
  </si>
  <si>
    <t>GCODGGCH_01923 or GCODGGCH_01975 or GCODGGCH_01923 or GCODGGCH_01975 or OLD_iTN656_AC5u0009GL002025</t>
  </si>
  <si>
    <t>kegg.reaction/R01010;metanetx.reaction/MNXR95764;biocyc/META:RXN0-7249;rhea/51728;rhea/51729;rhea/51730;rhea/51731;bigg.reaction/ALKP;sbo/SBO:0000375</t>
  </si>
  <si>
    <t>Glycolysis / Gluconeogenesis</t>
  </si>
  <si>
    <t>ALR2</t>
  </si>
  <si>
    <t>aldose reductase (methylglyoxal)</t>
  </si>
  <si>
    <t>1.1.1.-</t>
  </si>
  <si>
    <t>H+[c] + Methylglyoxal[c] + Nicotinamide adenine dinucleotide phosphate - reduced[c] =&gt; Acetol cytosol[c] + Nicotinamide adenine dinucleotide phosphate[c]</t>
  </si>
  <si>
    <t>GCODGGCH_00776</t>
  </si>
  <si>
    <t>kegg.reaction/R02528;metanetx.reaction/MNXR95788;biocyc/META:RXN0-4281;rhea/27986;rhea/27987;rhea/27988;rhea/27989;bigg.reaction/ALR2;sbo/SBO:0000375</t>
  </si>
  <si>
    <t>ALR4x</t>
  </si>
  <si>
    <t>aldose reductase (acetol)</t>
  </si>
  <si>
    <t>1.1.1.6</t>
  </si>
  <si>
    <t>Acetol cytosol[c] + H+[c] + Nicotinamide adenine dinucleotide - reduced[c] =&gt; (R)-Propane-1,2-diol[c] + Nicotinamide adenine dinucleotide[c]</t>
  </si>
  <si>
    <t>metanetx.reaction/MNXR95790;bigg.reaction/ALR4x;sbo/SBO:0000375</t>
  </si>
  <si>
    <t>AMAA</t>
  </si>
  <si>
    <t>N-acetylmuramoyl-L-alanine amidase</t>
  </si>
  <si>
    <t>3.5.1.28</t>
  </si>
  <si>
    <t>N-Acetyl-D-muramoyl-L-alanine[c] + H2O[c] =&gt; N-Acetyl-D-muramoate[c] + L-Alanine[c]</t>
  </si>
  <si>
    <t>GCODGGCH_01640 or GCODGGCH_01640 or GCODGGCH_01642 or GCODGGCH_02108</t>
  </si>
  <si>
    <t>metanetx.reaction/MNXR95797;bigg.reaction/AMAA;sbo/SBO:0000375</t>
  </si>
  <si>
    <t>peptidoglycan biosynthesis</t>
  </si>
  <si>
    <t>AMMQT7</t>
  </si>
  <si>
    <t>S-adenosylmethione:2-demthylmenaquinone methyltransferase (menaquinone 7)</t>
  </si>
  <si>
    <t>2.1.1.163</t>
  </si>
  <si>
    <t>2-Demethylmenaquinone 7[c] + S-Adenosyl-L-methionine[c] + Nicotinamide adenine dinucleotide phosphate - reduced[c] =&gt; S-Adenosyl-L-homocysteine[c] + Menaquinol 7[c] + Nicotinamide adenine dinucleotide phosphate[c]</t>
  </si>
  <si>
    <t>GCODGGCH_00977</t>
  </si>
  <si>
    <t>metanetx.reaction/MNXR95821;bigg.reaction/AMMQT7;sbo/SBO:0000375</t>
  </si>
  <si>
    <t>Ubiquinone and other terpenoid-quinone biosynthesis</t>
  </si>
  <si>
    <t>AMMQT8_2</t>
  </si>
  <si>
    <t>S-adenosylmethione:2-demethylmenaquinone methyltransferase</t>
  </si>
  <si>
    <t>2-Demethylmenaquinone 8[c] + S-Adenosyl-L-methionine[c] =&gt; S-Adenosyl-L-homocysteine[c] + H+[c] + Menaquinone 8[c]</t>
  </si>
  <si>
    <t>metanetx.reaction/MNXR95823;bigg.reaction/AMMQT8_2;sbo/SBO:0000375</t>
  </si>
  <si>
    <t>AOBUTDs</t>
  </si>
  <si>
    <t>L-2-amino-3-oxobutanoate decarboxylation (spontaneous)</t>
  </si>
  <si>
    <t>1.1.1.381</t>
  </si>
  <si>
    <t>L-2-Amino-3-oxobutanoate[c] + H+[c] =&gt; Aminoacetone[c] + CO2[c]</t>
  </si>
  <si>
    <t>Glycine, serine and threonine metabolism</t>
  </si>
  <si>
    <t>AP4AH</t>
  </si>
  <si>
    <t>bis(5'-nucleosyl)-tetraphosphatase</t>
  </si>
  <si>
    <t>3.6.1.41</t>
  </si>
  <si>
    <t>P1,P4-Bis(5'-adenosyl) tetraphosphate[c] + H2O[c] =&gt; 2 ADP[c] + 2 H+[c]</t>
  </si>
  <si>
    <t>GCODGGCH_00920</t>
  </si>
  <si>
    <t>kegg.reaction/R00125;metanetx.reaction/MNXR95856;biocyc/META:3.6.1.41-RXN;rhea/24252;rhea/24253;rhea/24254;rhea/24255;bigg.reaction/AP4AH;sbo/SBO:0000375</t>
  </si>
  <si>
    <t>APAT</t>
  </si>
  <si>
    <t>apolipoprotein N-acyl transferase</t>
  </si>
  <si>
    <t>2.3.1.89</t>
  </si>
  <si>
    <t>Acetyl-CoA[c] + H2O[c] + 2,3,4,5-Tetrahydrodipicolinate[c] &lt;=&gt; N-Acetyl-L-2-amino-6-oxopimelate[c] + Coenzyme A[c]</t>
  </si>
  <si>
    <t>GCODGGCH_01262</t>
  </si>
  <si>
    <t>APPLDHr</t>
  </si>
  <si>
    <t>Aminopropanol dehydrogenase reversible</t>
  </si>
  <si>
    <t>1.1.1.75; 2.3.1.37</t>
  </si>
  <si>
    <t>Aminoacetone[c] + H+[c] + Nicotinamide adenine dinucleotide - reduced[c] &lt;=&gt; 1-Aminopropan-2-ol[c] + Nicotinamide adenine dinucleotide[c]</t>
  </si>
  <si>
    <t>kegg.reaction/R03759;metanetx.reaction/MNXR95894;biocyc/META:AMINOPROPDEHYDROG-RXN;rhea/16517;rhea/16518;rhea/16519;rhea/16520;bigg.reaction/APPLDHr;sbo/SBO:0000375</t>
  </si>
  <si>
    <t>APRAUR</t>
  </si>
  <si>
    <t>5-amino-6-(5-phosphoribosylamino)uracil reductase</t>
  </si>
  <si>
    <t>1.1.1.193</t>
  </si>
  <si>
    <t>5-Amino-6-(5'-phosphoribosylamino)uracil[c] + H+[c] + Nicotinamide adenine dinucleotide phosphate - reduced[c] =&gt; 5-Amino-6-(5'-phosphoribitylamino)uracil[c] + Nicotinamide adenine dinucleotide phosphate[c]</t>
  </si>
  <si>
    <t>GCODGGCH_00884</t>
  </si>
  <si>
    <t>kegg.reaction/R03458;metanetx.reaction/MNXR95898;biocyc/META:RIBOFLAVINSYNREDUC-RXN;rhea/17845;rhea/17846;rhea/17847;rhea/17848;bigg.reaction/APRAUR;sbo/SBO:0000375</t>
  </si>
  <si>
    <t>Riboflavin metabolism</t>
  </si>
  <si>
    <t>ARABRr</t>
  </si>
  <si>
    <t>arabinose reductase</t>
  </si>
  <si>
    <t>1.1.1.2; 1.1.1.21</t>
  </si>
  <si>
    <t>L-Arabinose[c] + H+[c] + Nicotinamide adenine dinucleotide phosphate - reduced[c] &lt;=&gt; L-Arabinitol[c] + Nicotinamide adenine dinucleotide phosphate[c]</t>
  </si>
  <si>
    <t>metanetx.reaction/MNXR95911;bigg.reaction/ARABRr;sbo/SBO:0000375</t>
  </si>
  <si>
    <t>Pentose phosphate pathway</t>
  </si>
  <si>
    <t>ARAI</t>
  </si>
  <si>
    <t>L-arabinose isomerase</t>
  </si>
  <si>
    <t>5.3.1.4; 5.3.1.5</t>
  </si>
  <si>
    <t>L-Arabinose[c] &lt;=&gt; L-Ribulose[c]</t>
  </si>
  <si>
    <t>Pentose and glucuronate interconversions</t>
  </si>
  <si>
    <t>ARBt2</t>
  </si>
  <si>
    <t>L-arabinose transport via proton symport</t>
  </si>
  <si>
    <t>L-Arabinose[e] + H+[e] &lt;=&gt; L-Arabinose[c] + H+[c]</t>
  </si>
  <si>
    <t>ARGDI</t>
  </si>
  <si>
    <t>arginine deiminase</t>
  </si>
  <si>
    <t>3.5.3.6</t>
  </si>
  <si>
    <t>L-Arginine[c] + H2O[c] =&gt; L-Citrulline[c] + Ammonium[c]</t>
  </si>
  <si>
    <t>GCODGGCH_00361</t>
  </si>
  <si>
    <t>ARGORNt3</t>
  </si>
  <si>
    <t>Arginine/ornithine antiporter</t>
  </si>
  <si>
    <t>L-Arginine[e] + L-Ornithine[c] &lt;=&gt; L-Arginine[c] + L-Ornithine[e]</t>
  </si>
  <si>
    <t>OLD_iTN656_AC5u0009GL000124 or GCODGGCH_01367 or GCODGGCH_01367 or GCODGGCH_00362 or GCODGGCH_00362 or OLD_iTN656_AC5u0009GL001484</t>
  </si>
  <si>
    <t>bigg.reaction/ARGORNt3;sbo/SBO:0000375</t>
  </si>
  <si>
    <t>ARGSL</t>
  </si>
  <si>
    <t>argininosuccinate lyase</t>
  </si>
  <si>
    <t>4.3.2.1</t>
  </si>
  <si>
    <t>N(omega)-(L-Arginino)succinate[c] &lt;=&gt; L-Arginine[c] + Fumarate[c]</t>
  </si>
  <si>
    <t>GCODGGCH_01886</t>
  </si>
  <si>
    <t>kegg.reaction/R01086;metanetx.reaction/MNXR95948;biocyc/META:ARGSUCCINLYA-RXN;rhea/24020;rhea/24021;rhea/24022;rhea/24023;bigg.reaction/ARGSL;sbo/SBO:0000375</t>
  </si>
  <si>
    <t>ARGSS</t>
  </si>
  <si>
    <t>argininosuccinate synthase</t>
  </si>
  <si>
    <t>6.3.4.5</t>
  </si>
  <si>
    <t>L-Aspartate[c] + ATP[c] + L-Citrulline[c] =&gt; AMP[c] + N(omega)-(L-Arginino)succinate[c] + H+[c] + Diphosphate[c]</t>
  </si>
  <si>
    <t>GCODGGCH_01887</t>
  </si>
  <si>
    <t>kegg.reaction/R01954;metanetx.reaction/MNXR95949;biocyc/META:ARGSUCCINSYN-RXN;rhea/10932;rhea/10933;rhea/10934;rhea/10935;bigg.reaction/ARGSS;sbo/SBO:0000375</t>
  </si>
  <si>
    <t>ARGTRS</t>
  </si>
  <si>
    <t>Arginyl-tRNA synthetase</t>
  </si>
  <si>
    <t>6.1.1.19</t>
  </si>
  <si>
    <t>L-Arginine[c] + ATP[c] + tRNA(Arg)[c] =&gt; AMP[c] + L-Arginyl-tRNA(Arg)[c] + Diphosphate[c]</t>
  </si>
  <si>
    <t>GCODGGCH_01542 or GCODGGCH_01542</t>
  </si>
  <si>
    <t>ARGabc</t>
  </si>
  <si>
    <t>L-arginine transport via ABC system</t>
  </si>
  <si>
    <t>3.6.3.21</t>
  </si>
  <si>
    <t>L-Arginine[e] + ATP[c] + H2O[c] =&gt; ADP[c] + L-Arginine[c] + H+[c] + Phosphate[c]</t>
  </si>
  <si>
    <t>GCODGGCH_01589 or GCODGGCH_00610 or OLD_iTN656_AC5u0009GL001684 or GCODGGCH_00610 or 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GCODGGCH_00611 or GCODGGCH_02113 or GCODGGCH_00062 or GCODGGCH_00079 or GCODGGCH_00611 or GCODGGCH_00758 or GCODGGCH_01302 or GCODGGCH_01309 or GCODGGCH_01896 or GCODGGCH_02085</t>
  </si>
  <si>
    <t>metanetx.reaction/MNXR95952;biocyc/META:ABC-4-RXN;rhea/29879#1;rhea/29880#1;rhea/29881#1;rhea/29882#1;bigg.reaction/ARGabc;sbo/SBO:0000375</t>
  </si>
  <si>
    <t>ARGt2</t>
  </si>
  <si>
    <t>L-arginine transport in via proton symport</t>
  </si>
  <si>
    <t>L-Arginine[e] + H+[e] =&gt; L-Arginine[c] + H+[c]</t>
  </si>
  <si>
    <t>ASAD</t>
  </si>
  <si>
    <t>aspartate-semialdehyde dehydrogenase</t>
  </si>
  <si>
    <t>1.2.1.11</t>
  </si>
  <si>
    <t>L-Aspartate 4-semialdehyde[c] + Nicotinamide adenine dinucleotide phosphate[c] + Phosphate[c] &lt;=&gt; 4-Phospho-L-aspartate[c] + H+[c] + Nicotinamide adenine dinucleotide phosphate - reduced[c]</t>
  </si>
  <si>
    <t>GCODGGCH_01257</t>
  </si>
  <si>
    <t>kegg.reaction/R02291;metanetx.reaction/MNXR96039;biocyc/META:ASPARTATE-SEMIALDEHYDE-DEHYDROGENASE-RXN;rhea/24284;rhea/24285;rhea/24286;rhea/24287;bigg.reaction/ASAD;sbo/SBO:0000375</t>
  </si>
  <si>
    <t>ASNN</t>
  </si>
  <si>
    <t>L-asparaginase</t>
  </si>
  <si>
    <t>3.5.1.1; 3.5.1.38; 3.5.5.4</t>
  </si>
  <si>
    <t>L-Asparagine[c] + H2O[c] =&gt; L-Aspartate[c] + Ammonium[c]</t>
  </si>
  <si>
    <t xml:space="preserve">Alanine, aspartate and glutamate metabolism
</t>
  </si>
  <si>
    <t>ASNS1</t>
  </si>
  <si>
    <t>asparagine synthase (glutamine-hydrolysing)</t>
  </si>
  <si>
    <t>6.3.5.4</t>
  </si>
  <si>
    <t>L-Aspartate[c] + ATP[c] + L-Glutamine[c] + H2O[c] =&gt; AMP[c] + L-Asparagine[c] + L-Glutamate[c] + H+[c] + Diphosphate[c]</t>
  </si>
  <si>
    <t>GCODGGCH_02144</t>
  </si>
  <si>
    <t>kegg.reaction/R00578;metanetx.reaction/MNXR96059;biocyc/META:ASNSYNB-RXN;rhea/12228;rhea/12229;rhea/12230;rhea/12231;bigg.reaction/ASNS1;sbo/SBO:0000375</t>
  </si>
  <si>
    <t>ASNS2</t>
  </si>
  <si>
    <t>asparagine synthetase</t>
  </si>
  <si>
    <t>6.3.1.1; 6.3.5.4</t>
  </si>
  <si>
    <t>L-Aspartate[c] + ATP[c] + Ammonium[c] =&gt; AMP[c] + L-Asparagine[c] + H+[c] + Diphosphate[c]</t>
  </si>
  <si>
    <t>GCODGGCH_01860</t>
  </si>
  <si>
    <t>kegg.reaction/R00483;metanetx.reaction/MNXR96060;biocyc/META:ASNSYNA-RXN;rhea/11372;rhea/11373;rhea/11374;rhea/11375;bigg.reaction/ASNS2;sbo/SBO:0000375</t>
  </si>
  <si>
    <t>ASNTRS</t>
  </si>
  <si>
    <t>Asparaginyl-tRNA synthetase</t>
  </si>
  <si>
    <t>6.1.1.22</t>
  </si>
  <si>
    <t>L-Asparagine[c] + ATP[c] + tRNA(Asn)[c] =&gt; AMP[c] + L-Asparaginyl-tRNA(Asn)[c] + Diphosphate[c]</t>
  </si>
  <si>
    <t>GCODGGCH_01380</t>
  </si>
  <si>
    <t>ASNt6</t>
  </si>
  <si>
    <t>L-asparagine transport in/out via proton symport</t>
  </si>
  <si>
    <t>L-Asparagine[e] + H+[e] &lt;=&gt; L-Asparagine[c] + H+[c]</t>
  </si>
  <si>
    <t>ASPCT</t>
  </si>
  <si>
    <t>aspartate carbamoyltransferase</t>
  </si>
  <si>
    <t>2.1.3.2</t>
  </si>
  <si>
    <t>L-Aspartate[c] + Carbamoyl phosphate[c] =&gt; N-Carbamoyl-L-aspartate[c] + H+[c] + Phosphate[c]</t>
  </si>
  <si>
    <t>GCODGGCH_01417</t>
  </si>
  <si>
    <t>kegg.reaction/R01397;metanetx.reaction/MNXR96080;biocyc/META:ASPCARBTRANS-RXN;rhea/20013;rhea/20014;rhea/20015;rhea/20016;bigg.reaction/ASPCT;sbo/SBO:0000375</t>
  </si>
  <si>
    <t>ASPK</t>
  </si>
  <si>
    <t>aspartate kinase</t>
  </si>
  <si>
    <t>2.7.2.4</t>
  </si>
  <si>
    <t>L-Aspartate[c] + ATP[c] =&gt; 4-Phospho-L-aspartate[c] + ADP[c]</t>
  </si>
  <si>
    <t>GCODGGCH_01264</t>
  </si>
  <si>
    <t>kegg.reaction/R00480;metanetx.reaction/MNXR96085;biocyc/META:ASPARTATEKIN-RXN;rhea/23776;rhea/23777;rhea/23778;rhea/23779;bigg.reaction/ASPK;sbo/SBO:0000375</t>
  </si>
  <si>
    <t>ASPR</t>
  </si>
  <si>
    <t>aspartase racemase</t>
  </si>
  <si>
    <t>5.1.1.13</t>
  </si>
  <si>
    <t>D-Aspartate[c] &lt;=&gt; L-Aspartate[c]</t>
  </si>
  <si>
    <t>GCODGGCH_00298</t>
  </si>
  <si>
    <t>kegg.reaction/R00491;metanetx.reaction/MNXR96097;biocyc/META:ASPARTATE-RACEMASE-RXN;rhea/14973;rhea/14974;rhea/14975;rhea/14976;bigg.reaction/ASPR;sbo/SBO:0000375</t>
  </si>
  <si>
    <t>ASPTA</t>
  </si>
  <si>
    <t>aspartate transaminase</t>
  </si>
  <si>
    <t>2.6.1.1</t>
  </si>
  <si>
    <t>2-Oxoglutarate[c] + L-Aspartate[c] &lt;=&gt; L-Glutamate[c] + Oxaloacetate[c]</t>
  </si>
  <si>
    <t>GCODGGCH_00406</t>
  </si>
  <si>
    <t>kegg.reaction/R00355;metanetx.reaction/MNXR96079;biocyc/META:ASPAMINOTRANS-RXN;biocyc/META:RXN-13697;rhea/21824;rhea/21825;rhea/21826;rhea/21827;bigg.reaction/ASPTA;sbo/SBO:0000375</t>
  </si>
  <si>
    <t>ASPTA2</t>
  </si>
  <si>
    <t>4-Hydroxy-L-glutamate[c] + 2-Oxoglutarate[c] &lt;=&gt; D-4-Hydroxy-2-oxoglutarate[c] + L-Glutamate[c]</t>
  </si>
  <si>
    <t>bigg.reaction/ASPTA2;sbo/SBO:0000375</t>
  </si>
  <si>
    <t>ASPTA4</t>
  </si>
  <si>
    <t>2-Oxoglutarate[c] + L-Cysteine[c] &lt;=&gt; L-Glutamate[c] + Mercaptopyruvate[c]</t>
  </si>
  <si>
    <t>bigg.reaction/ASPTA4;sbo/SBO:0000375</t>
  </si>
  <si>
    <t>ASPTA5</t>
  </si>
  <si>
    <t xml:space="preserve"> 2.6.1.1; 2.6.1.5; 2.6.1.57;2.6.1.1;2.6.1.9</t>
  </si>
  <si>
    <t>2-Oxoglutarate[c] + L-Tyrosine[c] &lt;=&gt; 3-(4-Hydroxyphenyl)pyruvate[c] + L-Glutamate[c]</t>
  </si>
  <si>
    <t>GCODGGCH_00037 or GCODGGCH_00146 or GCODGGCH_01258 or GCODGGCH_00036 or GCODGGCH_00037 or GCODGGCH_00146 or GCODGGCH_01258 or GCODGGCH_00406 or GCODGGCH_00036 or GCODGGCH_00037 or GCODGGCH_00146 or GCODGGCH_01258 or GCODGGCH_00036 or GCODGGCH_00037 or GCODGGCH_00146 or GCODGGCH_01258 or OLD_iTN656_AC5u0009GL001902</t>
  </si>
  <si>
    <t>Tyrosine metabolism</t>
  </si>
  <si>
    <t>ASPTA6</t>
  </si>
  <si>
    <t xml:space="preserve"> 2.6.1.42; 2.6.1.5; 2.6.1.57; 2.6.1.58; 2.6.1.9;2.6.1.1</t>
  </si>
  <si>
    <t>2-Oxoglutarate[c] + L-Phenylalanine[c] &lt;=&gt; L-Glutamate[c] + Phenylpyruvate[c]</t>
  </si>
  <si>
    <t>ASPTRS</t>
  </si>
  <si>
    <t>Aspartyl-tRNA synthetase</t>
  </si>
  <si>
    <t>6.1.1.12</t>
  </si>
  <si>
    <t>L-Aspartate[c] + ATP[c] + tRNA(Asp)[c] =&gt; AMP[c] + L-Aspartyl-tRNA(Asp)[c] + Diphosphate[c]</t>
  </si>
  <si>
    <t>GCODGGCH_01290</t>
  </si>
  <si>
    <t>ASPt6</t>
  </si>
  <si>
    <t>L-aspartate transport in via proton symport</t>
  </si>
  <si>
    <t>L-Aspartate[e] + H+[e] &lt;=&gt; L-Aspartate[c] + H+[c]</t>
  </si>
  <si>
    <t>ATPM</t>
  </si>
  <si>
    <t>ATP maintenance requirment</t>
  </si>
  <si>
    <t>3.6.1.15; 3.6.1.3; 3.6.1.5; 3.6.1.8; 3.6.3.1; 3.6.3.10; 3.6.3.11; 3.6.3.12; 3.6.3.14; 3.6.3.15; 3.6.3.16; 3.6.3.17; 3.6.3.18; 3.6.3.19; 3.6.3.2; 3.6.3.20; 3.6.3.21; 3.6.3.22; 3.6.3.23; 3.6.3.24; 3.6.3.25; 3.6.3.26; 3.6.3.27; 3.6.3.28; 3.6.3.29; 3.6.3.3; 3.6.3.30; 3.6.3.31; 3.6.3.32; 3.6.3.33; 3.6.3.34; 3.6.3.35; 3.6.3.36; 3.6.3.37; 3.6.3.38; 3.6.3.39; 3.6.3.4; 3.6.3.40; 3.6.3.41; 3.6.3.42; 3.6.3.43; 3.6.3.44; 3.6.3.46; 3.6.3.47; 3.6.3.48; 3.6.3.49; 3.6.3.5; 3.6.3.50; 3.6.3.51; 3.6.3.52; 3.6.3.53; 3.6.3.54; 3.6.3.6; 3.6.3.7; 3.6.3.8; 3.6.3.9; 3.6.4.1; 3.6.4.10; 3.6.4.11; 3.6.4.12; 3.6.4.13; 3.6.4.2; 3.6.4.3; 3.6.4.4; 3.6.4.5; 3.6.4.6; 3.6.4.7; 3.6.4.8; 3.6.4.9</t>
  </si>
  <si>
    <t>ATP[c] + H2O[c] =&gt; ADP[c] + H+[c] + Phosphate[c]</t>
  </si>
  <si>
    <t>GCODGGCH_00109 or GCODGGCH_00318 or GCODGGCH_00413 or GCODGGCH_00414 or GCODGGCH_00845 or GCODGGCH_01012 or GCODGGCH_01219 or GCODGGCH_01396 or GCODGGCH_01812 or GCODGGCH_02070</t>
  </si>
  <si>
    <t>energy metabolism</t>
  </si>
  <si>
    <t>ATPS3r</t>
  </si>
  <si>
    <t>ATP synthase (three protons for one ATP)</t>
  </si>
  <si>
    <t>7.1.2.2</t>
  </si>
  <si>
    <t>ADP[c] + 3 H+[e] + Phosphate[c] &lt;=&gt; ATP[c] + H2O[c] + 2 H+[c]</t>
  </si>
  <si>
    <t>GCODGGCH_00517 or GCODGGCH_00514 or GCODGGCH_00513 or GCODGGCH_00512 or GCODGGCH_00510 or GCODGGCH_00515 or GCODGGCH_00516</t>
  </si>
  <si>
    <t>bigg.reaction/ATPS3r;sbo/SBO:0000375</t>
  </si>
  <si>
    <t>BTDD_RR</t>
  </si>
  <si>
    <t>(R,R)-butanediol dehydrogenase</t>
  </si>
  <si>
    <t>1.1.1.4</t>
  </si>
  <si>
    <t>(R,R)-2,3-Butanediol[c] + Nicotinamide adenine dinucleotide[c] &lt;=&gt; (R)-Acetoin[c] + H+[c] + Nicotinamide adenine dinucleotide - reduced[c]</t>
  </si>
  <si>
    <t>metanetx.reaction/MNXR96327;bigg.reaction/BTDD_RR;sbo/SBO:0000375</t>
  </si>
  <si>
    <t>BTDt1_RR</t>
  </si>
  <si>
    <t>(R,R)-butanediol transport in/out via diffusion reversible</t>
  </si>
  <si>
    <t>(R,R)-2,3-Butanediol[c] &lt;=&gt; (R,R)-2,3-Butanediol[e]</t>
  </si>
  <si>
    <t>BTMAT1</t>
  </si>
  <si>
    <t>Butyryl-[acyl-carrier protein]:malonyl-CoA C-acyltransferase</t>
  </si>
  <si>
    <t xml:space="preserve"> 1.3.1.10;1.3.1.9;2.3.1.-</t>
  </si>
  <si>
    <t>But-2-enoyl-[acyl-carrier protein][c] + H+[c] + Nicotinamide adenine dinucleotide - reduced[c] =&gt; Butyryl-[acyl-carrier protein][c] + Nicotinamide adenine dinucleotide[c]</t>
  </si>
  <si>
    <t>GCODGGCH_00381</t>
  </si>
  <si>
    <t>bigg.reaction/BTMAT1;sbo/SBO:0000375</t>
  </si>
  <si>
    <t>BTNt2i</t>
  </si>
  <si>
    <t>Biotin uptake</t>
  </si>
  <si>
    <t>Biotin[e] + H+[e] =&gt; Biotin[c] + H+[c]</t>
  </si>
  <si>
    <t>CBIA</t>
  </si>
  <si>
    <t>Cobyrinic acid a,c-diamide synthase (EC 6.3.1.-)</t>
  </si>
  <si>
    <t>6.3.5.11</t>
  </si>
  <si>
    <t>2 ATP[c] + Cobyrinate[c] + 2 L-Glutamine[c] + 2 H2O[c] =&gt; 2 ADP[c] + Cob(II)yrinate a,c diamide[c] + 2 L-Glutamate[c] + 2 H+[c] + 2 Phosphate[c]</t>
  </si>
  <si>
    <t>CBIAT</t>
  </si>
  <si>
    <t>Cobinamide adenyltransferase</t>
  </si>
  <si>
    <t>2.5.1.17</t>
  </si>
  <si>
    <t>ATP[c] + Cobinamide[c] + H2O[c] &lt;=&gt; Adenosyl cobinamide[c] + Phosphate[c] + Diphosphate[c]</t>
  </si>
  <si>
    <t>CBLAT</t>
  </si>
  <si>
    <t>cob(I)alamin adenosyltransferase</t>
  </si>
  <si>
    <t>ATP[c] + Cob(I)alamin[c] + H+[c] &lt;=&gt; Cobamide coenzyme[c] + Inorganic triphosphate[c]</t>
  </si>
  <si>
    <t>CBMKr</t>
  </si>
  <si>
    <t>Carbamate kinase</t>
  </si>
  <si>
    <t>2.7.2.2</t>
  </si>
  <si>
    <t>ATP[c] + CO2[c] + Ammonium[c] =&gt; ADP[c] + Carbamoyl phosphate[c] + 2 H+[c]</t>
  </si>
  <si>
    <t>GCODGGCH_00199 or GCODGGCH_00360</t>
  </si>
  <si>
    <t>kegg.reaction/R00150;metanetx.reaction/MNXR96482;biocyc/META:CARBAMATE-KINASE-RXN;rhea/10152;rhea/10153;rhea/10154;rhea/10155;bigg.reaction/CBMKr;sbo/SBO:0000375</t>
  </si>
  <si>
    <t>CBPS</t>
  </si>
  <si>
    <t>carbamoyl-phosphate synthase (glutamine-hydrolysing)</t>
  </si>
  <si>
    <t>6.3.5.5</t>
  </si>
  <si>
    <t>2 ATP[c] + L-Glutamine[c] + H2O[c] + Bicarbonate[c] =&gt; 2 ADP[c] + Carbamoyl phosphate[c] + L-Glutamate[c] + 2 H+[c] + Phosphate[c]</t>
  </si>
  <si>
    <t>GCODGGCH_00824 or GCODGGCH_01414 or GCODGGCH_00823 or GCODGGCH_01355 or GCODGGCH_01415 or GCODGGCH_01355 or GCODGGCH_01415 or GCODGGCH_01354</t>
  </si>
  <si>
    <t>kegg.reaction/R00575;metanetx.reaction/MNXR96485;biocyc/META:CARBPSYN-RXN;rhea/18633;rhea/18634;rhea/18635;rhea/18636;bigg.reaction/CBPS;sbo/SBO:0000375</t>
  </si>
  <si>
    <t>CDPMEK</t>
  </si>
  <si>
    <t>4-(cytidine 5'-diphospho)-2-C-methyl-D-erythritol kinase</t>
  </si>
  <si>
    <t>2.7.1.148</t>
  </si>
  <si>
    <t>4-(cytidine 5'-diphospho)-2-C-methyl-D-erythritol[c] + ATP[c] =&gt; 2-phospho-4-(cytidine 5'-diphospho)-2-C-methyl-D-erythritol[c] + ADP[c] + H+[c]</t>
  </si>
  <si>
    <t>GCODGGCH_00225</t>
  </si>
  <si>
    <t>kegg.reaction/R05634;metanetx.reaction/MNXR96558;biocyc/META:2.7.1.148-RXN;rhea/18437;rhea/18438;rhea/18439;rhea/18440;bigg.reaction/CDPMEK;sbo/SBO:0000375</t>
  </si>
  <si>
    <t>Terpenoid backbone biosynthesis</t>
  </si>
  <si>
    <t>CFAS180</t>
  </si>
  <si>
    <t>cyclopropane fatty acid synthase (n18:0)</t>
  </si>
  <si>
    <t>2.1.1.79</t>
  </si>
  <si>
    <t>S-Adenosyl-L-methionine[c] + Octadecenoyl-ACP (n-C18:1ACP)[c] =&gt; S-Adenosyl-L-homocysteine[c] + cyclopropanoyl octadecanoyl-[acyl-carrier protein][c] + H+[c]</t>
  </si>
  <si>
    <t>GCODGGCH_00125</t>
  </si>
  <si>
    <t>bigg.reaction/CFAS180;sbo/SBO:0000375</t>
  </si>
  <si>
    <t>CHLabc</t>
  </si>
  <si>
    <t>choline transport via ABC system</t>
  </si>
  <si>
    <t>ATP[c] + Choline[e] + H2O[c] =&gt; ADP[c] + Choline[c] + H+[c] + Phosphate[c]</t>
  </si>
  <si>
    <t>GCODGGCH_01147 or GCODGGCH_01145 or GCODGGCH_00181 or GCODGGCH_01146 or GCODGGCH_01146</t>
  </si>
  <si>
    <t>metanetx.reaction/MNXR96691;rhea/38715#1;rhea/38716#1;rhea/38717#1;rhea/38718#1;bigg.reaction/CHLabc;sbo/SBO:0000375</t>
  </si>
  <si>
    <t>CHLt6</t>
  </si>
  <si>
    <t>choline transport in/out via proton symport</t>
  </si>
  <si>
    <t>Choline[e] + H+[e] &lt;=&gt; Choline[c] + H+[c]</t>
  </si>
  <si>
    <t>GCODGGCH_01144</t>
  </si>
  <si>
    <t>CLPNS_LRE</t>
  </si>
  <si>
    <t>Cardiolipin Synthase (LRE specific)</t>
  </si>
  <si>
    <t>2.7.8.-</t>
  </si>
  <si>
    <t>2 Phospatidylglycerol (LRE specific)[c] &lt;=&gt; Cardiolipin (LRE specific)[c] + Glycerol[c]</t>
  </si>
  <si>
    <t>GCODGGCH_00040 or GCODGGCH_00497 or GCODGGCH_00040 or GCODGGCH_00040 or GCODGGCH_00497</t>
  </si>
  <si>
    <t>CMLDC</t>
  </si>
  <si>
    <t>4-carboxymuconolactone decarboxylase</t>
  </si>
  <si>
    <t>4.1.1.44</t>
  </si>
  <si>
    <t>2-Carboxy-2,5-dihydro-5-oxofuran-2-acetate[c] =&gt; 5-Oxo-4,5-dihydrofuran-2-acetate[c] + CO2[c] + H+[c]</t>
  </si>
  <si>
    <t>GCODGGCH_00409</t>
  </si>
  <si>
    <t>Benzoate degradation</t>
  </si>
  <si>
    <t>CO2t</t>
  </si>
  <si>
    <t>CO2 transport out via diffusion</t>
  </si>
  <si>
    <t>CO2[e] &lt;=&gt; CO2[c]</t>
  </si>
  <si>
    <t>COBALTt5</t>
  </si>
  <si>
    <t>cobalt transport in/out via permease (no H+)</t>
  </si>
  <si>
    <t>Co2+[c] &lt;=&gt; Co2+[e]</t>
  </si>
  <si>
    <t>GCODGGCH_01971</t>
  </si>
  <si>
    <t>COPREC2MT</t>
  </si>
  <si>
    <t>Precorrin-2 C20-methyltransferase</t>
  </si>
  <si>
    <t>S-Adenosyl-L-methionine[c] + cobalt-precorrin2[c] =&gt; S-Adenosyl-L-homocysteine[c] + Cobalt-precorrin 3[c] + H+[c]</t>
  </si>
  <si>
    <t>COPREC3MT</t>
  </si>
  <si>
    <t>Precorrin-3B C17-methyltransferase (EC 2.1.1.131)</t>
  </si>
  <si>
    <t>2.1.1.131</t>
  </si>
  <si>
    <t>S-Adenosyl-L-methionine[c] + Cobalt-precorrin 3[c] =&gt; S-Adenosyl-L-homocysteine[c] + Cobalt-precorrin 4[c]</t>
  </si>
  <si>
    <t>COPREC4MT</t>
  </si>
  <si>
    <t>Precorrin-4 C11-methyltransferase (EC 2.1.1.133)</t>
  </si>
  <si>
    <t>2.1.1.271</t>
  </si>
  <si>
    <t>S-Adenosyl-L-methionine[c] + Cobalt-precorrin 4[c] =&gt; S-Adenosyl-L-homocysteine[c] + Cobalt-precorrin 5[c] + H+[c]</t>
  </si>
  <si>
    <t>COPREC6MT</t>
  </si>
  <si>
    <t>Precorrin-6Y C5,15-methyltransferase [decarboxylating] E.C. 2.1.1.132</t>
  </si>
  <si>
    <t>2.1.1.132</t>
  </si>
  <si>
    <t>2 S-Adenosyl-L-methionine[c] + Cobalt-dihydro-precorrin 6[c] =&gt; 2 S-Adenosyl-L-homocysteine[c] + CO2[c] + Cobalt-precorrin 8[c] + H+[c]</t>
  </si>
  <si>
    <t>COPREC6R2</t>
  </si>
  <si>
    <t>Precorrin-6X reductase (EC 1.3.1.54)</t>
  </si>
  <si>
    <t>1.3.1.106</t>
  </si>
  <si>
    <t>Cobalt-precorrin 6[c] + H+[c] + Nicotinamide adenine dinucleotide phosphate - reduced[c] =&gt; Cobalt-dihydro-precorrin 6[c] + Nicotinamide adenine dinucleotide phosphate[c]</t>
  </si>
  <si>
    <t>COPRECI</t>
  </si>
  <si>
    <t>Precorrin-8X methylmutase (EC 5.4.1.2)</t>
  </si>
  <si>
    <t>5.4.99.60</t>
  </si>
  <si>
    <t>Cobalt-precorrin 8[c] =&gt; Cobyrinate[c]</t>
  </si>
  <si>
    <t>COPRECT</t>
  </si>
  <si>
    <t>Precorrin-6A synthase (deacetylating)</t>
  </si>
  <si>
    <t>S-Adenosyl-L-methionine[c] + Cobalt-precorrin 5[c] + H2O[c] =&gt; Acetaldehyde[c] + S-Adenosyl-L-homocysteine[c] + Cobalt-precorrin 6[c] + H+[c]</t>
  </si>
  <si>
    <t>COPRECT2MT</t>
  </si>
  <si>
    <t>S-adenosyl-L-methionine:cobalt-factor-II C20-methyltransferase</t>
  </si>
  <si>
    <t>2.1.1.151</t>
  </si>
  <si>
    <t>S-Adenosyl-L-methionine[c] + Cobalt-precorrin2[c] =&gt; S-Adenosyl-L-homocysteine[c] + Cobalt-precorrin 3[c]</t>
  </si>
  <si>
    <t>CPSS_LRE</t>
  </si>
  <si>
    <t>CPS synthase complex, LRE specific</t>
  </si>
  <si>
    <t>3.1.3.48</t>
  </si>
  <si>
    <t>4 H2O[c] + 4 UDPglucose[c] &lt;=&gt; capsular polysaccharide linkage unit, LRE specific[c] + 5 H+[c] + 3 UDP[c] + UMP[c]</t>
  </si>
  <si>
    <t>GCODGGCH_02045 or GCODGGCH_00108 or GCODGGCH_01644 or GCODGGCH_00108 or GCODGGCH_01644 or GCODGGCH_00108 or GCODGGCH_01644 or GCODGGCH_00097 or GCODGGCH_01647 or GCODGGCH_01648</t>
  </si>
  <si>
    <t>CSND</t>
  </si>
  <si>
    <t>Cytosine deaminase</t>
  </si>
  <si>
    <t>3.5.4.1</t>
  </si>
  <si>
    <t>Cytosine[c] + H2O[c] + H+[c] =&gt; Ammonium[c] + Uracil[c]</t>
  </si>
  <si>
    <t>GCODGGCH_00342 or GCODGGCH_01186</t>
  </si>
  <si>
    <t>kegg.reaction/R00974;metanetx.reaction/MNXR96927;biocyc/META:CYTDEAM-RXN;rhea/20605;rhea/20606;rhea/20607;rhea/20608;bigg.reaction/CSND;sbo/SBO:0000375</t>
  </si>
  <si>
    <t>Pyrimidine metabolism</t>
  </si>
  <si>
    <t>CTPS1__1</t>
  </si>
  <si>
    <t>CTP synthase (NH3)</t>
  </si>
  <si>
    <t>6.3.4.2</t>
  </si>
  <si>
    <t>ATP[c] + Ammonium[c] + UTP[c] =&gt; ADP[c] + CTP[c] + 2 H+[c] + Phosphate[c]</t>
  </si>
  <si>
    <t>GCODGGCH_00237 or GCODGGCH_02150</t>
  </si>
  <si>
    <t>CTPS2</t>
  </si>
  <si>
    <t>CTP synthase (glutamine)</t>
  </si>
  <si>
    <t>ATP[c] + L-Glutamine[c] + H2O[c] + UTP[c] =&gt; ADP[c] + CTP[c] + L-Glutamate[c] + 2 H+[c] + Phosphate[c]</t>
  </si>
  <si>
    <t>GCODGGCH_02150 or GCODGGCH_00237 or OLD_iTN656_AC5u0009GL000367</t>
  </si>
  <si>
    <t>kegg.reaction/R00573;metanetx.reaction/MNXR96945;biocyc/META:CTPSYN-RXN;rhea/26426;rhea/26427;rhea/26428;rhea/26429;bigg.reaction/CTPS2;sbo/SBO:0000375</t>
  </si>
  <si>
    <t>CYSDabc</t>
  </si>
  <si>
    <t>D-cysteine transport via ABC system</t>
  </si>
  <si>
    <t>ATP[c] + D-Cysteine[e] + H2O[c] =&gt; ADP[c] + D-Cysteine[c] + H+[c] + Phosphate[c]</t>
  </si>
  <si>
    <t>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GCODGGCH_00062 or GCODGGCH_00079 or GCODGGCH_00611 or GCODGGCH_00758 or GCODGGCH_01302 or GCODGGCH_01309 or GCODGGCH_01896 or GCODGGCH_02085 or GCODGGCH_02087 or GCODGGCH_02086</t>
  </si>
  <si>
    <t>CYSS</t>
  </si>
  <si>
    <t>cysteine synthase</t>
  </si>
  <si>
    <t>2.5.1.47; 2.5.1.65</t>
  </si>
  <si>
    <t>O-Acetyl-L-serine[c] + Hydrogen sulfide[c] =&gt; Acetate[c] + L-Cysteine[c] + H+[c]</t>
  </si>
  <si>
    <t>GCODGGCH_00412 or GCODGGCH_01113 or GCODGGCH_00412</t>
  </si>
  <si>
    <t>kegg.reaction/R00897;metanetx.reaction/MNXR97007;biocyc/META:ACSERLY-RXN;rhea/14829;rhea/14830;rhea/14831;rhea/14832;bigg.reaction/CYSS;sbo/SBO:0000375</t>
  </si>
  <si>
    <t>CYSTGL</t>
  </si>
  <si>
    <t>cystathionine g-lyase</t>
  </si>
  <si>
    <t>4.4.1.1</t>
  </si>
  <si>
    <t>L-Cystathionine[c] + H2O[c] =&gt; 2-Oxobutanoate[c] + L-Cysteine[c] + Ammonium[c]</t>
  </si>
  <si>
    <t>GCODGGCH_01114 or GCODGGCH_01313 or GCODGGCH_01314</t>
  </si>
  <si>
    <t>kegg.reaction/R01001;metanetx.reaction/MNXR97012;biocyc/META:RXN-15130;rhea/14005;rhea/14006;rhea/14007;rhea/14008;bigg.reaction/CYSTGL;sbo/SBO:0000375</t>
  </si>
  <si>
    <t>CYSTL2</t>
  </si>
  <si>
    <t>cystathionine gamma/beta-lyase</t>
  </si>
  <si>
    <t>4.4.1.2</t>
  </si>
  <si>
    <t>H2O[c] + L-Homocysteine[c] =&gt; 2-Oxobutanoate[c] + Hydrogen sulfide[c] + Ammonium[c]</t>
  </si>
  <si>
    <t>Sulfur metabolism</t>
  </si>
  <si>
    <t>CYSTRS</t>
  </si>
  <si>
    <t>Cysteinyl-tRNA synthetase</t>
  </si>
  <si>
    <t>6.1.1.16</t>
  </si>
  <si>
    <t>ATP[c] + L-Cysteine[c] + tRNA(Cys)[c] =&gt; AMP[c] + L-Cysteinyl-tRNA(Cys)[c] + Diphosphate[c]</t>
  </si>
  <si>
    <t>GCODGGCH_00320</t>
  </si>
  <si>
    <t>CYSTS</t>
  </si>
  <si>
    <t>Cystathionine beta synthase</t>
  </si>
  <si>
    <t>4.2.1.22</t>
  </si>
  <si>
    <t>L-Homocysteine[c] + L-Serine[c] =&gt; L-Cystathionine[c] + H2O[c]</t>
  </si>
  <si>
    <t>kegg.reaction/R01290;metanetx.reaction/MNXR97019;biocyc/META:CYSTATHIONINE-BETA-SYNTHASE-RXN;rhea/10112;rhea/10113;rhea/10114;rhea/10115;bigg.reaction/CYSTS;sbo/SBO:0000375</t>
  </si>
  <si>
    <t>CYSabc</t>
  </si>
  <si>
    <t>L-cysteine transport via ABC system</t>
  </si>
  <si>
    <t>ATP[c] + L-Cysteine[e] + H2O[c] =&gt; ADP[c] + L-Cysteine[c] + H+[c] + Phosphate[c]</t>
  </si>
  <si>
    <t>metanetx.reaction/MNXR97025;biocyc/META:TRANS-RXN-265;rhea/29783#2;rhea/29784#2;rhea/29785#2;rhea/29786#2;rhea/32795#1;rhea/32796#1;rhea/32797#1;rhea/32798#1;bigg.reaction/CYSabc;sbo/SBO:0000375</t>
  </si>
  <si>
    <t>CYSt6</t>
  </si>
  <si>
    <t>L-cysteine transport in via proton symport</t>
  </si>
  <si>
    <t>L-Cysteine[e] + H+[e] &lt;=&gt; L-Cysteine[c] + H+[c]</t>
  </si>
  <si>
    <t>CYTB_B2</t>
  </si>
  <si>
    <t>menaquinol oxidase (7:1 protons)</t>
  </si>
  <si>
    <t>7.1.1.5</t>
  </si>
  <si>
    <t>2 H+[c] + Menaquinol 7[c] + 0.5 O2[c] =&gt; H2O[c] + 2 H+[e] + Menaquinone 7[c]</t>
  </si>
  <si>
    <t>GCODGGCH_00334 or GCODGGCH_00334 or GCODGGCH_00333 or GCODGGCH_00332 or GCODGGCH_00335</t>
  </si>
  <si>
    <t>metanetx.reaction/MNXR97037;bigg.reaction/CYTB_B2;sbo/SBO:0000375</t>
  </si>
  <si>
    <t>CYTD</t>
  </si>
  <si>
    <t>cytidine deaminase</t>
  </si>
  <si>
    <t>3.5.4.5</t>
  </si>
  <si>
    <t>Cytidine[c] + H2O[c] + H+[c] =&gt; Ammonium[c] + Uridine[c]</t>
  </si>
  <si>
    <t>GCODGGCH_00744</t>
  </si>
  <si>
    <t>kegg.reaction/R01878;metanetx.reaction/MNXR97039;biocyc/META:CYTIDEAM2-RXN;rhea/16069;rhea/16070;rhea/16071;rhea/16072;bigg.reaction/CYTD;sbo/SBO:0000375</t>
  </si>
  <si>
    <t>CYTDK1</t>
  </si>
  <si>
    <t>cytidine kinase (ATP)</t>
  </si>
  <si>
    <t>2.7.1.213; 2.7.1.48</t>
  </si>
  <si>
    <t>ATP[c] + Cytidine[c] =&gt; ADP[c] + CMP[c] + H+[c]</t>
  </si>
  <si>
    <t>GCODGGCH_01494</t>
  </si>
  <si>
    <t>CYTDK2</t>
  </si>
  <si>
    <t>cytidine kinase (GTP)</t>
  </si>
  <si>
    <t>Cytidine[c] + GTP[c] =&gt; CMP[c] + GDP[c] + H+[c]</t>
  </si>
  <si>
    <t>kegg.reaction/R00517;metanetx.reaction/MNXR97042;biocyc/META:CYTIDINEKIN-RXN;rhea/28162;rhea/28163;rhea/28164;rhea/28165;bigg.reaction/CYTDK2;sbo/SBO:0000375</t>
  </si>
  <si>
    <t>CYTDK3</t>
  </si>
  <si>
    <t>cytidine kinase (ITP)</t>
  </si>
  <si>
    <t>2.7.1.48;2.7.1.213;2.7.1.48</t>
  </si>
  <si>
    <t>Cytidine[c] + ITP[c] =&gt; CMP[c] + H+[c] + IDP[c]</t>
  </si>
  <si>
    <t>CYTK1</t>
  </si>
  <si>
    <t>cytidylate kinase (CMP)</t>
  </si>
  <si>
    <t>2.7.4.14; 2.7.4.25</t>
  </si>
  <si>
    <t>ATP[c] + CMP[c] =&gt; ADP[c] + CDP[c]</t>
  </si>
  <si>
    <t>GCODGGCH_01236</t>
  </si>
  <si>
    <t>kegg.reaction/R00512;metanetx.reaction/MNXR97047;biocyc/META:RXN-11832;rhea/11600;rhea/11601;rhea/11602;rhea/11603;bigg.reaction/CYTK1;sbo/SBO:0000375</t>
  </si>
  <si>
    <t>CYTK2</t>
  </si>
  <si>
    <t>cytidylate kinase (dCMP)</t>
  </si>
  <si>
    <t>2.7.4.13; 2.7.4.14; 2.7.4.25</t>
  </si>
  <si>
    <t>ATP[c] + dCMP[c] =&gt; ADP[c] + dCDP[c]</t>
  </si>
  <si>
    <t>kegg.reaction/R01665;metanetx.reaction/MNXR97053;biocyc/META:RXN-7913;rhea/25094;rhea/25095;rhea/25096;rhea/25097;bigg.reaction/CYTK2;sbo/SBO:0000375</t>
  </si>
  <si>
    <t>Coabc</t>
  </si>
  <si>
    <t>Cobalt transport via ABC system</t>
  </si>
  <si>
    <t>ATP[c] + Co2+[e] + H2O[c] =&gt; ADP[c] + Co2+[c] + H+[c] + Phosphate[c]</t>
  </si>
  <si>
    <t>OLD_iTN656_AC5u0009GL001887 or OLD_iTN656_AC5u0009GL001885 or GCODGGCH_01725 or GCODGGCH_01726 or GCODGGCH_01387 or GCODGGCH_01725 or OLD_iTN656_AC5u0009GL001886 or GCODGGCH_01724 or OLD_iTN656_AC5u0009GL001888</t>
  </si>
  <si>
    <t>Cut1</t>
  </si>
  <si>
    <t>Copper export via ATPase</t>
  </si>
  <si>
    <t>3.6.3.-; 3.6.3.4; 7.2.2.9</t>
  </si>
  <si>
    <t>ATP[c] + Cu2+[c] + H2O[c] =&gt; ADP[c] + Cu2+[e] + H+[c] + Phosphate[c]</t>
  </si>
  <si>
    <t>GCODGGCH_00150</t>
  </si>
  <si>
    <t>metanetx.reaction/MNXR96950;biocyc/META:3.6.3.4-RXN;biocyc/META:TRANS-RXN-178;rhea/10376#1;rhea/10377#1;rhea/10378#1;rhea/10379#1;bigg.reaction/Cut1;sbo/SBO:0000375</t>
  </si>
  <si>
    <t>DADA</t>
  </si>
  <si>
    <t>Deoxyadenosine deaminase</t>
  </si>
  <si>
    <t>Deoxyadenosine[c] + H2O[c] + H+[c] =&gt; Deoxyinosine[c] + Ammonium[c]</t>
  </si>
  <si>
    <t>kegg.reaction/R02556;metanetx.reaction/MNXR97076;biocyc/META:ADDALT-RXN;rhea/28190;rhea/28191;rhea/28192;rhea/28193;bigg.reaction/DADA;sbo/SBO:0000375</t>
  </si>
  <si>
    <t>DADNK</t>
  </si>
  <si>
    <t>deoxyadenosine kinase</t>
  </si>
  <si>
    <t>2.7.1.145; 2.7.1.74; 2.7.1.76</t>
  </si>
  <si>
    <t>ATP[c] + Deoxyadenosine[c] =&gt; ADP[c] + dAMP[c] + H+[c]</t>
  </si>
  <si>
    <t>GCODGGCH_01555 or GCODGGCH_01780 or GCODGGCH_01555 or GCODGGCH_01780</t>
  </si>
  <si>
    <t>kegg.reaction/R02089;metanetx.reaction/MNXR97079;biocyc/META:DEOXYADENOSINE-KINASE-RXN;rhea/23452;rhea/23453;rhea/23454;rhea/23455;bigg.reaction/DADNK;sbo/SBO:0000375</t>
  </si>
  <si>
    <t>DAGGT_LRE</t>
  </si>
  <si>
    <t>1,2-diacylglycerol 3-glucosyltransferase (LRE specific)</t>
  </si>
  <si>
    <t>2.4.1.-; 2.4.1.337</t>
  </si>
  <si>
    <t>1,2-Diacylglycerol[c] + 2 UDPglucose[c] =&gt; Diglucosyl-diacylglycerol[c] + 2 H+[c] + 2 UDP[c]</t>
  </si>
  <si>
    <t>GCODGGCH_01611 or GCODGGCH_01612</t>
  </si>
  <si>
    <t>DAGK_LRE</t>
  </si>
  <si>
    <t>Diacylglycerol kinase (LRE specific)</t>
  </si>
  <si>
    <t>2.7.1.107</t>
  </si>
  <si>
    <t>ATP[c] + 1,2-Diacylglycerol[c] =&gt; ADP[c] + H+[c] + phosphatidic acid (Lb reuteri specific)[c]</t>
  </si>
  <si>
    <t>GCODGGCH_01284 or GCODGGCH_01708</t>
  </si>
  <si>
    <t>DALTAL</t>
  </si>
  <si>
    <t>D-Alanine lipoteichoic acid ligase</t>
  </si>
  <si>
    <t>6.1.1.13</t>
  </si>
  <si>
    <t>lipoteichoic acid (n=25, LRE specific)[c] + 20 D-Alanine[c] + 20 ATP[c] =&gt; Lipoteichoic acid (n=25) with 100% D-Ala substitutions (LRE specific)[c] + 20 ADP[c] + 20 Phosphate[c]</t>
  </si>
  <si>
    <t>GCODGGCH_00069 or GCODGGCH_00070 or GCODGGCH_00067 or OLD_iTN656_AC5u0009GL000369</t>
  </si>
  <si>
    <t>DAPDC</t>
  </si>
  <si>
    <t>diaminopimelate decarboxylase</t>
  </si>
  <si>
    <t>4.1.1.20</t>
  </si>
  <si>
    <t>meso-2,6-Diaminoheptanedioate[c] + H+[c] =&gt; CO2[c] + L-Lysine[c]</t>
  </si>
  <si>
    <t>GCODGGCH_01263</t>
  </si>
  <si>
    <t>kegg.reaction/R00451;metanetx.reaction/MNXR97141;biocyc/META:DIAMINOPIMDECARB-RXN;rhea/15101;rhea/15102;rhea/15103;rhea/15104;bigg.reaction/DAPDC;sbo/SBO:0000375</t>
  </si>
  <si>
    <t>DAPE</t>
  </si>
  <si>
    <t>diaminopimelate epimerase</t>
  </si>
  <si>
    <t>5.1.1.7</t>
  </si>
  <si>
    <t>LL-2,6-Diaminoheptanedioate[c] &lt;=&gt; meso-2,6-Diaminoheptanedioate[c]</t>
  </si>
  <si>
    <t>GCODGGCH_01265</t>
  </si>
  <si>
    <t>kegg.reaction/R02735;metanetx.reaction/MNXR97143;biocyc/META:DIAMINOPIMEPIM-RXN;rhea/15393;rhea/15394;rhea/15395;rhea/15396;bigg.reaction/DAPE;sbo/SBO:0000375</t>
  </si>
  <si>
    <t>DASYN_LRE</t>
  </si>
  <si>
    <t>CDP-Diacylglycerol synthetase (LRE specific)</t>
  </si>
  <si>
    <t>2.7.7.41</t>
  </si>
  <si>
    <t>CTP[c] + H+[c] + phosphatidic acid (Lb reuteri specific)[c] &lt;=&gt; CDPdiacylglycerol (LRE specific)[c] + Diphosphate[c]</t>
  </si>
  <si>
    <t>GCODGGCH_00815</t>
  </si>
  <si>
    <t>Glycerophospholipid metabolism</t>
  </si>
  <si>
    <t>DB4PS</t>
  </si>
  <si>
    <t>3,4-Dihydroxy-2-butanone-4-phosphate</t>
  </si>
  <si>
    <t>4.1.99.12</t>
  </si>
  <si>
    <t>D-Ribulose 5-phosphate[c] =&gt; 3,4-dihydroxy-2-butanone 4-phosphate[c] + Formate[c] + H+[c]</t>
  </si>
  <si>
    <t>GCODGGCH_00882 or GCODGGCH_02061 or GCODGGCH_00882 or GCODGGCH_02061</t>
  </si>
  <si>
    <t>kegg.reaction/R07281;metanetx.reaction/MNXR97178;bigg.reaction/DB4PS;sbo/SBO:0000375</t>
  </si>
  <si>
    <t>DCYTD</t>
  </si>
  <si>
    <t>deoxycytidine deaminase</t>
  </si>
  <si>
    <t>Deoxycytidine[c] + H2O[c] + H+[c] =&gt; Deoxyuridine[c] + Ammonium[c]</t>
  </si>
  <si>
    <t>kegg.reaction/R02485;metanetx.reaction/MNXR97207;biocyc/META:CYTIDEAM-RXN;rhea/13433;rhea/13434;rhea/13435;rhea/13436;bigg.reaction/DCYTD;sbo/SBO:0000375</t>
  </si>
  <si>
    <t>DDMAT5</t>
  </si>
  <si>
    <t>Dodecanoyl-[acyl-carrier protein]: malonyl-CoA  C-acyltransferase</t>
  </si>
  <si>
    <t>1.3.1.9; 1.3.1.10</t>
  </si>
  <si>
    <t>trans-Dodec-2-enoyl-[acyl-carrier protein][c] + H+[c] + Nicotinamide adenine dinucleotide - reduced[c] =&gt; Dodecanoyl-[acyl-carrier protein][c] + Nicotinamide adenine dinucleotide[c]</t>
  </si>
  <si>
    <t>bigg.reaction/DDMAT5;sbo/SBO:0000375</t>
  </si>
  <si>
    <t>DEMAT4</t>
  </si>
  <si>
    <t>Decanoyl-[acyl-carrier protein]:malonyl-CoA  C-acyltransferase</t>
  </si>
  <si>
    <t>trans-Dec-2-enoyl-[acyl-carrier protein][c] + H+[c] + Nicotinamide adenine dinucleotide - reduced[c] =&gt; Decanoyl-[acyl-carrier protein][c] + Nicotinamide adenine dinucleotide[c]</t>
  </si>
  <si>
    <t>bigg.reaction/DEMAT4;sbo/SBO:0000375</t>
  </si>
  <si>
    <t>DGNSK</t>
  </si>
  <si>
    <t>deoxyguanosine kinase</t>
  </si>
  <si>
    <t>2.7.1.113; 2.7.1.145; 2.7.1.74</t>
  </si>
  <si>
    <t>ATP[c] + Deoxyguanosine[c] =&gt; ADP[c] + dGMP[c] + H+[c]</t>
  </si>
  <si>
    <t>kegg.reaction/R01967;metanetx.reaction/MNXR97323;biocyc/META:DEOXYGUANOSINE-KINASE-RXN;rhea/19201;rhea/19202;rhea/19203;rhea/19204;bigg.reaction/DGNSK;sbo/SBO:0000375</t>
  </si>
  <si>
    <t>DHAt</t>
  </si>
  <si>
    <t>Dihydroxyacetone transport via facilitated diffusion</t>
  </si>
  <si>
    <t>Dihydroxyacetone[e] &lt;=&gt; Dihydroxyacetone[c]</t>
  </si>
  <si>
    <t>DHDPRy</t>
  </si>
  <si>
    <t>dihydrodipicolinate reductase (NADPH)</t>
  </si>
  <si>
    <t>1.3.1.26; 1.17.1.8</t>
  </si>
  <si>
    <t>2,3-Dihydrodipicolinate[c] + H+[c] + Nicotinamide adenine dinucleotide phosphate - reduced[c] =&gt; Nicotinamide adenine dinucleotide phosphate[c] + 2,3,4,5-Tetrahydrodipicolinate[c]</t>
  </si>
  <si>
    <t>GCODGGCH_01259</t>
  </si>
  <si>
    <t>metanetx.reaction/MNXR97393;bigg.reaction/DHDPRy;sbo/SBO:0000375</t>
  </si>
  <si>
    <t>DHDPS</t>
  </si>
  <si>
    <t>dihydrodipicolinate synthase</t>
  </si>
  <si>
    <t>4.3.3.7</t>
  </si>
  <si>
    <t>L-Aspartate 4-semialdehyde[c] + Pyruvate[c] =&gt; 2,3-Dihydrodipicolinate[c] + 2 H2O[c] + H+[c]</t>
  </si>
  <si>
    <t>GCODGGCH_01260</t>
  </si>
  <si>
    <t>metanetx.reaction/MNXR97394;bigg.reaction/DHDPS;sbo/SBO:0000375</t>
  </si>
  <si>
    <t>DHFOR2</t>
  </si>
  <si>
    <t>dihydrofolate reductase</t>
  </si>
  <si>
    <t>1.5.1.3</t>
  </si>
  <si>
    <t>7,8-Dihydrofolate[c] + Nicotinamide adenine dinucleotide phosphate[c] &lt;=&gt; Folate[c] + H+[c] + Nicotinamide adenine dinucleotide phosphate - reduced[c]</t>
  </si>
  <si>
    <t>GCODGGCH_01227</t>
  </si>
  <si>
    <t>Folate biosynthesis</t>
  </si>
  <si>
    <t>DHFR</t>
  </si>
  <si>
    <t>7,8-Dihydrofolate[c] + H+[c] + Nicotinamide adenine dinucleotide phosphate - reduced[c] &lt;=&gt; Nicotinamide adenine dinucleotide phosphate[c] + 5,6,7,8-Tetrahydrofolate[c]</t>
  </si>
  <si>
    <t>kegg.reaction/R00939;metanetx.reaction/MNXR97401;rhea/15009;rhea/15010;rhea/15011;rhea/15012;bigg.reaction/DHFR;sbo/SBO:0000375</t>
  </si>
  <si>
    <t>DHFS</t>
  </si>
  <si>
    <t>dihydrofolate synthase</t>
  </si>
  <si>
    <t>6.3.2.12; 6.3.2.17</t>
  </si>
  <si>
    <t>ATP[c] + Dihydropteroate[c] + L-Glutamate[c] =&gt; ADP[c] + 7,8-Dihydrofolate[c] + H+[c] + Phosphate[c]</t>
  </si>
  <si>
    <t>GCODGGCH_01548 or GCODGGCH_01548 or GCODGGCH_01548 or GCODGGCH_00605 or GCODGGCH_00605</t>
  </si>
  <si>
    <t>kegg.reaction/R02237;metanetx.reaction/MNXR97403;biocyc/META:DIHYDROFOLATESYNTH-RXN;rhea/23584;rhea/23585;rhea/23586;rhea/23587;bigg.reaction/DHFS;sbo/SBO:0000375</t>
  </si>
  <si>
    <t>DHNPA</t>
  </si>
  <si>
    <t>dihydroneopterin aldolase</t>
  </si>
  <si>
    <t>4.1.2.25; 5.1.99.8</t>
  </si>
  <si>
    <t>2-Amino-4-hydroxy-6-(D-erythro-1,2,3-trihydroxypropyl)-7,8-dihydropteridine[c] =&gt; 2-Amino-4-hydroxy-6-hydroxymethyl-7,8-dihydropteridine[c] + Glycolaldehyde[c]</t>
  </si>
  <si>
    <t>GCODGGCH_01551</t>
  </si>
  <si>
    <t>DHORD6</t>
  </si>
  <si>
    <t>dihydoorotic acid dehydrogenase (NAD)</t>
  </si>
  <si>
    <t>1.3.1.14</t>
  </si>
  <si>
    <t>(S)-Dihydroorotate[c] + Nicotinamide adenine dinucleotide[c] &lt;=&gt; H+[c] + Nicotinamide adenine dinucleotide - reduced[c] + Orotate[c]</t>
  </si>
  <si>
    <t>GCODGGCH_01413</t>
  </si>
  <si>
    <t>bigg.reaction/DHORD6;sbo/SBO:0000375</t>
  </si>
  <si>
    <t>DHORTS</t>
  </si>
  <si>
    <t>dihydroorotase</t>
  </si>
  <si>
    <t>3.5.2.3</t>
  </si>
  <si>
    <t>(S)-Dihydroorotate[c] + H2O[c] &lt;=&gt; N-Carbamoyl-L-aspartate[c] + H+[c]</t>
  </si>
  <si>
    <t>GCODGGCH_01416</t>
  </si>
  <si>
    <t>kegg.reaction/R01993;metanetx.reaction/MNXR97428;biocyc/META:DIHYDROOROT-RXN;rhea/24296;rhea/24297;rhea/24298;rhea/24299;bigg.reaction/DHORTS;sbo/SBO:0000375</t>
  </si>
  <si>
    <t>DHPPDA__1</t>
  </si>
  <si>
    <t>diaminohydroxyphosphoribosylaminopyrimidine deaminase</t>
  </si>
  <si>
    <t>;3.5.4.26</t>
  </si>
  <si>
    <t>2,5-Diamino-6-hydroxy-4-(5'-phosphoribosylamino)-pyrimidine[c] + H2O[c] + H+[c] =&gt; 5-Amino-6-(5'-phosphoribosylamino)uracil[c] + Ammonium[c]</t>
  </si>
  <si>
    <t>DHPS3</t>
  </si>
  <si>
    <t>dihydropteroate synthase</t>
  </si>
  <si>
    <t>2.5.1.15</t>
  </si>
  <si>
    <t>2-Amino-4-hydroxy-6-hydroxymethyl-7,8-dihydropteridine diphosphate[c] + 4-Aminobenzoate[c] =&gt; Dihydropteroate[c] + Diphosphate[c]</t>
  </si>
  <si>
    <t>GCODGGCH_01546 or GCODGGCH_01546</t>
  </si>
  <si>
    <t>DINSK</t>
  </si>
  <si>
    <t>deoxyinosine kinase</t>
  </si>
  <si>
    <t>2.7.1.113; 2.7.1.145</t>
  </si>
  <si>
    <t>ATP[c] + Deoxyinosine[c] =&gt; ADP[c] + dIMP[c]</t>
  </si>
  <si>
    <t>metanetx.reaction/MNXR97464;bigg.reaction/DINSK;sbo/SBO:0000375</t>
  </si>
  <si>
    <t>DKGLCNR1</t>
  </si>
  <si>
    <t>2,5-diketo-D-gluconate reductase</t>
  </si>
  <si>
    <t>1.1.1.346</t>
  </si>
  <si>
    <t>2,5-diketo-D-gluconate[c] + H+[c] + Nicotinamide adenine dinucleotide phosphate - reduced[c] =&gt; 2-Dehydro-L-gulonate[c] + Nicotinamide adenine dinucleotide phosphate[c]</t>
  </si>
  <si>
    <t>GCODGGCH_00043 or GCODGGCH_00486 or GCODGGCH_01158 or GCODGGCH_00043 or GCODGGCH_01158 or GCODGGCH_00043 or GCODGGCH_00165 or GCODGGCH_00486 or GCODGGCH_01158</t>
  </si>
  <si>
    <t>metanetx.reaction/MNXR97489;bigg.reaction/DKGLCNR1;sbo/SBO:0000375</t>
  </si>
  <si>
    <t>DKGLCNR2x</t>
  </si>
  <si>
    <t>2,5-diketo-D-gluconate reductase (NADH)</t>
  </si>
  <si>
    <t>1.1.1.215</t>
  </si>
  <si>
    <t>2,5-diketo-D-gluconate[c] + H+[c] + Nicotinamide adenine dinucleotide - reduced[c] =&gt; 5-Dehydro-D-gluconate[c] + Nicotinamide adenine dinucleotide[c]</t>
  </si>
  <si>
    <t>metanetx.reaction/MNXR97490;rhea/30103;rhea/30104;rhea/30105;rhea/30106;bigg.reaction/DKGLCNR2x;sbo/SBO:0000375</t>
  </si>
  <si>
    <t>DKGLCNR2y</t>
  </si>
  <si>
    <t>2,5-diketo-D-gluconate reductase (NADPH)</t>
  </si>
  <si>
    <t>1.1.1.-; 1.1.1.215</t>
  </si>
  <si>
    <t>2,5-diketo-D-gluconate[c] + H+[c] + Nicotinamide adenine dinucleotide phosphate - reduced[c] =&gt; 5-Dehydro-D-gluconate[c] + Nicotinamide adenine dinucleotide phosphate[c]</t>
  </si>
  <si>
    <t>GCODGGCH_00043 or GCODGGCH_00486 or GCODGGCH_01158 or GCODGGCH_00043 or GCODGGCH_01158 or GCODGGCH_00043 or GCODGGCH_00165 or GCODGGCH_00486 or GCODGGCH_01158 or OLD_iTN656_AC5u0009GL000462</t>
  </si>
  <si>
    <t>kegg.reaction/R08879;metanetx.reaction/MNXR97491;biocyc/META:YIAE1-RXN;rhea/27634;rhea/27635;rhea/27636;rhea/27637;bigg.reaction/DKGLCNR2y;sbo/SBO:0000375</t>
  </si>
  <si>
    <t>DMATT</t>
  </si>
  <si>
    <t>dimethylallyltranstransferase</t>
  </si>
  <si>
    <t>2.5.1.1</t>
  </si>
  <si>
    <t>Dimethylallyl diphosphate[c] + Isopentenyl diphosphate[c] =&gt; Geranyl diphosphate[c] + Diphosphate[c]</t>
  </si>
  <si>
    <t>GCODGGCH_01466 or GCODGGCH_00952</t>
  </si>
  <si>
    <t>kegg.reaction/R01658;metanetx.reaction/MNXR97512;biocyc/META:GPPSYN-RXN;rhea/22408;rhea/22409;rhea/22410;rhea/22411;bigg.reaction/DMATT;sbo/SBO:0000375</t>
  </si>
  <si>
    <t>DNMPPA</t>
  </si>
  <si>
    <t>Dihydroneopterin monophosphate dephosphorylase</t>
  </si>
  <si>
    <t>3.6.1.-</t>
  </si>
  <si>
    <t>Dihydroneopterin monophosphate[c] + H2O[c] =&gt; 2-Amino-4-hydroxy-6-(D-erythro-1,2,3-trihydroxypropyl)-7,8-dihydropteridine[c] + Phosphate[c]</t>
  </si>
  <si>
    <t>GCODGGCH_00639 or OLD_iTN656_AC5u0009GL000848 or GCODGGCH_00639 or OLD_iTN656_AC5u0009GL001067</t>
  </si>
  <si>
    <t>DNTPPA</t>
  </si>
  <si>
    <t>Dihydroneopterin triphosphate pyrophosphatase</t>
  </si>
  <si>
    <t>3.6.1.67; 3.1.6.66; 3.6.1.-</t>
  </si>
  <si>
    <t>2-Amino-4-hydroxy-6-(erythro-1,2,3-trihydroxypropyl)dihydropteridine triphosphate[c] + H2O[c] =&gt; Dihydroneopterin monophosphate[c] + H+[c] + Diphosphate[c]</t>
  </si>
  <si>
    <t>DPCOAK</t>
  </si>
  <si>
    <t>dephospho-CoA kinase</t>
  </si>
  <si>
    <t>2.7.1.24</t>
  </si>
  <si>
    <t>ATP[c] + Dephospho-CoA[c] =&gt; ADP[c] + Coenzyme A[c] + H+[c]</t>
  </si>
  <si>
    <t>GCODGGCH_01524 or GCODGGCH_01524</t>
  </si>
  <si>
    <t>kegg.reaction/R00130;metanetx.reaction/MNXR97762;biocyc/META:DEPHOSPHOCOAKIN-RXN;rhea/18245;rhea/18246;rhea/18247;rhea/18248;bigg.reaction/DPCOAK;sbo/SBO:0000375</t>
  </si>
  <si>
    <t>DPMVD</t>
  </si>
  <si>
    <t>diphosphomevalonate decarboxylase</t>
  </si>
  <si>
    <t>4.1.1.33</t>
  </si>
  <si>
    <t>(R)-5-Diphosphomevalonate[c] + ATP[c] =&gt; ADP[c] + CO2[c] + Isopentenyl diphosphate[c] + Phosphate[c]</t>
  </si>
  <si>
    <t>GCODGGCH_01384</t>
  </si>
  <si>
    <t>kegg.reaction/R01121;metanetx.reaction/MNXR97776;biocyc/META:DIPHOSPHOMEVALONTE-DECARBOXYLASE-RXN;rhea/23732;rhea/23733;rhea/23734;rhea/23735;bigg.reaction/DPMVD;sbo/SBO:0000375</t>
  </si>
  <si>
    <t>DPR</t>
  </si>
  <si>
    <t>2-dehydropantoate 2-reductase</t>
  </si>
  <si>
    <t>1.1.1.169</t>
  </si>
  <si>
    <t>2-Dehydropantoate[c] + H+[c] + Nicotinamide adenine dinucleotide phosphate - reduced[c] =&gt; Nicotinamide adenine dinucleotide phosphate[c] + (R)-Pantoate[c]</t>
  </si>
  <si>
    <t>GCODGGCH_00407 or GCODGGCH_00846 or GCODGGCH_00407 or GCODGGCH_00846</t>
  </si>
  <si>
    <t>kegg.reaction/R02472;metanetx.reaction/MNXR97779;biocyc/META:2-DEHYDROPANTOATE-REDUCT-RXN;rhea/16233;rhea/16234;rhea/16235;rhea/16236;bigg.reaction/DPR;sbo/SBO:0000375</t>
  </si>
  <si>
    <t>DRBK</t>
  </si>
  <si>
    <t>Deoxyribokinase</t>
  </si>
  <si>
    <t>2.7.1.15</t>
  </si>
  <si>
    <t>ATP[c] + Deoxyribose[c] =&gt; 2-Deoxy-D-ribose 5-phosphate[c] + ADP[c] + H+[c]</t>
  </si>
  <si>
    <t>GCODGGCH_01965 or GCODGGCH_01965</t>
  </si>
  <si>
    <t>kegg.reaction/R02750;metanetx.reaction/MNXR97781;bigg.reaction/DRBK;sbo/SBO:0000375</t>
  </si>
  <si>
    <t>DRIBt2</t>
  </si>
  <si>
    <t>deoxyribose transport in via proton symporter</t>
  </si>
  <si>
    <t>Deoxyribose[e] + H+[e] =&gt; Deoxyribose[c] + H+[c]</t>
  </si>
  <si>
    <t>DRPA</t>
  </si>
  <si>
    <t>deoxyribose-phosphate aldolase</t>
  </si>
  <si>
    <t>4.1.2.4</t>
  </si>
  <si>
    <t>2-Deoxy-D-ribose 5-phosphate[c] =&gt; Acetaldehyde[c] + Glyceraldehyde 3-phosphate[c]</t>
  </si>
  <si>
    <t>DTMPK</t>
  </si>
  <si>
    <t>dTMP kinase</t>
  </si>
  <si>
    <t>2.7.4.12; 2.7.4.13; 2.7.4.9</t>
  </si>
  <si>
    <t>ATP[c] + dTMP[c] =&gt; ADP[c] + dTDP[c]</t>
  </si>
  <si>
    <t>GCODGGCH_00348</t>
  </si>
  <si>
    <t>kegg.reaction/R02094;metanetx.reaction/MNXR97804;biocyc/META:DTMPKI-RXN;rhea/13517;rhea/13518;rhea/13519;rhea/13520;bigg.reaction/DTMPK;sbo/SBO:0000375</t>
  </si>
  <si>
    <t>DURADy</t>
  </si>
  <si>
    <t>dihydrouracil dehydrogenase (NADP)</t>
  </si>
  <si>
    <t>1.3.1.1; 1.3.1.2</t>
  </si>
  <si>
    <t>5,6-dihydrouracil[c] + Nicotinamide adenine dinucleotide phosphate[c] &lt;=&gt; H+[c] + Nicotinamide adenine dinucleotide phosphate - reduced[c] + Uracil[c]</t>
  </si>
  <si>
    <t>DURIK1</t>
  </si>
  <si>
    <t>deoxyuridine kinase (ATP:Deoxyuridine)</t>
  </si>
  <si>
    <t>2.7.1.145; 2.7.1.21</t>
  </si>
  <si>
    <t>ATP[c] + Deoxyuridine[c] =&gt; ADP[c] + dUMP[c] + H+[c]</t>
  </si>
  <si>
    <t>GCODGGCH_00501</t>
  </si>
  <si>
    <t>kegg.reaction/R02099;metanetx.reaction/MNXR97817;biocyc/META:DURIDKI-RXN;rhea/28206;rhea/28207;rhea/28208;rhea/28209;bigg.reaction/DURIK1;sbo/SBO:0000375</t>
  </si>
  <si>
    <t>DURIPP</t>
  </si>
  <si>
    <t>purine-nucleoside phosphatase (deoxyuridine)</t>
  </si>
  <si>
    <t>2.4.2.1; 2.4.2.2; 2.4.2.3; 2.4.2.4</t>
  </si>
  <si>
    <t>Deoxyuridine[c] + Phosphate[c] &lt;=&gt; 2-Deoxy-D-ribose 1-phosphate[c] + Uracil[c]</t>
  </si>
  <si>
    <t>DUTPDP</t>
  </si>
  <si>
    <t>dUTP diphosphatase</t>
  </si>
  <si>
    <t>3.6.1.-; 3.6.1.23; 3.6.1.8; 3.6.1.9</t>
  </si>
  <si>
    <t>dUTP[c] + H2O[c] =&gt; dUMP[c] + H+[c] + Diphosphate[c]</t>
  </si>
  <si>
    <t>GCODGGCH_00314</t>
  </si>
  <si>
    <t>kegg.reaction/R02100;metanetx.reaction/MNXR97822;biocyc/META:DUTP-PYROP-RXN;rhea/10248;rhea/10249;rhea/10250;rhea/10251;bigg.reaction/DUTPDP;sbo/SBO:0000375</t>
  </si>
  <si>
    <t>DXPS</t>
  </si>
  <si>
    <t>1-deoxy-D-xylulose 5-phosphate synthase</t>
  </si>
  <si>
    <t>2.2.1.7</t>
  </si>
  <si>
    <t>Glyceraldehyde 3-phosphate[c] + H+[c] + Pyruvate[c] =&gt; CO2[c] + 1-deoxy-D-xylulose 5-phosphate[c]</t>
  </si>
  <si>
    <t>GCODGGCH_01084</t>
  </si>
  <si>
    <t>kegg.reaction/R05636;metanetx.reaction/MNXR97831;biocyc/META:DXS-RXN;rhea/12605;rhea/12606;rhea/12607;rhea/12608;bigg.reaction/DXPS;sbo/SBO:0000375</t>
  </si>
  <si>
    <t>D_LACt2</t>
  </si>
  <si>
    <t>D-lactate transport via proton symport</t>
  </si>
  <si>
    <t>2 H+[e] + D-Lactate[e] &lt;=&gt; 2 H+[c] + D-Lactate[c]</t>
  </si>
  <si>
    <t>ENO</t>
  </si>
  <si>
    <t>enolase</t>
  </si>
  <si>
    <t>4.2.1.11</t>
  </si>
  <si>
    <t>D-Glycerate 2-phosphate[c] &lt;=&gt; H2O[c] + Phosphoenolpyruvate[c]</t>
  </si>
  <si>
    <t>GCODGGCH_00443</t>
  </si>
  <si>
    <t>kegg.reaction/R00658;metanetx.reaction/MNXR97932;biocyc/META:2PGADEHYDRAT-RXN;rhea/10164;rhea/10165;rhea/10166;rhea/10167;bigg.reaction/ENO;sbo/SBO:0000375</t>
  </si>
  <si>
    <t>EPPP</t>
  </si>
  <si>
    <t>exopolyphosphatase</t>
  </si>
  <si>
    <t>3.6.1.40;3.6.1.11;3.6.1.25</t>
  </si>
  <si>
    <t>H2O[c] + Inorganic triphosphate[c] =&gt; H+[c] + Phosphate[c] + Diphosphate[c]</t>
  </si>
  <si>
    <t>GCODGGCH_00215 or GCODGGCH_00356 or GCODGGCH_00354 or GCODGGCH_00215 or GCODGGCH_00356</t>
  </si>
  <si>
    <t>ETOHt1</t>
  </si>
  <si>
    <t>ethanol transport in/out via diffusion</t>
  </si>
  <si>
    <t>Ethanol[e] &lt;=&gt; Ethanol[c]</t>
  </si>
  <si>
    <t>EXC_BOTH_13ppd_e</t>
  </si>
  <si>
    <t>Propane-1,3-diol exchange (BOTH)</t>
  </si>
  <si>
    <t xml:space="preserve">Propane-1,3-diol[e] &lt;=&gt; </t>
  </si>
  <si>
    <t>EXC_BOTH_4abz_e</t>
  </si>
  <si>
    <t>4-Aminobenzoate exchange (BOTH)</t>
  </si>
  <si>
    <t xml:space="preserve">4-Aminobenzoate[e] &lt;=&gt; </t>
  </si>
  <si>
    <t>EXC_BOTH_4ahmmp_e</t>
  </si>
  <si>
    <t>4-Amino-5-hydroxymethyl-2-methylpyrimidine exchange (BOTH)</t>
  </si>
  <si>
    <t xml:space="preserve">4-Amino-5-hydroxymethyl-2-methylpyrimidine[e] &lt;=&gt; </t>
  </si>
  <si>
    <t>EXC_BOTH_ac_e</t>
  </si>
  <si>
    <t>Acetate exchange (BOTH)</t>
  </si>
  <si>
    <t xml:space="preserve">Acetate[e] &lt;=&gt; </t>
  </si>
  <si>
    <t>EXC_BOTH_ala__L_e</t>
  </si>
  <si>
    <t>L-Alanine exchange (BOTH)</t>
  </si>
  <si>
    <t xml:space="preserve">L-Alanine[e] &lt;=&gt; </t>
  </si>
  <si>
    <t>EXC_BOTH_arab__L_e</t>
  </si>
  <si>
    <t>L-Arabinose exchange (BOTH)</t>
  </si>
  <si>
    <t xml:space="preserve">L-Arabinose[e] &lt;=&gt; </t>
  </si>
  <si>
    <t>EXC_BOTH_arg__L_e</t>
  </si>
  <si>
    <t>L-Arginine exchange (BOTH)</t>
  </si>
  <si>
    <t xml:space="preserve">L-Arginine[e] &lt;=&gt; </t>
  </si>
  <si>
    <t>EXC_BOTH_asn__L_e</t>
  </si>
  <si>
    <t>L-Asparagine exchange (BOTH)</t>
  </si>
  <si>
    <t xml:space="preserve">L-Asparagine[e] &lt;=&gt; </t>
  </si>
  <si>
    <t>EXC_BOTH_asp__L_e</t>
  </si>
  <si>
    <t>L-Aspartate exchange (BOTH)</t>
  </si>
  <si>
    <t xml:space="preserve">L-Aspartate[e] &lt;=&gt; </t>
  </si>
  <si>
    <t>EXC_BOTH_btd__RR_e</t>
  </si>
  <si>
    <t>(R,R)-2,3-Butanediol exchange (BOTH)</t>
  </si>
  <si>
    <t xml:space="preserve">(R,R)-2,3-Butanediol[e] &lt;=&gt; </t>
  </si>
  <si>
    <t>EXC_BOTH_btn_e</t>
  </si>
  <si>
    <t>Biotin exchange (BOTH)</t>
  </si>
  <si>
    <t xml:space="preserve">Biotin[e] &lt;=&gt; </t>
  </si>
  <si>
    <t>EXC_BOTH_chol_e</t>
  </si>
  <si>
    <t>Choline exchange (BOTH)</t>
  </si>
  <si>
    <t xml:space="preserve">Choline[e] &lt;=&gt; </t>
  </si>
  <si>
    <t>EXC_BOTH_co2_e</t>
  </si>
  <si>
    <t>CO2 exchange (BOTH)</t>
  </si>
  <si>
    <t xml:space="preserve">CO2[e] &lt;=&gt; </t>
  </si>
  <si>
    <t>EXC_BOTH_cobalt2_e</t>
  </si>
  <si>
    <t>Co2+ exchange (BOTH)</t>
  </si>
  <si>
    <t xml:space="preserve">Co2+[e] &lt;=&gt; </t>
  </si>
  <si>
    <t>EXC_BOTH_cu2_e</t>
  </si>
  <si>
    <t>Cu2+ exchange (BOTH)</t>
  </si>
  <si>
    <t xml:space="preserve">Cu2+[e] &lt;=&gt; </t>
  </si>
  <si>
    <t>EXC_BOTH_cys__D_e</t>
  </si>
  <si>
    <t>D-Cysteine exchange (BOTH)</t>
  </si>
  <si>
    <t xml:space="preserve">D-Cysteine[e] &lt;=&gt; </t>
  </si>
  <si>
    <t>EXC_BOTH_cys__L_e</t>
  </si>
  <si>
    <t>L-Cysteine exchange (BOTH)</t>
  </si>
  <si>
    <t xml:space="preserve">L-Cysteine[e] &lt;=&gt; </t>
  </si>
  <si>
    <t>EXC_BOTH_etoh_e</t>
  </si>
  <si>
    <t>Ethanol exchange (BOTH)</t>
  </si>
  <si>
    <t xml:space="preserve">Ethanol[e] &lt;=&gt; </t>
  </si>
  <si>
    <t>EXC_BOTH_fru_e</t>
  </si>
  <si>
    <t>D-Fructose exchange (BOTH)</t>
  </si>
  <si>
    <t xml:space="preserve">D-Fructose[e] &lt;=&gt; </t>
  </si>
  <si>
    <t>EXC_BOTH_fuc__L_e</t>
  </si>
  <si>
    <t>L-Fucose exchange (BOTH)</t>
  </si>
  <si>
    <t xml:space="preserve">L-Fucose[e] &lt;=&gt; </t>
  </si>
  <si>
    <t>EXC_BOTH_gal_e</t>
  </si>
  <si>
    <t>D-Galactose exchange (BOTH)</t>
  </si>
  <si>
    <t xml:space="preserve">D-Galactose[e] &lt;=&gt; </t>
  </si>
  <si>
    <t>EXC_BOTH_gcald_e</t>
  </si>
  <si>
    <t>Glycolaldehyde exchange (BOTH)</t>
  </si>
  <si>
    <t xml:space="preserve">Glycolaldehyde[e] &lt;=&gt; </t>
  </si>
  <si>
    <t>EXC_BOTH_glc__D_e</t>
  </si>
  <si>
    <t>D-Glucose exchange (BOTH)</t>
  </si>
  <si>
    <t xml:space="preserve">D-Glucose[e] &lt;=&gt; </t>
  </si>
  <si>
    <t>EXC_BOTH_glcn__D_e</t>
  </si>
  <si>
    <t>D-Gluconate exchange (BOTH)</t>
  </si>
  <si>
    <t xml:space="preserve">D-Gluconate[e] &lt;=&gt; </t>
  </si>
  <si>
    <t>EXC_BOTH_gln__L_e</t>
  </si>
  <si>
    <t>L-Glutamine exchange (BOTH)</t>
  </si>
  <si>
    <t xml:space="preserve">L-Glutamine[e] &lt;=&gt; </t>
  </si>
  <si>
    <t>EXC_BOTH_glu__L_e</t>
  </si>
  <si>
    <t>L-Glutamate exchange (BOTH)</t>
  </si>
  <si>
    <t xml:space="preserve">L-Glutamate[e] &lt;=&gt; </t>
  </si>
  <si>
    <t>EXC_BOTH_gly_e</t>
  </si>
  <si>
    <t>Glycine exchange (BOTH)</t>
  </si>
  <si>
    <t xml:space="preserve">Glycine[e] &lt;=&gt; </t>
  </si>
  <si>
    <t>EXC_BOTH_glyc_e</t>
  </si>
  <si>
    <t>Glycerol exchange (BOTH)</t>
  </si>
  <si>
    <t xml:space="preserve">Glycerol[e] &lt;=&gt; </t>
  </si>
  <si>
    <t>EXC_BOTH_h2o_e</t>
  </si>
  <si>
    <t>H2O exchange (BOTH)</t>
  </si>
  <si>
    <t xml:space="preserve">H2O[e] &lt;=&gt; </t>
  </si>
  <si>
    <t>EXC_BOTH_h2s_e</t>
  </si>
  <si>
    <t>Hydrogen sulfide exchange (BOTH)</t>
  </si>
  <si>
    <t xml:space="preserve">Hydrogen sulfide[e] &lt;=&gt; </t>
  </si>
  <si>
    <t>EXC_BOTH_h_e</t>
  </si>
  <si>
    <t>H+ exchange (BOTH)</t>
  </si>
  <si>
    <t xml:space="preserve">H+[e] &lt;=&gt; </t>
  </si>
  <si>
    <t>EXC_BOTH_hdcea_e</t>
  </si>
  <si>
    <t>Hexadecenoate (n-C16:1) exchange (BOTH)</t>
  </si>
  <si>
    <t xml:space="preserve">Hexadecenoate (n-C16:1)[e] &lt;=&gt; </t>
  </si>
  <si>
    <t>EXC_BOTH_his__L_e</t>
  </si>
  <si>
    <t>L-Histidine exchange (BOTH)</t>
  </si>
  <si>
    <t xml:space="preserve">L-Histidine[e] &lt;=&gt; </t>
  </si>
  <si>
    <t>EXC_BOTH_hxan_e</t>
  </si>
  <si>
    <t>Hypoxanthine exchange (BOTH)</t>
  </si>
  <si>
    <t xml:space="preserve">Hypoxanthine[e] &lt;=&gt; </t>
  </si>
  <si>
    <t>EXC_BOTH_ile__L_e</t>
  </si>
  <si>
    <t>L-Isoleucine exchange (BOTH)</t>
  </si>
  <si>
    <t xml:space="preserve">L-Isoleucine[e] &lt;=&gt; </t>
  </si>
  <si>
    <t>EXC_BOTH_lac__D_e</t>
  </si>
  <si>
    <t>D-Lactate exchange (BOTH)</t>
  </si>
  <si>
    <t xml:space="preserve">D-Lactate[e] &lt;=&gt; </t>
  </si>
  <si>
    <t>EXC_BOTH_lac__L_e</t>
  </si>
  <si>
    <t>L-Lactate exchange (BOTH)</t>
  </si>
  <si>
    <t xml:space="preserve">L-Lactate[e] &lt;=&gt; </t>
  </si>
  <si>
    <t>EXC_BOTH_lcts_e</t>
  </si>
  <si>
    <t>Lactose exchange (BOTH)</t>
  </si>
  <si>
    <t xml:space="preserve">Lactose[e] &lt;=&gt; </t>
  </si>
  <si>
    <t>EXC_BOTH_leu__L_e</t>
  </si>
  <si>
    <t>L-Leucine exchange (BOTH)</t>
  </si>
  <si>
    <t xml:space="preserve">L-Leucine[e] &lt;=&gt; </t>
  </si>
  <si>
    <t>EXC_BOTH_lys__L_e</t>
  </si>
  <si>
    <t>L-Lysine exchange (BOTH)</t>
  </si>
  <si>
    <t xml:space="preserve">L-Lysine[e] &lt;=&gt; </t>
  </si>
  <si>
    <t>EXC_BOTH_mal__L_e</t>
  </si>
  <si>
    <t>L-Malate exchange (BOTH)</t>
  </si>
  <si>
    <t xml:space="preserve">L-Malate[e] &lt;=&gt; </t>
  </si>
  <si>
    <t>EXC_BOTH_malt_e</t>
  </si>
  <si>
    <t>Maltose exchange (BOTH)</t>
  </si>
  <si>
    <t xml:space="preserve">Maltose[e] &lt;=&gt; </t>
  </si>
  <si>
    <t>EXC_BOTH_melib_e</t>
  </si>
  <si>
    <t>Melibiose exchange (BOTH)</t>
  </si>
  <si>
    <t xml:space="preserve">Melibiose[e] &lt;=&gt; </t>
  </si>
  <si>
    <t>EXC_BOTH_met__D_e</t>
  </si>
  <si>
    <t>D-Methionine exchange (BOTH)</t>
  </si>
  <si>
    <t xml:space="preserve">D-Methionine[e] &lt;=&gt; </t>
  </si>
  <si>
    <t>EXC_BOTH_met__L_e</t>
  </si>
  <si>
    <t>L-Methionine exchange (BOTH)</t>
  </si>
  <si>
    <t xml:space="preserve">L-Methionine[e] &lt;=&gt; </t>
  </si>
  <si>
    <t>EXC_BOTH_mnl_e</t>
  </si>
  <si>
    <t>D-Mannitol exchange (BOTH)</t>
  </si>
  <si>
    <t xml:space="preserve">D-Mannitol[e] &lt;=&gt; </t>
  </si>
  <si>
    <t>EXC_BOTH_nac_e</t>
  </si>
  <si>
    <t>Nicotinate exchange (BOTH)</t>
  </si>
  <si>
    <t xml:space="preserve">Nicotinate[e] &lt;=&gt; </t>
  </si>
  <si>
    <t>EXC_BOTH_nh3_e</t>
  </si>
  <si>
    <t>Ammonia exchange (BOTH)</t>
  </si>
  <si>
    <t xml:space="preserve">Ammonia[e] &lt;=&gt; </t>
  </si>
  <si>
    <t>EXC_BOTH_o2_e</t>
  </si>
  <si>
    <t>O2 exchange (BOTH)</t>
  </si>
  <si>
    <t xml:space="preserve">O2[e] &lt;=&gt; </t>
  </si>
  <si>
    <t>EXC_BOTH_ocdctr_e</t>
  </si>
  <si>
    <t>octadecynoate (n-C18:3) exchange (BOTH)</t>
  </si>
  <si>
    <t xml:space="preserve">octadecynoate (n-C18:3)[e] &lt;=&gt; </t>
  </si>
  <si>
    <t>EXC_BOTH_ocdcya_e</t>
  </si>
  <si>
    <t>Octadecadienoate exchange (BOTH)</t>
  </si>
  <si>
    <t xml:space="preserve">Octadecadienoate[e] &lt;=&gt; </t>
  </si>
  <si>
    <t>EXC_BOTH_orn__L_e</t>
  </si>
  <si>
    <t>L-Ornithine exchange (BOTH)</t>
  </si>
  <si>
    <t xml:space="preserve">L-Ornithine[e] &lt;=&gt; </t>
  </si>
  <si>
    <t>EXC_BOTH_orot_e</t>
  </si>
  <si>
    <t>Orotate exchange (BOTH)</t>
  </si>
  <si>
    <t xml:space="preserve">Orotate[e] &lt;=&gt; </t>
  </si>
  <si>
    <t>EXC_BOTH_phe__L_e</t>
  </si>
  <si>
    <t>L-Phenylalanine exchange (BOTH)</t>
  </si>
  <si>
    <t xml:space="preserve">L-Phenylalanine[e] &lt;=&gt; </t>
  </si>
  <si>
    <t>EXC_BOTH_pi_e</t>
  </si>
  <si>
    <t>Phosphate exchange (BOTH)</t>
  </si>
  <si>
    <t xml:space="preserve">Phosphate[e] &lt;=&gt; </t>
  </si>
  <si>
    <t>EXC_BOTH_pnto__R_e</t>
  </si>
  <si>
    <t>(R)-Pantothenate exchange (BOTH)</t>
  </si>
  <si>
    <t xml:space="preserve">(R)-Pantothenate[e] &lt;=&gt; </t>
  </si>
  <si>
    <t>EXC_BOTH_pro__L_e</t>
  </si>
  <si>
    <t>L-Proline exchange (BOTH)</t>
  </si>
  <si>
    <t xml:space="preserve">L-Proline[e] &lt;=&gt; </t>
  </si>
  <si>
    <t>EXC_BOTH_pydam_e</t>
  </si>
  <si>
    <t>Pyridoxamine exchange (BOTH)</t>
  </si>
  <si>
    <t xml:space="preserve">Pyridoxamine[e] &lt;=&gt; </t>
  </si>
  <si>
    <t>EXC_BOTH_raffin_e</t>
  </si>
  <si>
    <t>Raffinose exchange (BOTH)</t>
  </si>
  <si>
    <t xml:space="preserve">Raffinose[e] &lt;=&gt; </t>
  </si>
  <si>
    <t>EXC_BOTH_rib__D_e</t>
  </si>
  <si>
    <t>D-Ribose exchange (BOTH)</t>
  </si>
  <si>
    <t xml:space="preserve">D-Ribose[e] &lt;=&gt; </t>
  </si>
  <si>
    <t>EXC_BOTH_ser__L_e</t>
  </si>
  <si>
    <t>L-Serine exchange (BOTH)</t>
  </si>
  <si>
    <t xml:space="preserve">L-Serine[e] &lt;=&gt; </t>
  </si>
  <si>
    <t>EXC_BOTH_spmd_e</t>
  </si>
  <si>
    <t>Spermidine exchange (BOTH)</t>
  </si>
  <si>
    <t xml:space="preserve">Spermidine[e] &lt;=&gt; </t>
  </si>
  <si>
    <t>EXC_BOTH_sucr_e</t>
  </si>
  <si>
    <t>Sucrose exchange (BOTH)</t>
  </si>
  <si>
    <t xml:space="preserve">Sucrose[e] &lt;=&gt; </t>
  </si>
  <si>
    <t>EXC_BOTH_thm_e</t>
  </si>
  <si>
    <t>Thiamin exchange (BOTH)</t>
  </si>
  <si>
    <t xml:space="preserve">Thiamin[e] &lt;=&gt; </t>
  </si>
  <si>
    <t>EXC_BOTH_thr__L_e</t>
  </si>
  <si>
    <t>L-Threonine exchange (BOTH)</t>
  </si>
  <si>
    <t xml:space="preserve">L-Threonine[e] &lt;=&gt; </t>
  </si>
  <si>
    <t>EXC_BOTH_tre_e</t>
  </si>
  <si>
    <t>Trehalose exchange (BOTH)</t>
  </si>
  <si>
    <t xml:space="preserve">Trehalose[e] &lt;=&gt; </t>
  </si>
  <si>
    <t>EXC_BOTH_trp__L_e</t>
  </si>
  <si>
    <t>L-Tryptophan exchange (BOTH)</t>
  </si>
  <si>
    <t xml:space="preserve">L-Tryptophan[e] &lt;=&gt; </t>
  </si>
  <si>
    <t>EXC_BOTH_tyr__L_e</t>
  </si>
  <si>
    <t>L-Tyrosine exchange (BOTH)</t>
  </si>
  <si>
    <t xml:space="preserve">L-Tyrosine[e] &lt;=&gt; </t>
  </si>
  <si>
    <t>EXC_BOTH_val__L_e</t>
  </si>
  <si>
    <t>L-Valine exchange (BOTH)</t>
  </si>
  <si>
    <t xml:space="preserve">L-Valine[e] &lt;=&gt; </t>
  </si>
  <si>
    <t>EXC_BOTH_xan_e</t>
  </si>
  <si>
    <t>Xanthine exchange (BOTH)</t>
  </si>
  <si>
    <t xml:space="preserve">Xanthine[e] &lt;=&gt; </t>
  </si>
  <si>
    <t>FA120ACPH</t>
  </si>
  <si>
    <t>fatty-acyl-ACP hydrolase</t>
  </si>
  <si>
    <t>3.1.2.21</t>
  </si>
  <si>
    <t>Dodecanoyl-ACP (n-C12:0ACP)[c] + H2O[c] &lt;=&gt; acyl carrier protein[c] + Dodecanoate[c] + H+[c]</t>
  </si>
  <si>
    <t>GCODGGCH_00353</t>
  </si>
  <si>
    <t>FA140ACPH</t>
  </si>
  <si>
    <t>H2O[c] + Myristoyl-ACP (n-C14:0ACP)[c] &lt;=&gt; acyl carrier protein[c] + H+[c] + tetradecanoate[c]</t>
  </si>
  <si>
    <t>FA141ACPH</t>
  </si>
  <si>
    <t>H2O[c] + Tetradecenoyl-ACP (n-C14:1ACP)[c] &lt;=&gt; acyl carrier protein[c] + H+[c] + tetradecenoate (n-C14:1)[c]</t>
  </si>
  <si>
    <t>FA160ACPH</t>
  </si>
  <si>
    <t>H2O[c] + Palmitoyl-ACP (n-C16:0ACP)[c] &lt;=&gt; acyl carrier protein[c] + H+[c] + Hexadecanoate (n-C16:0)[c]</t>
  </si>
  <si>
    <t>FA161ACPH</t>
  </si>
  <si>
    <t>H2O[c] + Hexadecenoyl-ACP (n-C16:1ACP)[c] &lt;=&gt; acyl carrier protein[c] + H+[c] + hexadecenoate (n-C16:1)[c]</t>
  </si>
  <si>
    <t>FA161tr</t>
  </si>
  <si>
    <t>Transport Hexadecenoate (n-C16:1)</t>
  </si>
  <si>
    <t>Hexadecenoate (n-C16:1)[e] &lt;=&gt; hexadecenoate (n-C16:1)[c]</t>
  </si>
  <si>
    <t>FA180ACPH</t>
  </si>
  <si>
    <t>H2O[c] + Octadecanoyl-ACP (n-C18:0ACP)[c] &lt;=&gt; acyl carrier protein[c] + H+[c] + octadecanoate (n-C18:0)[c]</t>
  </si>
  <si>
    <t>FA181ACPH</t>
  </si>
  <si>
    <t>H2O[c] + Octadecenoyl-ACP (n-C18:1ACP)[c] &lt;=&gt; acyl carrier protein[c] + H+[c] + octadecenoate (n-C18:1)[c]</t>
  </si>
  <si>
    <t>FA182ACPH</t>
  </si>
  <si>
    <t>H2O[c] + Octadecynoyl-ACP (n-C18:2ACP)[c] &lt;=&gt; acyl carrier protein[c] + H+[c] + octadecynoate (n-C18:2)[c]</t>
  </si>
  <si>
    <t>FA182tr</t>
  </si>
  <si>
    <t>Transport Octadecadienoate (n-C18:2)</t>
  </si>
  <si>
    <t>Octadecadienoate[e] &lt;=&gt; octadecynoate (n-C18:2)[c]</t>
  </si>
  <si>
    <t>FA183tr</t>
  </si>
  <si>
    <t>Transport octadecynoate (n-C18:3)</t>
  </si>
  <si>
    <t>octadecynoate (n-C18:3)[e] &lt;=&gt; octadecynoate (n-C18:3)[c]</t>
  </si>
  <si>
    <t>FBA</t>
  </si>
  <si>
    <t>fructose-bisphosphate aldolase</t>
  </si>
  <si>
    <t>4.1.2.13</t>
  </si>
  <si>
    <t>D-Fructose 1,6-bisphosphate[c] &lt;=&gt; Dihydroxyacetone phosphate[c] + Glyceraldehyde 3-phosphate[c]</t>
  </si>
  <si>
    <t>FCLT</t>
  </si>
  <si>
    <t>Heme B synthesis reaction</t>
  </si>
  <si>
    <t>4.99.1.1</t>
  </si>
  <si>
    <t>Fe2+[c] + Protoporphyrin[c] =&gt; 2 H+[c] + Protoheme[c]</t>
  </si>
  <si>
    <t>FLVR</t>
  </si>
  <si>
    <t>flavin reductase</t>
  </si>
  <si>
    <t>1.5.1.30; 1.5.1.36; 1.5.1.41; 1.5.1.38</t>
  </si>
  <si>
    <t>H+[c] + Nicotinamide adenine dinucleotide phosphate - reduced[c] + Riboflavin[c] =&gt; Nicotinamide adenine dinucleotide phosphate[c] + Reduced riboflavin[c]</t>
  </si>
  <si>
    <t>GCODGGCH_00210 or GCODGGCH_00210</t>
  </si>
  <si>
    <t>kegg.reaction/R05707;metanetx.reaction/MNXR99601;biocyc/META:NADPH-DEHYDROGENASE-FLAVIN-RXN;rhea/19377;rhea/19378;rhea/19379;rhea/19380;bigg.reaction/FLVR;sbo/SBO:0000375</t>
  </si>
  <si>
    <t>FMETDF</t>
  </si>
  <si>
    <t>formylmethionine deformylase</t>
  </si>
  <si>
    <t>3.5.1.31; 3.5.1.88</t>
  </si>
  <si>
    <t>N-Formyl-L-methionine[c] + H2O[c] =&gt; Formate[c] + L-Methionine[c]</t>
  </si>
  <si>
    <t>GCODGGCH_01502 or GCODGGCH_00734</t>
  </si>
  <si>
    <t>kegg.reaction/R00653;metanetx.reaction/MNXR99603;biocyc/META:FORMYLMETHIONINE-DEFORMYLASE-RXN;rhea/17781;rhea/17782;rhea/17783;rhea/17784;bigg.reaction/FMETDF;sbo/SBO:0000375</t>
  </si>
  <si>
    <t>FMETTRS</t>
  </si>
  <si>
    <t>Methionyl-tRNA formyltransferase</t>
  </si>
  <si>
    <t>2.1.2.9</t>
  </si>
  <si>
    <t>10-Formyltetrahydrofolate[c] + L-Methionyl-tRNA (Met)[c] =&gt; N-Formylmethionyl-tRNA[c] + H+[c] + 5,6,7,8-Tetrahydrofolate[c]</t>
  </si>
  <si>
    <t>GCODGGCH_01457</t>
  </si>
  <si>
    <t>One carbon pool by folate</t>
  </si>
  <si>
    <t>FMNAT</t>
  </si>
  <si>
    <t>FMN adenylyltransferase</t>
  </si>
  <si>
    <t>2.7.7.2</t>
  </si>
  <si>
    <t>ATP[c] + flavin mononucleotide[c] + H+[c] =&gt; FAD[c] + Diphosphate[c]</t>
  </si>
  <si>
    <t>GCODGGCH_00832</t>
  </si>
  <si>
    <t>kegg.reaction/R00161;metanetx.reaction/MNXR95501;biocyc/META:FADSYN-RXN;rhea/17237;rhea/17238;rhea/17239;rhea/17240;bigg.reaction/FMNAT;sbo/SBO:0000375</t>
  </si>
  <si>
    <t>FMNRx</t>
  </si>
  <si>
    <t>FMN reductase</t>
  </si>
  <si>
    <t>1.5.1.-; 1.5.1.36; 1.5.1.39; 1.5.1.41; 1.5.1.42</t>
  </si>
  <si>
    <t>flavin mononucleotide[c] + H+[c] + Nicotinamide adenine dinucleotide - reduced[c] &lt;=&gt; Reduced FMN[c] + Nicotinamide adenine dinucleotide[c]</t>
  </si>
  <si>
    <t>FRD</t>
  </si>
  <si>
    <t>fumarate reductase</t>
  </si>
  <si>
    <t>1.3.5.1; 1.3.5.4</t>
  </si>
  <si>
    <t>Fumarate[c] + Menaquinol 7[c] =&gt; Menaquinone 7[c] + Succinate[c]</t>
  </si>
  <si>
    <t>GCODGGCH_01103 or GCODGGCH_01815</t>
  </si>
  <si>
    <t>FRTT</t>
  </si>
  <si>
    <t>farnesyltranstransferase</t>
  </si>
  <si>
    <t>2.5.1.29</t>
  </si>
  <si>
    <t>Farnesyl diphosphate[c] + Isopentenyl diphosphate[c] =&gt; Geranylgeranyl diphosphate[c] + Diphosphate[c]</t>
  </si>
  <si>
    <t>kegg.reaction/R02061;metanetx.reaction/MNXR99650;biocyc/META:FARNESYLTRANSTRANSFERASE-RXN;rhea/17653;rhea/17654;rhea/17655;rhea/17656;bigg.reaction/FRTT;sbo/SBO:0000375</t>
  </si>
  <si>
    <t>FRUK</t>
  </si>
  <si>
    <t>fructokinase</t>
  </si>
  <si>
    <t>2.7.1.4;2.7.1.1;2.7.1.4</t>
  </si>
  <si>
    <t>ATP[c] + D-Fructose[c] =&gt; ADP[c] + D-Fructose 6-phosphate[c] + H+[c]</t>
  </si>
  <si>
    <t>GCODGGCH_01961</t>
  </si>
  <si>
    <t>Fructose and mannose metabolism</t>
  </si>
  <si>
    <t>FRUabc_e</t>
  </si>
  <si>
    <t>Fructose uptake via ABC system</t>
  </si>
  <si>
    <t>ATP[c] + D-Fructose[e] + H2O[c] =&gt; ADP[c] + D-Fructose[c] + H+[c] + Phosphate[c]</t>
  </si>
  <si>
    <t>Transport</t>
  </si>
  <si>
    <t>FTHFCL</t>
  </si>
  <si>
    <t>5-formyltetrahydrofolate cyclo-ligase</t>
  </si>
  <si>
    <t>6.3.3.2</t>
  </si>
  <si>
    <t>5-Formyltetrahydrofolate[c] + ATP[c] =&gt; ADP[c] + 5,10-Methenyltetrahydrofolate[c] + Phosphate[c]</t>
  </si>
  <si>
    <t>GCODGGCH_01451 or GCODGGCH_01489</t>
  </si>
  <si>
    <t>FTHFL</t>
  </si>
  <si>
    <t>formate-tetrahydrofolate ligase</t>
  </si>
  <si>
    <t>6.3.4.3</t>
  </si>
  <si>
    <t>ATP[c] + Formate[c] + 5,6,7,8-Tetrahydrofolate[c] =&gt; 10-Formyltetrahydrofolate[c] + ADP[c] + Phosphate[c]</t>
  </si>
  <si>
    <t>GCODGGCH_00128</t>
  </si>
  <si>
    <t>FUCt</t>
  </si>
  <si>
    <t>L-fucose transport via proton symport</t>
  </si>
  <si>
    <t>L-Fucose[e] + H+[e] &lt;=&gt; L-Fucose[c] + H+[c]</t>
  </si>
  <si>
    <t>FUM</t>
  </si>
  <si>
    <t>fumarase</t>
  </si>
  <si>
    <t>4.2.1.2</t>
  </si>
  <si>
    <t>Fumarate[c] + H2O[c] &lt;=&gt; L-Malate[c]</t>
  </si>
  <si>
    <t>GCODGGCH_01816</t>
  </si>
  <si>
    <t>kegg.reaction/R01082;metanetx.reaction/MNXR99705;biocyc/META:FUMHYDR-RXN;rhea/12460;rhea/12461;rhea/12462;rhea/12463;bigg.reaction/FUM;sbo/SBO:0000375</t>
  </si>
  <si>
    <t>TCA cycle</t>
  </si>
  <si>
    <t>G1PACT</t>
  </si>
  <si>
    <t>glucosamine-1-phosphate N-acetyltransferase</t>
  </si>
  <si>
    <t>2.3.1.157; 2.3.1.4</t>
  </si>
  <si>
    <t>Acetyl-CoA[c] + D-Glucosamine 1-phosphate[c] =&gt; N-Acetyl-D-glucosamine 1-phosphate[c] + Coenzyme A[c] + H+[c]</t>
  </si>
  <si>
    <t>GCODGGCH_00230</t>
  </si>
  <si>
    <t>metanetx.reaction/MNXR99841;bigg.reaction/G1PACT;sbo/SBO:0000375</t>
  </si>
  <si>
    <t>Amino sugar and nucleotide sugar metabolism</t>
  </si>
  <si>
    <t>G1PPDM</t>
  </si>
  <si>
    <t>glucose-1-phosphate phosphodismutase</t>
  </si>
  <si>
    <t>2.7.1.41</t>
  </si>
  <si>
    <t>2 D-Glucose 1-phosphate[c] =&gt; D-Glucose 1,6-bisphosphate[c] + D-Glucose[c]</t>
  </si>
  <si>
    <t>GCODGGCH_00030</t>
  </si>
  <si>
    <t>metanetx.reaction/MNXR99845;bigg.reaction/G1PPDM;sbo/SBO:0000375</t>
  </si>
  <si>
    <t>Starch and sucrose metabolism</t>
  </si>
  <si>
    <t>G1PTMT</t>
  </si>
  <si>
    <t>glucose-1-phosphate thymidylyltransferase</t>
  </si>
  <si>
    <t>2.7.7.24</t>
  </si>
  <si>
    <t>dTTP[c] + D-Glucose 1-phosphate[c] + H+[c] =&gt; dTDPglucose[c] + Diphosphate[c]</t>
  </si>
  <si>
    <t>GCODGGCH_01646 or GCODGGCH_00111</t>
  </si>
  <si>
    <t>bigg.reaction/G1PTMT;sbo/SBO:0000375</t>
  </si>
  <si>
    <t>Polyketide sugar unit biosynthesis</t>
  </si>
  <si>
    <t>G1SAT</t>
  </si>
  <si>
    <t>glutamate-1-semialdehyde aminotransferase</t>
  </si>
  <si>
    <t>5.4.3.8</t>
  </si>
  <si>
    <t>L-Glutamate 1-semialdehyde[c] &lt;=&gt; 5-Amino-4-oxopentanoate[c]</t>
  </si>
  <si>
    <t>G35DP</t>
  </si>
  <si>
    <t>guanosine-3',5'-bis(diphosphate) 3'-diphosphatase</t>
  </si>
  <si>
    <t>3.1.7.2</t>
  </si>
  <si>
    <t>H2O[c] + Guanosine 3',5'-bis(diphosphate)[c] =&gt; GDP[c] + Diphosphate[c]</t>
  </si>
  <si>
    <t>GCODGGCH_01317</t>
  </si>
  <si>
    <t>G3PCT</t>
  </si>
  <si>
    <t>glycerol-3-phosphate cytidylyltransferase</t>
  </si>
  <si>
    <t>2.7.7.39</t>
  </si>
  <si>
    <t>CTP[c] + sn-Glycerol 3-phosphate[c] + H+[c] =&gt; CDPglycerol[c] + Diphosphate[c]</t>
  </si>
  <si>
    <t>kegg.reaction/R00856;metanetx.reaction/MNXR99872;biocyc/META:2.7.7.39-RXN;rhea/13361;rhea/13362;rhea/13363;rhea/13364;bigg.reaction/G3PCT;sbo/SBO:0000375</t>
  </si>
  <si>
    <t>G3PD1</t>
  </si>
  <si>
    <t>glycerol-3-phosphate dehydrogenase (NAD)</t>
  </si>
  <si>
    <t xml:space="preserve"> 1.1.1.8;1.1.1.94</t>
  </si>
  <si>
    <t>sn-Glycerol 3-phosphate[c] + Nicotinamide adenine dinucleotide[c] &lt;=&gt; Dihydroxyacetone phosphate[c] + H+[c] + Nicotinamide adenine dinucleotide - reduced[c]</t>
  </si>
  <si>
    <t>GCODGGCH_00403</t>
  </si>
  <si>
    <t>G5SADs</t>
  </si>
  <si>
    <t>L-glutamate 5-semialdehyde dehydratase (spontaneous)</t>
  </si>
  <si>
    <t>spontaneous</t>
  </si>
  <si>
    <t>L-Glutamate 5-semialdehyde[c] =&gt; 1-Pyrroline-5-carboxylate[c] + H2O[c] + H+[c]</t>
  </si>
  <si>
    <t>Proline metabolism</t>
  </si>
  <si>
    <t>G5SD</t>
  </si>
  <si>
    <t>glutamate-5-semialdehyde dehydrogenase</t>
  </si>
  <si>
    <t>1.2.1.41</t>
  </si>
  <si>
    <t>L-Glutamate 5-phosphate[c] + H+[c] + Nicotinamide adenine dinucleotide phosphate - reduced[c] =&gt; L-Glutamate 5-semialdehyde[c] + Nicotinamide adenine dinucleotide phosphate[c] + Phosphate[c]</t>
  </si>
  <si>
    <t>GCODGGCH_01566</t>
  </si>
  <si>
    <t>kegg.reaction/R03313;metanetx.reaction/MNXR99896;biocyc/META:GLUTSEMIALDEHYDROG-RXN;rhea/19541;rhea/19542;rhea/19543;rhea/19544;bigg.reaction/G5SD;sbo/SBO:0000375</t>
  </si>
  <si>
    <t>G6PDA</t>
  </si>
  <si>
    <t>glucosamine-6-phosphate deaminase</t>
  </si>
  <si>
    <t>3.5.99.6</t>
  </si>
  <si>
    <t>D-Glucosamine 6-phosphate[c] + H2O[c] =&gt; D-Fructose 6-phosphate[c] + Ammonium[c]</t>
  </si>
  <si>
    <t>G6PDH2r</t>
  </si>
  <si>
    <t>glucose 6-phosphate dehydrogenase</t>
  </si>
  <si>
    <t>1.1.1.363; 1.1.1.49</t>
  </si>
  <si>
    <t>D-Glucose 6-phosphate[c] + Nicotinamide adenine dinucleotide phosphate[c] &lt;=&gt; 6-phospho-D-glucono-1,5-lactone[c] + H+[c] + Nicotinamide adenine dinucleotide phosphate - reduced[c]</t>
  </si>
  <si>
    <t>GCODGGCH_02050</t>
  </si>
  <si>
    <t>kegg.reaction/R00835;metanetx.reaction/MNXR99907;biocyc/META:GLU6PDEHYDROG-RXN;rhea/15841;rhea/15842;rhea/15843;rhea/15844;bigg.reaction/G6PDH2r;sbo/SBO:0000375</t>
  </si>
  <si>
    <t>G6PI</t>
  </si>
  <si>
    <t>Glucose-6-phosphate isomerase</t>
  </si>
  <si>
    <t>5.1.3.15; 5.3.1.9</t>
  </si>
  <si>
    <t>D-Glucose 6-phosphate[c] &lt;=&gt; beta-D-glucose 6-phosphate[c]</t>
  </si>
  <si>
    <t>GCODGGCH_00482 or GCODGGCH_01962</t>
  </si>
  <si>
    <t>metanetx.reaction/MNXR99909;bigg.reaction/G6PI;sbo/SBO:0000375</t>
  </si>
  <si>
    <t>GALK2</t>
  </si>
  <si>
    <t>galactokinase</t>
  </si>
  <si>
    <t>2.7.1.6</t>
  </si>
  <si>
    <t>alpha-D galactose[c] + ATP[c] =&gt; ADP[c] + alpha-D-Galactose 1-phosphate[c] + H+[c]</t>
  </si>
  <si>
    <t>GCODGGCH_02080</t>
  </si>
  <si>
    <t>bigg.reaction/GALK2;sbo/SBO:0000375</t>
  </si>
  <si>
    <t>Galactose metabolism</t>
  </si>
  <si>
    <t>GALM</t>
  </si>
  <si>
    <t>aldose 1-epimerase</t>
  </si>
  <si>
    <t>5.1.3.3</t>
  </si>
  <si>
    <t>D-Galactose[c] &lt;=&gt; alpha-D galactose[c]</t>
  </si>
  <si>
    <t>GCODGGCH_01937</t>
  </si>
  <si>
    <t>bigg.reaction/GALM;sbo/SBO:0000375</t>
  </si>
  <si>
    <t>GALS3</t>
  </si>
  <si>
    <t>a-galactosidase (melibiose)</t>
  </si>
  <si>
    <t>3.2.1.20; 3.2.1.22</t>
  </si>
  <si>
    <t>H2O[c] + Melibiose[c] =&gt; D-Galactose[c] + D-Glucose[c]</t>
  </si>
  <si>
    <t>GCODGGCH_02077 or GCODGGCH_02077</t>
  </si>
  <si>
    <t>kegg.reaction/R01101;kegg.reaction/R06091;metanetx.reaction/MNXR97317;biocyc/META:ALPHAGALACTOSID-RXN;bigg.reaction/GALS3;sbo/SBO:0000375</t>
  </si>
  <si>
    <t>GALSZ</t>
  </si>
  <si>
    <t>beta-galactosidase</t>
  </si>
  <si>
    <t xml:space="preserve"> 3.2.1.108; 3.2.1.23;3.2.1.108;3.2.1.23</t>
  </si>
  <si>
    <t>H2O[c] + Lactose[c] =&gt; D-Galactose[c] + D-Glucose[c]</t>
  </si>
  <si>
    <t>GCODGGCH_00305 or GCODGGCH_00306</t>
  </si>
  <si>
    <t>GALT</t>
  </si>
  <si>
    <t>galactose-1-phosphate uridylyltransferase</t>
  </si>
  <si>
    <t>2.7.7.10; 2.7.7.64</t>
  </si>
  <si>
    <t>alpha-D-Galactose 1-phosphate[c] + H+[c] + UTP[c] &lt;=&gt; Diphosphate[c] + UDPgalactose[c]</t>
  </si>
  <si>
    <t>GCODGGCH_02079</t>
  </si>
  <si>
    <t>kegg.reaction/R00502;metanetx.reaction/MNXR100014;biocyc/META:UTPHEXPURIDYLYLTRANS-RXN;rhea/14209;rhea/14210;rhea/14211;rhea/14212;bigg.reaction/GALT;sbo/SBO:0000375</t>
  </si>
  <si>
    <t>GALU</t>
  </si>
  <si>
    <t>UTP-glucose-1-phosphate uridylyltransferase</t>
  </si>
  <si>
    <t xml:space="preserve"> 2.7.7.64; 2.7.7.9;2.7.7.64;2.7.7.9</t>
  </si>
  <si>
    <t>D-Glucose 1-phosphate[c] + H+[c] + UTP[c] &lt;=&gt; Diphosphate[c] + UDPglucose[c]</t>
  </si>
  <si>
    <t>GCODGGCH_00404</t>
  </si>
  <si>
    <t>GALt</t>
  </si>
  <si>
    <t>galactose transport in/out via proton symport</t>
  </si>
  <si>
    <t>D-Galactose[e] + H+[e] &lt;=&gt; D-Galactose[c] + H+[c]</t>
  </si>
  <si>
    <t>GCODGGCH_02076</t>
  </si>
  <si>
    <t>GAPD</t>
  </si>
  <si>
    <t>glyceraldehyde-3-phosphate dehydrogenase (NAD)</t>
  </si>
  <si>
    <t>1.2.1.12; 1.2.1.59</t>
  </si>
  <si>
    <t>Glyceraldehyde 3-phosphate[c] + Nicotinamide adenine dinucleotide[c] + Phosphate[c] &lt;=&gt; 3-Phospho-D-glyceroyl phosphate[c] + H+[c] + Nicotinamide adenine dinucleotide - reduced[c]</t>
  </si>
  <si>
    <t>GCODGGCH_00440</t>
  </si>
  <si>
    <t>kegg.reaction/R01061;metanetx.reaction/MNXR100040;biocyc/META:GAPOXNPHOSPHN-RXN;rhea/10300;rhea/10301;rhea/10302;rhea/10303;bigg.reaction/GAPD;sbo/SBO:0000375</t>
  </si>
  <si>
    <t>GARFT</t>
  </si>
  <si>
    <t>phosphoribosylglycinamide formyltransferase</t>
  </si>
  <si>
    <t>2.1.2.2</t>
  </si>
  <si>
    <t>10-Formyltetrahydrofolate[c] + N1-(5-Phospho-D-ribosyl)glycinamide[c] &lt;=&gt; N2-Formyl-N1-(5-phospho-D-ribosyl)glycinamide[c] + H+[c] + 5,6,7,8-Tetrahydrofolate[c]</t>
  </si>
  <si>
    <t>GCODGGCH_00140</t>
  </si>
  <si>
    <t>kegg.reaction/R04325;metanetx.reaction/MNXR99623;rhea/15053;rhea/15054;rhea/15055;rhea/15056;bigg.reaction/GARFT;sbo/SBO:0000375</t>
  </si>
  <si>
    <t>GAT1_LRE</t>
  </si>
  <si>
    <t>glycerol 3-phosphate acyltransferase (Lb reuteri specific)</t>
  </si>
  <si>
    <t>0.0211 cyclopropanoyl octadecanoyl-[acyl-carrier protein][c] + sn-Glycerol 3-phosphate[c] + 0.0258 Hexadecenoyl-ACP (n-C16:1ACP)[c] + 0.075 Octadecanoyl-[acyl-carrier protein][c] + 0.0418 octadecatrienoyl-ACP (n-C18:3ACP)[c] + 0.3519 Octadecynoyl-ACP (n-C18:2ACP)[c] + 0.1591 Octadecenoyl-ACP (n-C18:1ACP)[c] + 0.2566 Palmitoyl-ACP (n-C16:0ACP)[c] + 0.0687 Tetradecanoyl-[acyl-carrier protein][c] =&gt; acyl carrier protein[c] + 1-Acyl-sn-glycerol 3-phosphate[c]</t>
  </si>
  <si>
    <t>GCALDt</t>
  </si>
  <si>
    <t>Glycoaldehydye reversible transport</t>
  </si>
  <si>
    <t>Glycolaldehyde[e] &lt;=&gt; Glycolaldehyde[c]</t>
  </si>
  <si>
    <t>GF6PTA</t>
  </si>
  <si>
    <t>glutamine-fructose-6-phosphate transaminase</t>
  </si>
  <si>
    <t>2.6.1.16</t>
  </si>
  <si>
    <t>D-Fructose 6-phosphate[c] + L-Glutamine[c] =&gt; D-Glucosamine 6-phosphate[c] + L-Glutamate[c]</t>
  </si>
  <si>
    <t>GCODGGCH_00459</t>
  </si>
  <si>
    <t>metanetx.reaction/MNXR100107;biocyc/META:L-GLN-FRUCT-6-P-AMINOTRANS-RXN;bigg.reaction/GF6PTA;sbo/SBO:0000375</t>
  </si>
  <si>
    <t>GGGABAH</t>
  </si>
  <si>
    <t>gammaglutamyl-gamma-aminobutyrate hydrolase</t>
  </si>
  <si>
    <t>3.5.1.94</t>
  </si>
  <si>
    <t>gammaglutamyl-gamma-aminobutyrate[c] + H2O[c] =&gt; 4-Aminobutanoate[c] + L-Glutamate[c]</t>
  </si>
  <si>
    <t>GCODGGCH_01761</t>
  </si>
  <si>
    <t>kegg.reaction/R07419;metanetx.reaction/MNXR100114;biocyc/META:RXN0-3942;rhea/19737;rhea/19738;rhea/19739;rhea/19740;bigg.reaction/GGGABAH;sbo/SBO:0000375</t>
  </si>
  <si>
    <t>GHMT2r</t>
  </si>
  <si>
    <t>glycine hydroxymethyltransferase</t>
  </si>
  <si>
    <t>2.1.2.1</t>
  </si>
  <si>
    <t>L-Serine[c] + 5,6,7,8-Tetrahydrofolate[c] &lt;=&gt; Glycine[c] + H2O[c] + 5,10-Methylenetetrahydrofolate[c]</t>
  </si>
  <si>
    <t>GCODGGCH_00505</t>
  </si>
  <si>
    <t>kegg.reaction/R00945;metanetx.reaction/MNXR100142;rhea/15481;rhea/15482;rhea/15483;rhea/15484;bigg.reaction/GHMT2r;sbo/SBO:0000375</t>
  </si>
  <si>
    <t>GK1</t>
  </si>
  <si>
    <t>guanylate kinase (GMP:ATP)</t>
  </si>
  <si>
    <t>2.7.4.8</t>
  </si>
  <si>
    <t>ATP[c] + GMP[c] =&gt; ADP[c] + GDP[c]</t>
  </si>
  <si>
    <t>GCODGGCH_01461</t>
  </si>
  <si>
    <t>kegg.reaction/R00332;metanetx.reaction/MNXR100144;biocyc/META:GUANYL-KIN-RXN;rhea/20780;rhea/20781;rhea/20782;rhea/20783;bigg.reaction/GK1;sbo/SBO:0000375</t>
  </si>
  <si>
    <t>GLCNt2</t>
  </si>
  <si>
    <t>D-gluconate transport via proton symport, reversible</t>
  </si>
  <si>
    <t>D-Gluconate[e] + H+[e] &lt;=&gt; D-Gluconate[c] + H+[c]</t>
  </si>
  <si>
    <t>GCODGGCH_00596 or GCODGGCH_01007</t>
  </si>
  <si>
    <t>GLCt</t>
  </si>
  <si>
    <t>D-glucose transport in via proton symport</t>
  </si>
  <si>
    <t>D-Glucose[e] + H+[e] =&gt; D-Glucose[c] + H+[c]</t>
  </si>
  <si>
    <t>OLD_iTN656_AC5u0009GL000984 or GCODGGCH_00477 or GCODGGCH_00477</t>
  </si>
  <si>
    <t>GLNS</t>
  </si>
  <si>
    <t>glutamine synthetase</t>
  </si>
  <si>
    <t>6.3.1.2</t>
  </si>
  <si>
    <t>ATP[c] + L-Glutamate[c] + Ammonium[c] =&gt; ADP[c] + L-Glutamine[c] + H+[c] + Phosphate[c]</t>
  </si>
  <si>
    <t>GCODGGCH_01482</t>
  </si>
  <si>
    <t>kegg.reaction/R00253;metanetx.reaction/MNXR100024;biocyc/META:GLUTAMINESYN-RXN;rhea/16169;rhea/16170;rhea/16171;rhea/16172;bigg.reaction/GLNS;sbo/SBO:0000375</t>
  </si>
  <si>
    <t>GLNTAL</t>
  </si>
  <si>
    <t>glutamyl-tRNA(Gln):L-glutamine amido-ligase (ADP-forming)</t>
  </si>
  <si>
    <t>6.3.5.7</t>
  </si>
  <si>
    <t>ATP[c] + L-Glutamine[c] + L-Glutamyl-tRNA(Glu)[c] + H2O[c] &lt;=&gt; ADP[c] + L-Glutaminyl-tRNA(Gln)[c] + L-Glutamate[c] + H+[c] + Phosphate[c]</t>
  </si>
  <si>
    <t>GCODGGCH_01709 or GCODGGCH_01710 or GCODGGCH_01711</t>
  </si>
  <si>
    <t>GLNabc</t>
  </si>
  <si>
    <t>L-glutamine transport via ABC system</t>
  </si>
  <si>
    <t>ATP[c] + L-Glutamine[e] + H2O[c] =&gt; ADP[c] + L-Glutamine[c] + H+[c] + Phosphate[c]</t>
  </si>
  <si>
    <t>OLD_iTN656_AC5u0009GL001235 or OLD_iTN656_AC5u0009GL001236 or GCODGGCH_00078 or 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GCODGGCH_00062 or GCODGGCH_00079 or GCODGGCH_00611 or GCODGGCH_00758 or GCODGGCH_01302 or GCODGGCH_01309 or GCODGGCH_01896 or GCODGGCH_02085 or 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GCODGGCH_00611 or GCODGGCH_02113 or GCODGGCH_00062 or GCODGGCH_00079 or GCODGGCH_00611 or GCODGGCH_00758 or GCODGGCH_01302 or GCODGGCH_01309 or GCODGGCH_01896 or GCODGGCH_02085 or OLD_iTN656_AC5u0009GL001234 or OLD_iTN656_AC5u0009GL001235 or OLD_iTN656_AC5u0009GL001236</t>
  </si>
  <si>
    <t>metanetx.reaction/MNXR100258;biocyc/META:ABC-12-RXN;rhea/29895#1;rhea/29896#1;rhea/29897#1;rhea/29898#1;bigg.reaction/GLNabc;sbo/SBO:0000375</t>
  </si>
  <si>
    <t>GLTAL</t>
  </si>
  <si>
    <t>Glucose lipoteichoic acid ligase</t>
  </si>
  <si>
    <t>2.4.1.52</t>
  </si>
  <si>
    <t>lipoteichoic acid (n=25, LRE specific)[c] + 20 UDPglucose[c] =&gt; Lipoteichoic acid (n=25 with glucose residues, LRE specific)[c] + 20 H+[c] + 20 UDP[c]</t>
  </si>
  <si>
    <t>GCODGGCH_00059 or GCODGGCH_00060</t>
  </si>
  <si>
    <t>GLU5K</t>
  </si>
  <si>
    <t>glutamate 5-kinase</t>
  </si>
  <si>
    <t>2.7.2.11</t>
  </si>
  <si>
    <t>ATP[c] + L-Glutamate[c] =&gt; ADP[c] + L-Glutamate 5-phosphate[c]</t>
  </si>
  <si>
    <t>GCODGGCH_01567</t>
  </si>
  <si>
    <t>kegg.reaction/R00239;metanetx.reaction/MNXR100277;biocyc/META:GLUTKIN-RXN;rhea/14877;rhea/14878;rhea/14879;rhea/14880;bigg.reaction/GLU5K;sbo/SBO:0000375</t>
  </si>
  <si>
    <t>GLUCYSL</t>
  </si>
  <si>
    <t>glutamate-cysteine ligase</t>
  </si>
  <si>
    <t>6.3.2.2</t>
  </si>
  <si>
    <t>ATP[c] + L-Cysteine[c] + L-Glutamate[c] =&gt; ADP[c] + gamma-L-Glutamyl-L-cysteine[c] + H+[c] + Phosphate[c]</t>
  </si>
  <si>
    <t>GCODGGCH_00749 or GCODGGCH_01072 or GCODGGCH_01002 or GCODGGCH_01665</t>
  </si>
  <si>
    <t>GLUK</t>
  </si>
  <si>
    <t>glucokinase</t>
  </si>
  <si>
    <t>2.7.1.2;2.7.1.1;2.7.1.2</t>
  </si>
  <si>
    <t>ATP[c] + D-Glucose[c] =&gt; ADP[c] + D-Glucose 6-phosphate[c] + H+[c]</t>
  </si>
  <si>
    <t>GCODGGCH_01486</t>
  </si>
  <si>
    <t>GLUN</t>
  </si>
  <si>
    <t>glutaminase</t>
  </si>
  <si>
    <t>1.4.1.13; 1.4.7.1; 3.5.1.2; 3.5.1.38; 4.3.3.6; 6.3.4.2; 6.3.5.2; 6.3.5.4; 6.3.5.5</t>
  </si>
  <si>
    <t>L-Glutamine[c] + H2O[c] =&gt; L-Glutamate[c] + Ammonium[c]</t>
  </si>
  <si>
    <t>GLUPRT</t>
  </si>
  <si>
    <t>glutamine phosphoribosyldiphosphate amidotransferase</t>
  </si>
  <si>
    <t>2.4.2.14</t>
  </si>
  <si>
    <t>L-Glutamine[c] + H2O[c] + 5-Phospho-alpha-D-ribose 1-diphosphate[c] =&gt; L-Glutamate[c] + Diphosphate[c] + 5-Phospho-beta-D-ribosylamine[c]</t>
  </si>
  <si>
    <t>GCODGGCH_00138</t>
  </si>
  <si>
    <t>kegg.reaction/R01072;metanetx.reaction/MNXR100287;biocyc/META:PRPPAMIDOTRANS-RXN;rhea/14905;rhea/14906;rhea/14907;rhea/14908;bigg.reaction/GLUPRT;sbo/SBO:0000375</t>
  </si>
  <si>
    <t>GLUR</t>
  </si>
  <si>
    <t>glutamate racemase</t>
  </si>
  <si>
    <t>5.1.1.3</t>
  </si>
  <si>
    <t>D-Glutamate[c] &lt;=&gt; L-Glutamate[c]</t>
  </si>
  <si>
    <t>GCODGGCH_00638 or GCODGGCH_00638</t>
  </si>
  <si>
    <t>kegg.reaction/R00260;metanetx.reaction/MNXR100288;biocyc/META:GLUTRACE-RXN;rhea/12813;rhea/12814;rhea/12815;rhea/12816;bigg.reaction/GLUR;sbo/SBO:0000375</t>
  </si>
  <si>
    <t>Glutamine and glutamate metabolism</t>
  </si>
  <si>
    <t>GLUTRR</t>
  </si>
  <si>
    <t>glutamyl-tRNA reductase</t>
  </si>
  <si>
    <t>1.2.1.70</t>
  </si>
  <si>
    <t>L-Glutamyl-tRNA(Glu)[c] + H+[c] + Nicotinamide adenine dinucleotide phosphate - reduced[c] =&gt; L-Glutamate 1-semialdehyde[c] + Nicotinamide adenine dinucleotide phosphate[c] + tRNA (Glu)[c]</t>
  </si>
  <si>
    <t>GLUTRS</t>
  </si>
  <si>
    <t>Glutamyl-tRNA synthetase</t>
  </si>
  <si>
    <t>6.1.1.-; 6.1.1.17; 6.1.1.24</t>
  </si>
  <si>
    <t>ATP[c] + L-Glutamate[c] + tRNA (Glu)[c] =&gt; AMP[c] + L-Glutamyl-tRNA(Glu)[c] + Diphosphate[c]</t>
  </si>
  <si>
    <t>GCODGGCH_00317</t>
  </si>
  <si>
    <t>kegg.reaction/R05578;metanetx.reaction/MNXR100295;bigg.reaction/GLUTRS;sbo/SBO:0000375</t>
  </si>
  <si>
    <t>GLUt6</t>
  </si>
  <si>
    <t>L-glutamate transport in/out via proton symporter</t>
  </si>
  <si>
    <t>L-Glutamate[e] + H+[e] &lt;=&gt; L-Glutamate[c] + H+[c]</t>
  </si>
  <si>
    <t>GCODGGCH_02057</t>
  </si>
  <si>
    <t>GLYBabc</t>
  </si>
  <si>
    <t>glycine betaine transport via ABC system</t>
  </si>
  <si>
    <t>ATP[c] + Glycine betaine[e] + H2O[c] =&gt; ADP[c] + Glycine betaine[c] + H+[c] + Phosphate[c]</t>
  </si>
  <si>
    <t>metanetx.reaction/MNXR100314;biocyc/META:TRANS-RXN-283;rhea/32783#1;rhea/32784#1;rhea/32785#1;rhea/32786#1;bigg.reaction/GLYBabc;sbo/SBO:0000375</t>
  </si>
  <si>
    <t>GLYBt6</t>
  </si>
  <si>
    <t>betaine (glycine betaine) transport in/out via proton symport</t>
  </si>
  <si>
    <t>Glycine betaine[e] + H+[e] &lt;=&gt; Glycine betaine[c] + H+[c]</t>
  </si>
  <si>
    <t>GLYCDH</t>
  </si>
  <si>
    <t>glycerol dehydratase</t>
  </si>
  <si>
    <t>4.2.1.30</t>
  </si>
  <si>
    <t>Glycerol[c] &lt;=&gt; 3-Hydroxypropanal[c] + H2O[c]</t>
  </si>
  <si>
    <t>GLYCDx</t>
  </si>
  <si>
    <t>Glycerol dehydrogenase</t>
  </si>
  <si>
    <t>Glycerol[c] + Nicotinamide adenine dinucleotide[c] =&gt; Dihydroxyacetone[c] + H+[c] + Nicotinamide adenine dinucleotide - reduced[c]</t>
  </si>
  <si>
    <t>kegg.reaction/R01034;metanetx.reaction/MNXR100326;biocyc/META:GLYCDEH-RXN;rhea/13769;rhea/13770;rhea/13771;rhea/13772;bigg.reaction/GLYCDx;sbo/SBO:0000375</t>
  </si>
  <si>
    <t>GLYCK</t>
  </si>
  <si>
    <t>glycerate kinase</t>
  </si>
  <si>
    <t>2.7.1.31</t>
  </si>
  <si>
    <t>ATP[c] + (R)-Glycerate[c] =&gt; 3-Phospho-D-glycerate[c] + ADP[c] + H+[c]</t>
  </si>
  <si>
    <t>GCODGGCH_00597</t>
  </si>
  <si>
    <t>kegg.reaction/R01514;metanetx.reaction/MNXR100328;biocyc/META:GLY3KIN-RXN;rhea/23516;rhea/23517;rhea/23518;rhea/23519;bigg.reaction/GLYCK;sbo/SBO:0000375</t>
  </si>
  <si>
    <t>GLYCt5</t>
  </si>
  <si>
    <t>glycerol transport in/out via diffusion reversible</t>
  </si>
  <si>
    <t>Glycerol[c] &lt;=&gt; Glycerol[e]</t>
  </si>
  <si>
    <t>GLYK</t>
  </si>
  <si>
    <t>glycerol kinase</t>
  </si>
  <si>
    <t>2.7.1.30</t>
  </si>
  <si>
    <t>ATP[c] + Glycerol[c] =&gt; ADP[c] + sn-Glycerol 3-phosphate[c] + H+[c]</t>
  </si>
  <si>
    <t>GCODGGCH_00927</t>
  </si>
  <si>
    <t>kegg.reaction/R00847;metanetx.reaction/MNXR100348;biocyc/META:GLYCEROL-KIN-RXN;rhea/21644;rhea/21645;rhea/21646;rhea/21647;bigg.reaction/GLYK;sbo/SBO:0000375</t>
  </si>
  <si>
    <t>GLYTRS</t>
  </si>
  <si>
    <t>Glycyl-tRNA synthetase</t>
  </si>
  <si>
    <t>6.1.1.14</t>
  </si>
  <si>
    <t>ATP[c] + Glycine[c] + tRNA(Gly)[c] =&gt; AMP[c] + Glycyl-tRNA(Gly)[c] + Diphosphate[c]</t>
  </si>
  <si>
    <t>GCODGGCH_01281 and GCODGGCH_01280</t>
  </si>
  <si>
    <t>GLYt6</t>
  </si>
  <si>
    <t>glycine transport in/out via proton symport</t>
  </si>
  <si>
    <t>Glycine[e] + H+[e] &lt;=&gt; Glycine[c] + H+[c]</t>
  </si>
  <si>
    <t>GMPR</t>
  </si>
  <si>
    <t>GMP reductase</t>
  </si>
  <si>
    <t>1.7.1.7</t>
  </si>
  <si>
    <t>GMP[c] + 2 H+[c] + Nicotinamide adenine dinucleotide phosphate - reduced[c] =&gt; IMP[c] + Nicotinamide adenine dinucleotide phosphate[c] + Ammonium[c]</t>
  </si>
  <si>
    <t>GCODGGCH_00049</t>
  </si>
  <si>
    <t>kegg.reaction/R01134;metanetx.reaction/MNXR100382;biocyc/META:GMP-REDUCT-RXN;rhea/17185;rhea/17186;rhea/17187;rhea/17188;bigg.reaction/GMPR;sbo/SBO:0000375</t>
  </si>
  <si>
    <t>GMPS2</t>
  </si>
  <si>
    <t>GMP synthase (glutamine-hydrolysing)</t>
  </si>
  <si>
    <t>6.3.5.2</t>
  </si>
  <si>
    <t>ATP[c] + L-Glutamine[c] + H2O[c] + Xanthosine 5'-phosphate[c] =&gt; AMP[c] + L-Glutamate[c] + GMP[c] + 2 H+[c] + Diphosphate[c]</t>
  </si>
  <si>
    <t>GCODGGCH_01916 or GCODGGCH_01289</t>
  </si>
  <si>
    <t>kegg.reaction/R01231;metanetx.reaction/MNXR100384;biocyc/META:GMP-SYN-GLUT-RXN;rhea/11680;rhea/11681;rhea/11682;rhea/11683;bigg.reaction/GMPS2;sbo/SBO:0000375</t>
  </si>
  <si>
    <t>GND</t>
  </si>
  <si>
    <t>phosphogluconate dehydrogenase</t>
  </si>
  <si>
    <t>1.1.1.351; 1.1.1.44; 1.1.1.343</t>
  </si>
  <si>
    <t>6-Phospho-D-gluconate[c] + Nicotinamide adenine dinucleotide phosphate[c] =&gt; CO2[c] + Nicotinamide adenine dinucleotide phosphate - reduced[c] + D-Ribulose 5-phosphate[c]</t>
  </si>
  <si>
    <t>GCODGGCH_02051</t>
  </si>
  <si>
    <t>GNK</t>
  </si>
  <si>
    <t>gluconokinase</t>
  </si>
  <si>
    <t>2.7.1.12</t>
  </si>
  <si>
    <t>ATP[c] + D-Gluconate[c] =&gt; 6-Phospho-D-gluconate[c] + ADP[c] + H+[c]</t>
  </si>
  <si>
    <t>GCODGGCH_01008 or GCODGGCH_01008 or GCODGGCH_01008</t>
  </si>
  <si>
    <t>kegg.reaction/R01737;metanetx.reaction/MNXR100390;biocyc/META:GLUCONOKIN-RXN;rhea/19433;rhea/19434;rhea/19435;rhea/19436;bigg.reaction/GNK;sbo/SBO:0000375</t>
  </si>
  <si>
    <t>GPDDA1</t>
  </si>
  <si>
    <t>Glycerophosphodiester phosphodiesterase (sn-Glycero-3-phosphocholine)</t>
  </si>
  <si>
    <t>3.1.4.2; 3.1.4.46</t>
  </si>
  <si>
    <t>sn-Glycero-3-phosphocholine[c] + H2O[c] =&gt; Choline[c] + sn-Glycerol 3-phosphate[c] + H+[c]</t>
  </si>
  <si>
    <t>GPDDA2</t>
  </si>
  <si>
    <t>Glycerophosphodiester phosphodiesterase (Glycerophosphoethanolamine)</t>
  </si>
  <si>
    <t>sn-Glycero-3-phosphoethanolamine[c] + H2O[c] =&gt; Ethanolamine[c] + sn-Glycerol 3-phosphate[c] + H+[c]</t>
  </si>
  <si>
    <t>GPDDA3</t>
  </si>
  <si>
    <t>Glycerophosphodiester phosphodiesterase (Glycerophosphoserine)</t>
  </si>
  <si>
    <t>3.1.4.46</t>
  </si>
  <si>
    <t>Glycerophosphoserine[c] + H2O[c] =&gt; sn-Glycerol 3-phosphate[c] + H+[c] + L-Serine[c]</t>
  </si>
  <si>
    <t>GPDDA4</t>
  </si>
  <si>
    <t>Glycerophosphodiester phosphodiesterase (Glycerophosphoglycerol)</t>
  </si>
  <si>
    <t>Glycerophosphoglycerol[c] + H2O[c] =&gt; sn-Glycerol 3-phosphate[c] + Glycerol[c] + H+[c]</t>
  </si>
  <si>
    <t>GPDDA5</t>
  </si>
  <si>
    <t>Glycerophosphodiester phosphodiesterase (Glycerophosphoinositol)</t>
  </si>
  <si>
    <t>3.1.4.44</t>
  </si>
  <si>
    <t>sn-Glycero-3-phospho-1-inositol[c] + H2O[c] =&gt; sn-Glycerol 3-phosphate[c] + H+[c] + myo-Inositol[c]</t>
  </si>
  <si>
    <t>Inositol phosphate metabolism</t>
  </si>
  <si>
    <t>GRTT</t>
  </si>
  <si>
    <t>geranyltranstransferase</t>
  </si>
  <si>
    <t>2.5.1.10</t>
  </si>
  <si>
    <t>Geranyl diphosphate[c] + Isopentenyl diphosphate[c] =&gt; Farnesyl diphosphate[c] + Diphosphate[c]</t>
  </si>
  <si>
    <t>kegg.reaction/R02003;metanetx.reaction/MNXR99634;biocyc/META:FPPSYN-RXN;rhea/19361;rhea/19362;rhea/19363;rhea/19364;bigg.reaction/GRTT;sbo/SBO:0000375</t>
  </si>
  <si>
    <t>GTHRD</t>
  </si>
  <si>
    <t>glutathione-disulfide reductase</t>
  </si>
  <si>
    <t>1.8.1.7</t>
  </si>
  <si>
    <t>2 Reduced glutathione[c] + Nicotinamide adenine dinucleotide phosphate[c] &lt;=&gt; Oxidized glutathione[c] + H+[c] + Nicotinamide adenine dinucleotide phosphate - reduced[c]</t>
  </si>
  <si>
    <t>GCODGGCH_01400</t>
  </si>
  <si>
    <t>Glutathione metabolism</t>
  </si>
  <si>
    <t>GTHS</t>
  </si>
  <si>
    <t>glutathione synthase</t>
  </si>
  <si>
    <t>6.3.2.3</t>
  </si>
  <si>
    <t>ATP[c] + gamma-L-Glutamyl-L-cysteine[c] + Glycine[c] =&gt; ADP[c] + Reduced glutathione[c] + H+[c] + Phosphate[c]</t>
  </si>
  <si>
    <t>GCODGGCH_00749 or GCODGGCH_01072</t>
  </si>
  <si>
    <t>kegg.reaction/R00497;metanetx.reaction/MNXR100450;biocyc/META:GLUTATHIONE-SYN-RXN;rhea/13557;rhea/13558;rhea/13559;rhea/13560;bigg.reaction/GTHS;sbo/SBO:0000375</t>
  </si>
  <si>
    <t>GTPCI</t>
  </si>
  <si>
    <t>GTP cyclohydrolase I</t>
  </si>
  <si>
    <t>3.5.4.16</t>
  </si>
  <si>
    <t>GTP[c] + H2O[c] =&gt; 2-Amino-4-hydroxy-6-(erythro-1,2,3-trihydroxypropyl)dihydropteridine triphosphate[c] + Formate[c] + H+[c]</t>
  </si>
  <si>
    <t>GCODGGCH_01549</t>
  </si>
  <si>
    <t>kegg.reaction/R00424;metanetx.reaction/MNXR100453;biocyc/META:GTP-CYCLOHYDRO-I-RXN;rhea/17473;rhea/17474;rhea/17475;rhea/17476;bigg.reaction/GTPCI;sbo/SBO:0000375</t>
  </si>
  <si>
    <t>GTPCII</t>
  </si>
  <si>
    <t>GTP cyclohydrolase II</t>
  </si>
  <si>
    <t>3.5.4.25</t>
  </si>
  <si>
    <t>GTP[c] + 3 H2O[c] =&gt; 2,5-Diamino-6-hydroxy-4-(5'-phosphoribosylamino)-pyrimidine[c] + Formate[c] + 2 H+[c] + Diphosphate[c]</t>
  </si>
  <si>
    <t>metanetx.reaction/MNXR100454;bigg.reaction/GTPCII;sbo/SBO:0000375</t>
  </si>
  <si>
    <t>GTPDPK</t>
  </si>
  <si>
    <t>GTP diphosphokinase</t>
  </si>
  <si>
    <t>2.7.6.5</t>
  </si>
  <si>
    <t>ATP[c] + GTP[c] =&gt; AMP[c] + Guanosine 3'-diphosphate 5'-triphosphate[c] + H+[c]</t>
  </si>
  <si>
    <t>GCODGGCH_01917 or GCODGGCH_00693 or GCODGGCH_01317</t>
  </si>
  <si>
    <t>kegg.reaction/R00429;metanetx.reaction/MNXR100457;biocyc/META:GTPPYPHOSKIN-RXN;rhea/22088;rhea/22089;rhea/22090;rhea/22091;bigg.reaction/GTPDPK;sbo/SBO:0000375</t>
  </si>
  <si>
    <t>GUAPRT</t>
  </si>
  <si>
    <t>guanine phosphoribosyltransferase</t>
  </si>
  <si>
    <t>2.4.2.22; 2.4.2.7; 2.4.2.8</t>
  </si>
  <si>
    <t>Guanine[c] + 5-Phospho-alpha-D-ribose 1-diphosphate[c] =&gt; GMP[c] + Diphosphate[c]</t>
  </si>
  <si>
    <t>kegg.reaction/R01229;metanetx.reaction/MNXR100409;biocyc/META:GUANPRIBOSYLTRAN-RXN;rhea/25424;rhea/25425;rhea/25426;rhea/25427;bigg.reaction/GUAPRT;sbo/SBO:0000375</t>
  </si>
  <si>
    <t>GUAt2</t>
  </si>
  <si>
    <t>guanine transport in via proton symport</t>
  </si>
  <si>
    <t>Guanine[e] + H+[e] =&gt; Guanine[c] + H+[c]</t>
  </si>
  <si>
    <t>H2Ot5</t>
  </si>
  <si>
    <t>H2O transport via diffusion</t>
  </si>
  <si>
    <t>1.3.5.4; 1.3.5.1</t>
  </si>
  <si>
    <t>H2O[e] &lt;=&gt; H2O[c]</t>
  </si>
  <si>
    <t>HACD1</t>
  </si>
  <si>
    <t>3-hydroxyacyl-CoA dehydrogenase (acetoacetyl-CoA)</t>
  </si>
  <si>
    <t>1.1.1.35; 1.1.1.157</t>
  </si>
  <si>
    <t>Acetoacetyl-CoA[c] + H+[c] + Nicotinamide adenine dinucleotide - reduced[c] &lt;=&gt; (S)-3-Hydroxybutyryl-CoA[c] + Nicotinamide adenine dinucleotide[c]</t>
  </si>
  <si>
    <t>GCODGGCH_01090</t>
  </si>
  <si>
    <t>kegg.reaction/R01975;metanetx.reaction/MNXR100541;biocyc/META:RXN-11662;rhea/30799;rhea/30800;rhea/30801;rhea/30802;bigg.reaction/HACD1;sbo/SBO:0000375</t>
  </si>
  <si>
    <t>HBUHL1</t>
  </si>
  <si>
    <t>(3R)-3-Hydroxybutanoyl-[acyl-carrier-protein] hydro-lyase</t>
  </si>
  <si>
    <t>2.3.1.85; 4.2.1.59</t>
  </si>
  <si>
    <t>(3R)-3-Hydroxybutanoyl-[acyl-carrier protein][c] =&gt; But-2-enoyl-[acyl-carrier protein][c] + H2O[c]</t>
  </si>
  <si>
    <t>GCODGGCH_01185 or GCODGGCH_00369 or GCODGGCH_00377 or GCODGGCH_00369 or GCODGGCH_00377</t>
  </si>
  <si>
    <t>bigg.reaction/HBUHL1;sbo/SBO:0000375</t>
  </si>
  <si>
    <t>HBUR1</t>
  </si>
  <si>
    <t>(3R)-3-Hydroxybutanoyl-[acyl-carrier protein]:NADP+ oxidoreductase</t>
  </si>
  <si>
    <t>1.1.1.100</t>
  </si>
  <si>
    <t>Acetoacetyl-[acyl-carrier protein][c] + H+[c] + Nicotinamide adenine dinucleotide phosphate - reduced[c] =&gt; (3R)-3-Hydroxybutanoyl-[acyl-carrier protein][c] + Nicotinamide adenine dinucleotide phosphate[c]</t>
  </si>
  <si>
    <t>GCODGGCH_01922 or GCODGGCH_00374</t>
  </si>
  <si>
    <t>bigg.reaction/HBUR1;sbo/SBO:0000375</t>
  </si>
  <si>
    <t>HCO3E</t>
  </si>
  <si>
    <t>carbonate dehydratase (HCO3 equilibration reaction)</t>
  </si>
  <si>
    <t>4.2.1.1</t>
  </si>
  <si>
    <t>CO2[c] + H2O[c] &lt;=&gt; H+[c] + Bicarbonate[c]</t>
  </si>
  <si>
    <t>Nitrogen metabolism</t>
  </si>
  <si>
    <t>HCYSMT</t>
  </si>
  <si>
    <t>homocysteine S-methyltransferase</t>
  </si>
  <si>
    <t>2.1.1.-; 2.1.1.10</t>
  </si>
  <si>
    <t>S-Adenosyl-L-methionine[c] + L-Homocysteine[c] =&gt; S-Adenosyl-L-homocysteine[c] + H+[c] + L-Methionine[c]</t>
  </si>
  <si>
    <t>HDDHL5</t>
  </si>
  <si>
    <t>(R)-3-Hydroxydodecanoyl-[acyl-carrier protein][c] =&gt; trans-Dodec-2-enoyl-[acyl-carrier protein][c] + H2O[c]</t>
  </si>
  <si>
    <t>bigg.reaction/HDDHL5;sbo/SBO:0000375</t>
  </si>
  <si>
    <t>HDDR5</t>
  </si>
  <si>
    <t>3R)-3-Hydroxydodecanoyl-[acyl-carrier-protein]:NADP+ oxidoreductase</t>
  </si>
  <si>
    <t>3-Oxododecanoyl-[acyl-carrier protein][c] + H+[c] + Nicotinamide adenine dinucleotide phosphate - reduced[c] =&gt; (R)-3-Hydroxydodecanoyl-[acyl-carrier protein][c] + Nicotinamide adenine dinucleotide phosphate[c]</t>
  </si>
  <si>
    <t>bigg.reaction/HDDR5;sbo/SBO:0000375</t>
  </si>
  <si>
    <t>HDEHL4</t>
  </si>
  <si>
    <t>(3R)-3-Hydroxydecanoyl-[acyl-carrier protein][c] =&gt; trans-Dec-2-enoyl-[acyl-carrier protein][c] + H2O[c]</t>
  </si>
  <si>
    <t>bigg.reaction/HDEHL4;sbo/SBO:0000375</t>
  </si>
  <si>
    <t>HDER4</t>
  </si>
  <si>
    <t>(3R)-3-Hydroxydecanoyl-[acyl-carrier-protein]:NADP+ oxidoreductase</t>
  </si>
  <si>
    <t>3-Oxodecanoyl-[acyl-carrier protein][c] + H+[c] + Nicotinamide adenine dinucleotide phosphate - reduced[c] =&gt; (3R)-3-Hydroxydecanoyl-[acyl-carrier protein][c] + Nicotinamide adenine dinucleotide phosphate[c]</t>
  </si>
  <si>
    <t>bigg.reaction/HDER4;sbo/SBO:0000375</t>
  </si>
  <si>
    <t>HDMAT7</t>
  </si>
  <si>
    <t>Hexadecanoyl-[acyl-carrier protein]:malonyl-CoA  C-acyltransferase</t>
  </si>
  <si>
    <t>trans-Hexadec-2-enoyl-[acyl-carrier protein][c] + H+[c] + Nicotinamide adenine dinucleotide - reduced[c] =&gt; Nicotinamide adenine dinucleotide[c] + Palmitoyl-ACP (n-C16:0ACP)[c]</t>
  </si>
  <si>
    <t>bigg.reaction/HDMAT7;sbo/SBO:0000375</t>
  </si>
  <si>
    <t>HEMAT2</t>
  </si>
  <si>
    <t>Hexanoyl-[acyl-carrier protein]:malonyl-CoA C-acyltransferase</t>
  </si>
  <si>
    <t>trans-Hex-2-enoyl-[acp][c] + H+[c] + Nicotinamide adenine dinucleotide - reduced[c] =&gt; Hexanoyl-[acyl-carrier protein][c] + Nicotinamide adenine dinucleotide[c]</t>
  </si>
  <si>
    <t>bigg.reaction/HEMAT2;sbo/SBO:0000375</t>
  </si>
  <si>
    <t>HETZK</t>
  </si>
  <si>
    <t>hydroxyethylthiazole kinase</t>
  </si>
  <si>
    <t>2.7.1.50</t>
  </si>
  <si>
    <t>4-Methyl-5-(2-hydroxyethyl)-thiazole[c] + ATP[c] =&gt; 4-Methyl-5-(2-phosphoethyl)-thiazole[c] + ADP[c] + H+[c]</t>
  </si>
  <si>
    <t>GCODGGCH_01332</t>
  </si>
  <si>
    <t>kegg.reaction/R04448;metanetx.reaction/MNXR100611;biocyc/META:THIAZOLSYN3-RXN;rhea/24212;rhea/24213;rhea/24214;rhea/24215;bigg.reaction/HETZK;sbo/SBO:0000375</t>
  </si>
  <si>
    <t>HEXTT</t>
  </si>
  <si>
    <t>trans-hexaprenyltranstransferase</t>
  </si>
  <si>
    <t>2.5.1.-</t>
  </si>
  <si>
    <t>all-trans-Hexaprenyl diphosphate[c] + Isopentenyl diphosphate[c] =&gt; all-trans-Heptaprenyl diphosphate[c] + Diphosphate[c]</t>
  </si>
  <si>
    <t>GCODGGCH_00952</t>
  </si>
  <si>
    <t>kegg.reaction/R05612;metanetx.reaction/MNXR100621;rhea/20836;rhea/20837;rhea/20838;rhea/20839;bigg.reaction/HEXTT;sbo/SBO:0000375</t>
  </si>
  <si>
    <t>HHDHL7</t>
  </si>
  <si>
    <t>(3R)-3-Hydroxypalmitoyl-[acyl-carrier-protein] hydro-lyase</t>
  </si>
  <si>
    <t>(3R)-3-Hydroxypalmitoyl-[acyl-carrier protein][c] =&gt; trans-Hexadec-2-enoyl-[acyl-carrier protein][c] + H2O[c]</t>
  </si>
  <si>
    <t>bigg.reaction/HHDHL7;sbo/SBO:0000375</t>
  </si>
  <si>
    <t>HHDR7</t>
  </si>
  <si>
    <t>(3R)-3-Hydroxypalmitoyl-[acyl-carrier-protein]:NADP+ oxidoreductase</t>
  </si>
  <si>
    <t>3-Oxohexadecanoyl-[acp][c] + H+[c] + Nicotinamide adenine dinucleotide phosphate - reduced[c] =&gt; (3R)-3-Hydroxypalmitoyl-[acyl-carrier protein][c] + Nicotinamide adenine dinucleotide phosphate[c]</t>
  </si>
  <si>
    <t>bigg.reaction/HHDR7;sbo/SBO:0000375</t>
  </si>
  <si>
    <t>HHYHL2</t>
  </si>
  <si>
    <t>(R)-3-Hydroxyhexanoyl-[acp][c] =&gt; trans-Hex-2-enoyl-[acp][c] + H2O[c]</t>
  </si>
  <si>
    <t>bigg.reaction/HHYHL2;sbo/SBO:0000375</t>
  </si>
  <si>
    <t>HHYR2</t>
  </si>
  <si>
    <t>(3R)-3-Hydroxyhexanoyl-[acyl-carrier-protein]:NADP+ oxidoreductase</t>
  </si>
  <si>
    <t>3-Oxohexanoyl-[acyl-carrier protein][c] + H+[c] + Nicotinamide adenine dinucleotide phosphate - reduced[c] =&gt; (R)-3-Hydroxyhexanoyl-[acp][c] + Nicotinamide adenine dinucleotide phosphate[c]</t>
  </si>
  <si>
    <t>bigg.reaction/HHYR2;sbo/SBO:0000375</t>
  </si>
  <si>
    <t>HISDC</t>
  </si>
  <si>
    <t>histidine decarboxylase</t>
  </si>
  <si>
    <t>4.1.1.22</t>
  </si>
  <si>
    <t>H+[c] + L-Histidine[c] =&gt; CO2[c] + Histamine[c]</t>
  </si>
  <si>
    <t>Histidine metabolism</t>
  </si>
  <si>
    <t>HISTRS</t>
  </si>
  <si>
    <t>Histidyl-tRNA synthetase</t>
  </si>
  <si>
    <t>6.1.1.21</t>
  </si>
  <si>
    <t>ATP[c] + L-Histidine[c] + tRNA(His)[c] =&gt; AMP[c] + L-Histidyl-tRNA(His)[c] + Diphosphate[c]</t>
  </si>
  <si>
    <t>GCODGGCH_01291</t>
  </si>
  <si>
    <t>HISabc</t>
  </si>
  <si>
    <t>L-histidine transport via ABC system</t>
  </si>
  <si>
    <t>ATP[c] + H2O[c] + L-Histidine[e] =&gt; ADP[c] + H+[c] + L-Histidine[c] + Phosphate[c]</t>
  </si>
  <si>
    <t>GCODGGCH_01589 or GCODGGCH_00610 or GCODGGCH_00610 or GCODGGCH_00062 or GCODGGCH_00079 or GCODGGCH_00611 or GCODGGCH_00758 or GCODGGCH_01302 or GCODGGCH_01309 or GCODGGCH_02085 or GCODGGCH_02113 or GCODGGCH_00062 or GCODGGCH_00079 or GCODGGCH_00611 or GCODGGCH_00758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GCODGGCH_00062 or GCODGGCH_00079 or GCODGGCH_00611 or GCODGGCH_00758 or GCODGGCH_01302 or GCODGGCH_01309 or GCODGGCH_01896 or GCODGGCH_02085 or GCODGGCH_00612 or GCODGGCH_00612 or GCODGGCH_00612</t>
  </si>
  <si>
    <t>HL_2H3MPDH</t>
  </si>
  <si>
    <t>2 hydroxy 3 methylpentanoate dehydrogenase</t>
  </si>
  <si>
    <t>(S)-3-Methyl-2-oxopentanoate[c] + H+[c] + Nicotinamide adenine dinucleotide - reduced[c] &lt;=&gt; 2 hydroxy 3 methyl pentanoate[c] + Nicotinamide adenine dinucleotide[c]</t>
  </si>
  <si>
    <t>HL_3HAD100</t>
  </si>
  <si>
    <t>3-hydroxyacyl-[acyl-carrier-protein] dehydratase (n-C10:0)</t>
  </si>
  <si>
    <t>2.3.1.-; 2.3.1.85; 2.3.1.86; 4.2.1.58; 4.2.1.59; 4.2.1.60; 4.2.1.61</t>
  </si>
  <si>
    <t>(R)-3-Hydroxydecanoyl-[acyl-carrier protein][c] =&gt; H2O[c] + Trans-Dec-2-enoyl-[acyl-carrier protein][c]</t>
  </si>
  <si>
    <t>GCODGGCH_00369 or GCODGGCH_00377 or GCODGGCH_00369 or GCODGGCH_00377</t>
  </si>
  <si>
    <t>HL_3HAD120</t>
  </si>
  <si>
    <t>3-hydroxyacyl-[acyl-carrier-protein] dehydratase (n-C12:0)</t>
  </si>
  <si>
    <t>(R)-3-Hydroxydodecanoyl-[acyl-carrier protein][c] =&gt; H2O[c] + Trans-Dodec-2-enoyl-[acyl-carrier protein][c]</t>
  </si>
  <si>
    <t>HL_3HAD121</t>
  </si>
  <si>
    <t>3-hydroxyacyl-[acyl-carrier-protein] dehydratase (n-C12:1)</t>
  </si>
  <si>
    <t>4.2.1.61</t>
  </si>
  <si>
    <t>(R)-3-hydroxy-cis-dodec-5-enoyl-[acyl-carrier protein][c] =&gt; Trans-3-cis-5-dodecenoyl-[acyl-carrier protein][c] + H2O[c]</t>
  </si>
  <si>
    <t>HL_3HAD140</t>
  </si>
  <si>
    <t>3-hydroxyacyl-[acyl-carrier-protein] dehydratase (n-C14:0)</t>
  </si>
  <si>
    <t>2.3.1.-; 2.3.1.85; 2.3.1.86; 4.2.1.59; 4.2.1.61</t>
  </si>
  <si>
    <t>(R)-3-Hydroxytetradecanoyl-[acyl-carrier protein][c] =&gt; H2O[c] + Trans-Tetradec-2-enoyl-[acyl-carrier protein][c]</t>
  </si>
  <si>
    <t>HL_3HAD141</t>
  </si>
  <si>
    <t>3-hydroxyacyl-[acyl-carrier-protein] dehydratase (n-C14:1)</t>
  </si>
  <si>
    <t>(R)-3-hydroxy-cis-myristol-7-eoyl-[acyl-carrier protein][c] =&gt; Trans-3-cis-7-myristoleoyl-[acyl-carrier protein][c] + H2O[c]</t>
  </si>
  <si>
    <t>HL_3HAD160</t>
  </si>
  <si>
    <t>3-hydroxyacyl-[acyl-carrier-protein] dehydratase (n-C16:0)</t>
  </si>
  <si>
    <t>R-3-hydroxypalmitoyl-[acyl-carrier protein][c] =&gt; H2O[c] + Trans-Hexadec-2-enoyl-[acyl-carrier protein][c]</t>
  </si>
  <si>
    <t>HL_3HAD161</t>
  </si>
  <si>
    <t>3-hydroxyacyl-[acyl-carrier-protein] dehydratase (n-C16:1)</t>
  </si>
  <si>
    <t>(R)-3-hydroxy-cis-palm-9-eoyl-[acyl-carrier protein][c] =&gt; Trans-3-cis-9-palmitoleoyl-[acyl-carrier protein][c] + H2O[c]</t>
  </si>
  <si>
    <t>HL_3HAD180</t>
  </si>
  <si>
    <t>3-hydroxyacyl-[acyl-carrier-protein] dehydratase (n-C18:0)</t>
  </si>
  <si>
    <t>2.3.1.-; 4.2.1.-; 4.2.1.61</t>
  </si>
  <si>
    <t>(R)-3-Hydroxyoctadecanoyl-[acyl-carrier protein][c] =&gt; Trans-octadec-2-enoyl-[acyl-carrier protein][c] + H2O[c]</t>
  </si>
  <si>
    <t>HL_3HAD181</t>
  </si>
  <si>
    <t>3-hydroxyacyl-[acyl-carrier-protein] dehydratase (n-C18:1)</t>
  </si>
  <si>
    <t>(R)-3-hydroxy-cis-vacc-11-enoyl-[acyl-carrier protein][c] =&gt; Trans-3-cis-11-vacceoyl-[acyl-carrier protein][c] + H2O[c]</t>
  </si>
  <si>
    <t>HL_3HAD40</t>
  </si>
  <si>
    <t>3-hydroxyacyl-[acyl-carrier-protein] dehydratase (n-C4:0)</t>
  </si>
  <si>
    <t>4.2.1.58</t>
  </si>
  <si>
    <t>(3R)-3-Hydroxyacyl-[acyl-carrier protein][c] =&gt; But-2-enoyl-[acyl-carrier protein][c] + H2O[c]</t>
  </si>
  <si>
    <t>HL_3HAD60</t>
  </si>
  <si>
    <t>3-hydroxyacyl-[acyl-carrier-protein] dehydratase (n-C6:0)</t>
  </si>
  <si>
    <t>2.3.1.-; 2.3.1.85; 2.3.1.86; 4.2.1.58; 4.2.1.59</t>
  </si>
  <si>
    <t>(R)-3-Hydroxyhexanoyl-[acyl-carrier protein][c] =&gt; Trans-Hex-2-enoyl-[acyl-carrier protein][c] + H2O[c]</t>
  </si>
  <si>
    <t>HL_3HAD80</t>
  </si>
  <si>
    <t>3-hydroxyacyl-[acyl-carrier-protein] dehydratase (n-C8:0)</t>
  </si>
  <si>
    <t>2.3.1.-; 2.3.1.85; 2.3.1.86; 4.2.1.58; 4.2.1.59; 4.2.1.61</t>
  </si>
  <si>
    <t>(R)-3-Hydroxyoctanoyl-[acyl-carrier protein][c] =&gt; Trans-Oct-2-enoyl-[acyl-carrier protein][c] + H2O[c]</t>
  </si>
  <si>
    <t>HL_3OAR100</t>
  </si>
  <si>
    <t>3-oxoacyl-[acyl-carrier-protein] reductase (n-C10:0)</t>
  </si>
  <si>
    <t>1.1.1.100; 2.3.1.-; 2.3.1.85; 2.3.1.86</t>
  </si>
  <si>
    <t>3-Oxodecanoyl-[acyl-carrier protein][c] + H+[c] + Nicotinamide adenine dinucleotide phosphate - reduced[c] &lt;=&gt; (R)-3-Hydroxydecanoyl-[acyl-carrier protein][c] + Nicotinamide adenine dinucleotide phosphate[c]</t>
  </si>
  <si>
    <t>GCODGGCH_00374</t>
  </si>
  <si>
    <t>HL_3OAR120</t>
  </si>
  <si>
    <t>3-oxoacyl-[acyl-carrier-protein] reductase (n-C12:0)</t>
  </si>
  <si>
    <t>3-Oxododecanoyl-[acyl-carrier protein][c] + H+[c] + Nicotinamide adenine dinucleotide phosphate - reduced[c] &lt;=&gt; (R)-3-Hydroxydodecanoyl-[acyl-carrier protein][c] + Nicotinamide adenine dinucleotide phosphate[c]</t>
  </si>
  <si>
    <t>HL_3OAR140</t>
  </si>
  <si>
    <t>3-oxoacyl-[acyl-carrier-protein] reductase (n-C14:0)</t>
  </si>
  <si>
    <t>3-Oxotetradecanoyl-[acyl-carrier protein][c] + H+[c] + Nicotinamide adenine dinucleotide phosphate - reduced[c] &lt;=&gt; (R)-3-Hydroxytetradecanoyl-[acyl-carrier protein][c] + Nicotinamide adenine dinucleotide phosphate[c]</t>
  </si>
  <si>
    <t>HL_3OAR160</t>
  </si>
  <si>
    <t>3-oxoacyl-[acyl-carrier-protein] reductase (n-C16:0)</t>
  </si>
  <si>
    <t>3-Oxohexadecanoyl-[acyl-carrier protein][c] + H+[c] + Nicotinamide adenine dinucleotide phosphate - reduced[c] &lt;=&gt; R-3-hydroxypalmitoyl-[acyl-carrier protein][c] + Nicotinamide adenine dinucleotide phosphate[c]</t>
  </si>
  <si>
    <t>HL_3OAR180</t>
  </si>
  <si>
    <t>3-oxoacyl-[acyl-carrier-protein] reductase (n-C18:0)</t>
  </si>
  <si>
    <t>3-Oxooctadecanoyl-[acyl-carrier protein][c] + H+[c] + Nicotinamide adenine dinucleotide phosphate - reduced[c] &lt;=&gt; (R)-3-Hydroxyoctadecanoyl-[acyl-carrier protein][c] + Nicotinamide adenine dinucleotide phosphate[c]</t>
  </si>
  <si>
    <t>HL_3OAR181</t>
  </si>
  <si>
    <t>3-oxoacyl-[acyl-carrier-protein] reductase (n-C18:1)</t>
  </si>
  <si>
    <t>3-oxo-cis-vacc-11-enoyl-[acyl-carrier protein][c] + H+[c] + Nicotinamide adenine dinucleotide phosphate - reduced[c] =&gt; (R)-3-hydroxy-cis-vacc-11-enoyl-[acyl-carrier protein][c] + Nicotinamide adenine dinucleotide phosphate[c]</t>
  </si>
  <si>
    <t>HL_3OAR40</t>
  </si>
  <si>
    <t>3-oxoacyl-[acyl-carrier-protein] reductase (n-C4:0)</t>
  </si>
  <si>
    <t>Acetoacetyl-[acyl-carrier protein][c] + H+[c] + Nicotinamide adenine dinucleotide phosphate - reduced[c] &lt;=&gt; (3R)-3-Hydroxyacyl-[acyl-carrier protein][c] + Nicotinamide adenine dinucleotide phosphate[c]</t>
  </si>
  <si>
    <t>HL_3OAR60</t>
  </si>
  <si>
    <t>3-oxoacyl-[acyl-carrier-protein] reductase (n-C6:0)</t>
  </si>
  <si>
    <t>3-Oxohexanoyl-[acyl-carrier protein][c] + H+[c] + Nicotinamide adenine dinucleotide phosphate - reduced[c] &lt;=&gt; (R)-3-Hydroxyhexanoyl-[acyl-carrier protein][c] + Nicotinamide adenine dinucleotide phosphate[c]</t>
  </si>
  <si>
    <t>HL_3OAR80</t>
  </si>
  <si>
    <t>3-oxoacyl-[acyl-carrier-protein] reductase (n-C8:0)</t>
  </si>
  <si>
    <t>3-Oxooctanoyl-[acyl-carrier protein][c] + H+[c] + Nicotinamide adenine dinucleotide phosphate - reduced[c] &lt;=&gt; (R)-3-Hydroxyoctanoyl-[acyl-carrier protein][c] + Nicotinamide adenine dinucleotide phosphate[c]</t>
  </si>
  <si>
    <t>HL_3OAS120</t>
  </si>
  <si>
    <t>3-oxoacyl-[acyl-carrier-protein] synthase (n-C12:0)</t>
  </si>
  <si>
    <t>2.3.1.86</t>
  </si>
  <si>
    <t>Decanoyl-ACP (n-C10:0ACP)[c] + H+[c] + Malonyl-[acyl-carrier protein][c] =&gt; 3-Oxododecanoyl-[acyl-carrier protein][c] + acyl carrier protein[c] + CO2[c]</t>
  </si>
  <si>
    <t>GCODGGCH_00375</t>
  </si>
  <si>
    <t>HL_3OAS140</t>
  </si>
  <si>
    <t>3-oxoacyl-[acyl-carrier-protein] synthase (n-C14:0)</t>
  </si>
  <si>
    <t>Dodecanoyl-ACP (n-C12:0ACP)[c] + H+[c] + Malonyl-[acyl-carrier protein][c] =&gt; 3-Oxotetradecanoyl-[acyl-carrier protein][c] + acyl carrier protein[c] + CO2[c]</t>
  </si>
  <si>
    <t>HL_3OAS160</t>
  </si>
  <si>
    <t>3-oxoacyl-[acyl-carrier-protein] synthase (n-C16:0)</t>
  </si>
  <si>
    <t>H+[c] + Malonyl-[acyl-carrier protein][c] + Myristoyl-ACP (n-C14:0ACP)[c] =&gt; 3-Oxohexadecanoyl-[acyl-carrier protein][c] + acyl carrier protein[c] + CO2[c]</t>
  </si>
  <si>
    <t>HL_3OAS180</t>
  </si>
  <si>
    <t>3-oxoacyl-[acyl-carrier-protein] synthase (n-C18:0)</t>
  </si>
  <si>
    <t>2.3.1.41</t>
  </si>
  <si>
    <t>H+[c] + Malonyl-[acyl-carrier protein][c] + Palmitoyl-ACP (n-C16:0ACP)[c] =&gt; 3-Oxooctadecanoyl-[acyl-carrier protein][c] + acyl carrier protein[c] + CO2[c]</t>
  </si>
  <si>
    <t>HL_3OAS181</t>
  </si>
  <si>
    <t>3-oxoacyl-[acyl-carrier-protein] synthase (n-C18:1)</t>
  </si>
  <si>
    <t>2.3.1.179</t>
  </si>
  <si>
    <t>H+[c] + Hexadecenoyl-ACP (n-C16:1ACP)[c] + Malonyl-[acyl-carrier protein][c] =&gt; 3-oxo-cis-vacc-11-enoyl-[acyl-carrier protein][c] + acyl carrier protein[c] + CO2[c]</t>
  </si>
  <si>
    <t>HL_ACP1_FMN</t>
  </si>
  <si>
    <t>Acid phosphatase (FMN)</t>
  </si>
  <si>
    <t>3.1.3.102; 3.1.3.2</t>
  </si>
  <si>
    <t>flavin mononucleotide[c] + H2O[c] =&gt; Phosphate[c] + Riboflavin[c]</t>
  </si>
  <si>
    <t>GCODGGCH_00233 or GCODGGCH_01515 or OLD_iTN656_AC5u0009GL000858</t>
  </si>
  <si>
    <t>HL_ADADir</t>
  </si>
  <si>
    <t>Deoxycytidine kinase</t>
  </si>
  <si>
    <t>2.7.1.74; 2.7.1.213; 2.7.1.145</t>
  </si>
  <si>
    <t>ATP[c] + Deoxycytidine[c] =&gt; ADP[c] + dCMP[c] + H+[c]</t>
  </si>
  <si>
    <t>HL_ADK2</t>
  </si>
  <si>
    <t>Adenylate kinase (Inorganic triphosphate)</t>
  </si>
  <si>
    <t>AMP[c] + Inorganic triphosphate[c] &lt;=&gt; ADP[c] + Diphosphate[c]</t>
  </si>
  <si>
    <t>HL_ADK3</t>
  </si>
  <si>
    <t>Adentylate kinase (GTP)</t>
  </si>
  <si>
    <t>2.7.4.10; 2.7.4.4</t>
  </si>
  <si>
    <t>AMP[c] + GTP[c] &lt;=&gt; ADP[c] + GDP[c]</t>
  </si>
  <si>
    <t>HL_ADK4</t>
  </si>
  <si>
    <t>Adentylate kinase (ITP)</t>
  </si>
  <si>
    <t>AMP[c] + ITP[c] =&gt; ADP[c] + IDP[c]</t>
  </si>
  <si>
    <t>HL_ADNK1</t>
  </si>
  <si>
    <t>Adenosine kinase</t>
  </si>
  <si>
    <t>2.7.1.20; 2.7.1.74</t>
  </si>
  <si>
    <t>Adenosine[c] + ATP[c] =&gt; ADP[c] + AMP[c] + H+[c]</t>
  </si>
  <si>
    <t>HL_ADSK</t>
  </si>
  <si>
    <t>Adenylyl-sulfate kinase</t>
  </si>
  <si>
    <t>2.7.1.25</t>
  </si>
  <si>
    <t>Adenosine 5'-phosphosulfate[c] + ATP[c] =&gt; 3'-Phosphoadenylyl sulfate[c] + ADP[c] + H+[c]</t>
  </si>
  <si>
    <t>HL_AIRC2</t>
  </si>
  <si>
    <t>Phosphoribosylaminoimidazole carboxylase</t>
  </si>
  <si>
    <t>6.3.4.18</t>
  </si>
  <si>
    <t>5-amino-1-(5-phospho-D-ribosyl)imidazole[c] + ATP[c] + Bicarbonate[c] =&gt; 5-phosphoribosyl-5-carboxyaminoimidazole[c] + ADP[c] + H+[c] + Phosphate[c]</t>
  </si>
  <si>
    <t>GCODGGCH_00130</t>
  </si>
  <si>
    <t>HL_AIRC3</t>
  </si>
  <si>
    <t>Phosphoribosylaminoimidazole carboxylase (mutase rxn)</t>
  </si>
  <si>
    <t>5.4.99.18</t>
  </si>
  <si>
    <t>5-amino-1-(5-phospho-D-ribosyl)imidazole-4-carboxylate[c] &lt;=&gt; 5-phosphoribosyl-5-carboxyaminoimidazole[c]</t>
  </si>
  <si>
    <t>GCODGGCH_00129</t>
  </si>
  <si>
    <t>HL_ALATA_D2</t>
  </si>
  <si>
    <t>D-alanine transaminase</t>
  </si>
  <si>
    <t>D-Alanine[c] + Pyridoxal 5'-phosphate[c] =&gt; Pyridoxamine 5'-phosphate[c] + Pyruvate[c]</t>
  </si>
  <si>
    <t>HL_ALATA_L2</t>
  </si>
  <si>
    <t>Alanine transaminase</t>
  </si>
  <si>
    <t>L-Alanine[c] + Pyridoxal 5'-phosphate[c] =&gt; Pyridoxamine 5'-phosphate[c] + Pyruvate[c]</t>
  </si>
  <si>
    <t>HL_AMMQLT8</t>
  </si>
  <si>
    <t>S-adenosylmethione:2-demthylmenaquinole methyltransferase (menaquinone 8)</t>
  </si>
  <si>
    <t>2-Demethylmenaquinol 8[c] + S-Adenosyl-L-methionine[c] =&gt; Menaquinol 8[c] + S-Adenosyl-L-homocysteine[c] + H+[c]</t>
  </si>
  <si>
    <t>HL_AP4AS</t>
  </si>
  <si>
    <t>Ap4A synthetase</t>
  </si>
  <si>
    <t>2.7.7; 2.7.7.-</t>
  </si>
  <si>
    <t>2 ATP[c] + H+[c] =&gt; P1,P4-Bis(5'-adenosyl) tetraphosphate[c] + Diphosphate[c]</t>
  </si>
  <si>
    <t>GCODGGCH_00261</t>
  </si>
  <si>
    <t>HL_ARGDI_1</t>
  </si>
  <si>
    <t>Arginine deiminase</t>
  </si>
  <si>
    <t>L-Arginine[c] + H2O[c] =&gt; L-Citrulline[c] + H+[c] + Ammonia[c]</t>
  </si>
  <si>
    <t>HL_ATHRDHr</t>
  </si>
  <si>
    <t>L-allo-threonine dehydrogenase</t>
  </si>
  <si>
    <t>L-Allo-threonine[c] + Nicotinamide adenine dinucleotide phosphate[c] &lt;=&gt; L-2-Amino-3-oxobutanoate[c] + H+[c] + Nicotinamide adenine dinucleotide phosphate - reduced[c]</t>
  </si>
  <si>
    <t>GCODGGCH_00762</t>
  </si>
  <si>
    <t>HL_BPNT</t>
  </si>
  <si>
    <t>3',5'-bisphosphate nucleotidase</t>
  </si>
  <si>
    <t>3.1.3.7; 3.1.3.97</t>
  </si>
  <si>
    <t>H2O[c] + Adenosine 3',5'-bisphosphate[c] =&gt; AMP[c] + Phosphate[c]</t>
  </si>
  <si>
    <t>GCODGGCH_00736</t>
  </si>
  <si>
    <t>HL_CYSDS</t>
  </si>
  <si>
    <t>Cysteine Desulfhydrase</t>
  </si>
  <si>
    <t>4.4.1.1; 4.4.1.28; 4.4.1.8</t>
  </si>
  <si>
    <t>L-Cysteine[c] + H2O[c] =&gt; Hydrogen sulfide[c] + Ammonium[c] + Pyruvate[c]</t>
  </si>
  <si>
    <t>HL_CYTDH</t>
  </si>
  <si>
    <t>Cytidine hydrolase</t>
  </si>
  <si>
    <t>3.2.2.3; 3.2.2.8</t>
  </si>
  <si>
    <t>Cytidine[c] + H2O[c] =&gt; Cytosine[c] + D-Ribose[c]</t>
  </si>
  <si>
    <t>GCODGGCH_00086 or GCODGGCH_00200 or GCODGGCH_00086 or GCODGGCH_00200 or GCODGGCH_00086 or GCODGGCH_00200 or GCODGGCH_00086 or GCODGGCH_00200 or GCODGGCH_00086 or GCODGGCH_00200 or GCODGGCH_00086 or GCODGGCH_00200</t>
  </si>
  <si>
    <t>HL_DALAt2r</t>
  </si>
  <si>
    <t>D-alanine transport via proton symport</t>
  </si>
  <si>
    <t>H+[e] + D-Alanine[e] &lt;=&gt; D-Alanine[c] + H+[c]</t>
  </si>
  <si>
    <t>GCODGGCH_00080 or GCODGGCH_01574 or GCODGGCH_00080 or GCODGGCH_01574 or GCODGGCH_00080 or GCODGGCH_01574 or GCODGGCH_00080 or GCODGGCH_01574</t>
  </si>
  <si>
    <t>HL_DCMPDA_1</t>
  </si>
  <si>
    <t>DCMP deaminase</t>
  </si>
  <si>
    <t>dCMP[c] + H2O[c] =&gt; dUMP[c] + Ammonia[c]</t>
  </si>
  <si>
    <t>HL_DHNAOT_1</t>
  </si>
  <si>
    <t>1 4 dihydroxy 2 naphthoate octaprenyltransferase</t>
  </si>
  <si>
    <t>All-trans-Octaprenyl diphosphate[c] + 1,4-Dihydroxy-2-naphthoate[c] + Nicotinamide adenine dinucleotide[c] =&gt; 2-Demethylmenaquinone 8[c] + CO2[c] + Nicotinamide adenine dinucleotide - reduced[c] + Diphosphate[c]</t>
  </si>
  <si>
    <t>GCODGGCH_00953</t>
  </si>
  <si>
    <t>HL_DHORDi</t>
  </si>
  <si>
    <t xml:space="preserve">Dihydoorotic acid dehydrogenase  irreversible </t>
  </si>
  <si>
    <t>1.3.99.11</t>
  </si>
  <si>
    <t>(S)-Dihydroorotate[c] + O2[c] &lt;=&gt; Hydrogen peroxide[c] + Orotate[c]</t>
  </si>
  <si>
    <t>HL_DHPPDA2</t>
  </si>
  <si>
    <t>Diaminohydroxyphosphoribosylaminopryrimidine deaminase (25drapp)</t>
  </si>
  <si>
    <t>3.5.4.26</t>
  </si>
  <si>
    <t>2,5-Diamino-6-(ribosylamino)-4-(3H)-pyrimidinone 5'-phosphate[c] + H2O[c] + H+[c] =&gt; 5-Amino-6-(5'-phosphoribosylamino)uracil[c] + Ammonium[c]</t>
  </si>
  <si>
    <t>HL_DHPS2</t>
  </si>
  <si>
    <t>Dihydropteroate synthase</t>
  </si>
  <si>
    <t>4-Aminobenzoate[c] + 6-hydroxymethyl-dihydropterin pyrophosphate[c] =&gt; Dihydropteroate[c] + Diphosphate[c]</t>
  </si>
  <si>
    <t>HL_DSERDHr</t>
  </si>
  <si>
    <t>D-serine dehydrogenase</t>
  </si>
  <si>
    <t>D-Serine[c] + Nicotinamide adenine dinucleotide phosphate[c] &lt;=&gt; 2-Aminomalonate semialdehyde[c] + H+[c] + Nicotinamide adenine dinucleotide phosphate - reduced[c]</t>
  </si>
  <si>
    <t>HL_DSERt2</t>
  </si>
  <si>
    <t>D-serine transport via proton symport</t>
  </si>
  <si>
    <t>H+[e] + D-Serine[e] &lt;=&gt; D-Serine[c] + H+[c]</t>
  </si>
  <si>
    <t>GCODGGCH_00080 or GCODGGCH_01574 or GCODGGCH_00080 or GCODGGCH_01574</t>
  </si>
  <si>
    <t>HL_DURADx</t>
  </si>
  <si>
    <t>Dihydrouracil dehydrogenase (NAD)</t>
  </si>
  <si>
    <t>1.3.1.1</t>
  </si>
  <si>
    <t>5,6-dihydrouracil[c] + Nicotinamide adenine dinucleotide[c] &lt;=&gt; H+[c] + Nicotinamide adenine dinucleotide - reduced[c] + Uracil[c]</t>
  </si>
  <si>
    <t>HL_EAR100x</t>
  </si>
  <si>
    <t>Enoyl-[acyl-carrier-protein] reductase (NADH) (n-C10:0)</t>
  </si>
  <si>
    <t>2.3.1.-</t>
  </si>
  <si>
    <t>H+[c] + Trans-Dec-2-enoyl-[acyl-carrier protein][c] + Nicotinamide adenine dinucleotide - reduced[c] =&gt; Decanoyl-ACP (n-C10:0ACP)[c] + Nicotinamide adenine dinucleotide[c]</t>
  </si>
  <si>
    <t>HL_EAR100y</t>
  </si>
  <si>
    <t>Enoyl-[acyl-carrier-protein] reductase (NADPH) (n-C10:0)</t>
  </si>
  <si>
    <t>H+[c] + Trans-Dec-2-enoyl-[acyl-carrier protein][c] + Nicotinamide adenine dinucleotide phosphate - reduced[c] =&gt; Decanoyl-ACP (n-C10:0ACP)[c] + Nicotinamide adenine dinucleotide phosphate[c]</t>
  </si>
  <si>
    <t>HL_EAR120x</t>
  </si>
  <si>
    <t>Enoyl-[acyl-carrier-protein] reductase (NADH) (n-C12:0)</t>
  </si>
  <si>
    <t>H+[c] + Trans-Dodec-2-enoyl-[acyl-carrier protein][c] + Nicotinamide adenine dinucleotide - reduced[c] =&gt; Dodecanoyl-ACP (n-C12:0ACP)[c] + Nicotinamide adenine dinucleotide[c]</t>
  </si>
  <si>
    <t>HL_EAR120y</t>
  </si>
  <si>
    <t>Enoyl-[acyl-carrier-protein] reductase (NADPH) (n-C12:0)</t>
  </si>
  <si>
    <t>H+[c] + Trans-Dodec-2-enoyl-[acyl-carrier protein][c] + Nicotinamide adenine dinucleotide phosphate - reduced[c] =&gt; Dodecanoyl-ACP (n-C12:0ACP)[c] + Nicotinamide adenine dinucleotide phosphate[c]</t>
  </si>
  <si>
    <t>HL_EAR121x</t>
  </si>
  <si>
    <t>Enoyl-[acyl-carrier-protein] reductase (NADH) (n-C12:1)</t>
  </si>
  <si>
    <t>1.3.1.9</t>
  </si>
  <si>
    <t>Trans-3-cis-5-dodecenoyl-[acyl-carrier protein][c] + H+[c] + Nicotinamide adenine dinucleotide - reduced[c] =&gt; Cis-dodec-5-enoyl-[acyl-carrier protein] (n-C12:1)[c] + Nicotinamide adenine dinucleotide[c]</t>
  </si>
  <si>
    <t>HL_EAR121y</t>
  </si>
  <si>
    <t>Enoyl-[acyl-carrier-protein] reductase (NADPH) (n-C12:1)</t>
  </si>
  <si>
    <t>1.3.1.10</t>
  </si>
  <si>
    <t>Trans-3-cis-5-dodecenoyl-[acyl-carrier protein][c] + H+[c] + Nicotinamide adenine dinucleotide phosphate - reduced[c] =&gt; Cis-dodec-5-enoyl-[acyl-carrier protein] (n-C12:1)[c] + Nicotinamide adenine dinucleotide phosphate[c]</t>
  </si>
  <si>
    <t>HL_EAR140x</t>
  </si>
  <si>
    <t>Enoyl-[acyl-carrier-protein] reductase (NADH) (n-C14:0)</t>
  </si>
  <si>
    <t>H+[c] + Trans-Tetradec-2-enoyl-[acyl-carrier protein][c] + Nicotinamide adenine dinucleotide - reduced[c] =&gt; Myristoyl-ACP (n-C14:0ACP)[c] + Nicotinamide adenine dinucleotide[c]</t>
  </si>
  <si>
    <t>HL_EAR140y</t>
  </si>
  <si>
    <t>Enoyl-[acyl-carrier-protein] reductase (NADPH) (n-C14:0)</t>
  </si>
  <si>
    <t>H+[c] + Trans-Tetradec-2-enoyl-[acyl-carrier protein][c] + Nicotinamide adenine dinucleotide phosphate - reduced[c] =&gt; Myristoyl-ACP (n-C14:0ACP)[c] + Nicotinamide adenine dinucleotide phosphate[c]</t>
  </si>
  <si>
    <t>HL_EAR141x</t>
  </si>
  <si>
    <t>Enoyl-[acyl-carrier-protein] reductase (NADH) (n-C14:1)</t>
  </si>
  <si>
    <t>Trans-3-cis-7-myristoleoyl-[acyl-carrier protein][c] + H+[c] + Nicotinamide adenine dinucleotide - reduced[c] =&gt; Nicotinamide adenine dinucleotide[c] + Tetradecenoyl-ACP (n-C14:1ACP)[c]</t>
  </si>
  <si>
    <t>HL_EAR141y</t>
  </si>
  <si>
    <t>Enoyl-[acyl-carrier-protein] reductase (NADPH) (n-C14:1)</t>
  </si>
  <si>
    <t>Trans-3-cis-7-myristoleoyl-[acyl-carrier protein][c] + H+[c] + Nicotinamide adenine dinucleotide phosphate - reduced[c] =&gt; Nicotinamide adenine dinucleotide phosphate[c] + Tetradecenoyl-ACP (n-C14:1ACP)[c]</t>
  </si>
  <si>
    <t>HL_EAR160x</t>
  </si>
  <si>
    <t>Enoyl-[acyl-carrier-protein] reductase (NADH) (n-C16:0)</t>
  </si>
  <si>
    <t>H+[c] + Trans-Hexadec-2-enoyl-[acyl-carrier protein][c] + Nicotinamide adenine dinucleotide - reduced[c] =&gt; Nicotinamide adenine dinucleotide[c] + Palmitoyl-ACP (n-C16:0ACP)[c]</t>
  </si>
  <si>
    <t>HL_EAR160y</t>
  </si>
  <si>
    <t>Enoyl-[acyl-carrier-protein] reductase (NADPH) (n-C16:0)</t>
  </si>
  <si>
    <t>H+[c] + Trans-Hexadec-2-enoyl-[acyl-carrier protein][c] + Nicotinamide adenine dinucleotide phosphate - reduced[c] =&gt; Nicotinamide adenine dinucleotide phosphate[c] + Palmitoyl-ACP (n-C16:0ACP)[c]</t>
  </si>
  <si>
    <t>HL_EAR161x</t>
  </si>
  <si>
    <t>Enoyl-[acyl-carrier-protein] reductase (NADH) (n-C16:1)</t>
  </si>
  <si>
    <t>Trans-3-cis-9-palmitoleoyl-[acyl-carrier protein][c] + H+[c] + Nicotinamide adenine dinucleotide - reduced[c] =&gt; Hexadecenoyl-ACP (n-C16:1ACP)[c] + Nicotinamide adenine dinucleotide[c]</t>
  </si>
  <si>
    <t>HL_EAR161y</t>
  </si>
  <si>
    <t>Enoyl-[acyl-carrier-protein] reductase (NADPH) (n-C16:1)</t>
  </si>
  <si>
    <t>Trans-3-cis-9-palmitoleoyl-[acyl-carrier protein][c] + H+[c] + Nicotinamide adenine dinucleotide phosphate - reduced[c] =&gt; Hexadecenoyl-ACP (n-C16:1ACP)[c] + Nicotinamide adenine dinucleotide phosphate[c]</t>
  </si>
  <si>
    <t>HL_EAR180x</t>
  </si>
  <si>
    <t>Enoyl-[acyl-carrier-protein] reductase (NADH) (n-C18:0)</t>
  </si>
  <si>
    <t>Trans-octadec-2-enoyl-[acyl-carrier protein][c] + H+[c] + Nicotinamide adenine dinucleotide - reduced[c] =&gt; Nicotinamide adenine dinucleotide[c] + Octadecanoyl-ACP (n-C18:0ACP)[c]</t>
  </si>
  <si>
    <t>HL_EAR180y</t>
  </si>
  <si>
    <t>Enoyl-[acyl-carrier-protein] reductase (NADPH) (n-C18:0)</t>
  </si>
  <si>
    <t>Trans-octadec-2-enoyl-[acyl-carrier protein][c] + H+[c] + Nicotinamide adenine dinucleotide phosphate - reduced[c] =&gt; Nicotinamide adenine dinucleotide phosphate[c] + Octadecanoyl-ACP (n-C18:0ACP)[c]</t>
  </si>
  <si>
    <t>HL_EAR181x</t>
  </si>
  <si>
    <t>Enoyl-[acyl-carrier-protein] reductase (NADH) (n-C18:1)</t>
  </si>
  <si>
    <t>Trans-3-cis-11-vacceoyl-[acyl-carrier protein][c] + H+[c] + Nicotinamide adenine dinucleotide - reduced[c] =&gt; Nicotinamide adenine dinucleotide[c] + Octadecenoyl-ACP (n-C18:1ACP)[c]</t>
  </si>
  <si>
    <t>HL_EAR181y</t>
  </si>
  <si>
    <t>Enoyl-[acyl-carrier-protein] reductase (NADPH) (n-C18:1)</t>
  </si>
  <si>
    <t>Trans-3-cis-11-vacceoyl-[acyl-carrier protein][c] + H+[c] + Nicotinamide adenine dinucleotide phosphate - reduced[c] =&gt; Nicotinamide adenine dinucleotide phosphate[c] + Octadecenoyl-ACP (n-C18:1ACP)[c]</t>
  </si>
  <si>
    <t>HL_EAR40y</t>
  </si>
  <si>
    <t>Enoyl-[acyl-carrier-protein] reductase (NADPH) (n-C4:0)</t>
  </si>
  <si>
    <t>But-2-enoyl-[acyl-carrier protein][c] + H+[c] + Nicotinamide adenine dinucleotide phosphate - reduced[c] =&gt; Butyryl-[acyl-carrier protein][c] + Nicotinamide adenine dinucleotide phosphate[c]</t>
  </si>
  <si>
    <t>HL_EAR60x</t>
  </si>
  <si>
    <t>Enoyl-[acyl-carrier-protein] reductase (NADH) (n-C6:0)</t>
  </si>
  <si>
    <t>Trans-Hex-2-enoyl-[acyl-carrier protein][c] + H+[c] + Nicotinamide adenine dinucleotide - reduced[c] =&gt; Hexanoyl-[acyl-carrier protein][c] + Nicotinamide adenine dinucleotide[c]</t>
  </si>
  <si>
    <t>HL_EAR60y</t>
  </si>
  <si>
    <t>Enoyl-[acyl-carrier-protein] reductase (NADPH) (n-C6:0)</t>
  </si>
  <si>
    <t>Trans-Hex-2-enoyl-[acyl-carrier protein][c] + H+[c] + Nicotinamide adenine dinucleotide phosphate - reduced[c] =&gt; Hexanoyl-[acyl-carrier protein][c] + Nicotinamide adenine dinucleotide phosphate[c]</t>
  </si>
  <si>
    <t>HL_EAR80x</t>
  </si>
  <si>
    <t>Enoyl-[acyl-carrier-protein] reductase (NADH) (n-C8:0)</t>
  </si>
  <si>
    <t>Trans-Oct-2-enoyl-[acyl-carrier protein][c] + H+[c] + Nicotinamide adenine dinucleotide - reduced[c] =&gt; Nicotinamide adenine dinucleotide[c] + Octanoyl-[acyl-carrier protein][c]</t>
  </si>
  <si>
    <t>HL_EAR80y</t>
  </si>
  <si>
    <t>Enoyl-[acyl-carrier-protein] reductase (NADPH) (n-C8:0)</t>
  </si>
  <si>
    <t>Trans-Oct-2-enoyl-[acyl-carrier protein][c] + H+[c] + Nicotinamide adenine dinucleotide phosphate - reduced[c] =&gt; Nicotinamide adenine dinucleotide phosphate[c] + Octanoyl-[acyl-carrier protein][c]</t>
  </si>
  <si>
    <t>HL_ECOAH6</t>
  </si>
  <si>
    <t>3-hydroxyacyl-CoA dehydratase (3-hydroxytetradecanoyl-CoA)</t>
  </si>
  <si>
    <t>4.2.1.17; 4.2.1.74</t>
  </si>
  <si>
    <t>(S)-3-Hydroxytetradecanoyl-CoA[c] &lt;=&gt; Trans-Tetradec-2-enoyl-CoA[c] + H2O[c]</t>
  </si>
  <si>
    <t>HL_ECOAH7</t>
  </si>
  <si>
    <t>3-hydroxyacyl-CoA dehydratase (3-hydroxyhexadecanoyl-CoA)</t>
  </si>
  <si>
    <t>(S)-3-Hydroxyhexadecanoyl-CoA[c] &lt;=&gt; Trans-Hexadec-2-enoyl-CoA[c] + H2O[c]</t>
  </si>
  <si>
    <t>HL_ECOAH8</t>
  </si>
  <si>
    <t>3-hydroxyacyl-CoA dehydratase (3-hydroxyoctadecanoyl-CoA)</t>
  </si>
  <si>
    <t>4.2.1.134; 4.2.1.17</t>
  </si>
  <si>
    <t>(S)-3-Hydroxyoctadecanoyl-CoA[c] &lt;=&gt; Trans-Octadec-2-enoyl-CoA[c] + H2O[c]</t>
  </si>
  <si>
    <t>HL_F1PP</t>
  </si>
  <si>
    <t>D-fructose 1-phosphate phosphatase</t>
  </si>
  <si>
    <t>D-Fructose 1-phosphate[c] + H2O[c] =&gt; D-Fructose[c] + Phosphate[c]</t>
  </si>
  <si>
    <t>GCODGGCH_00641 or GCODGGCH_00641 or GCODGGCH_01946 or GCODGGCH_00233</t>
  </si>
  <si>
    <t>HL_F6PP</t>
  </si>
  <si>
    <t>D-fructose 6-phosphate phosphatase</t>
  </si>
  <si>
    <t>D-Fructose 6-phosphate[c] + H2O[c] =&gt; D-Fructose[c] + Phosphate[c]</t>
  </si>
  <si>
    <t>GCODGGCH_01946 or GCODGGCH_00233 or GCODGGCH_00641 or GCODGGCH_00641 or GCODGGCH_01392</t>
  </si>
  <si>
    <t>HL_FBP</t>
  </si>
  <si>
    <t>Fructose-bisphosphatase</t>
  </si>
  <si>
    <t>3.1.3.11</t>
  </si>
  <si>
    <t>D-Fructose 1,6-bisphosphate[c] + H2O[c] =&gt; D-Fructose 6-phosphate[c] + Phosphate[c]</t>
  </si>
  <si>
    <t>GCODGGCH_00233</t>
  </si>
  <si>
    <t>HL_FE2abc</t>
  </si>
  <si>
    <t>Iron (II) transport via ABC system</t>
  </si>
  <si>
    <t>ATP[c] + Fe2+[e] + H2O[c] =&gt; ADP[c] + Fe2+[c] + H+[c] + Phosphate[c]</t>
  </si>
  <si>
    <t>GCODGGCH_00955</t>
  </si>
  <si>
    <t>HL_FORCT</t>
  </si>
  <si>
    <t>Formyl-CoA Transferase</t>
  </si>
  <si>
    <t>2.8.3.16</t>
  </si>
  <si>
    <t>Formyl-CoA(4-)[c] + Oxalate[c] &lt;=&gt; Oxalyl-CoA[c] + Formate[c]</t>
  </si>
  <si>
    <t>HL_FRDx</t>
  </si>
  <si>
    <t xml:space="preserve">Fumarate reductase NADH </t>
  </si>
  <si>
    <t>Fumarate[c] + H+[c] + Nicotinamide adenine dinucleotide - reduced[c] &lt;=&gt; Nicotinamide adenine dinucleotide[c] + Succinate[c]</t>
  </si>
  <si>
    <t>HL_G1PP</t>
  </si>
  <si>
    <t>Glucose-1-phosphatase</t>
  </si>
  <si>
    <t>3.1.3.10</t>
  </si>
  <si>
    <t>D-Glucose 1-phosphate[c] + H2O[c] =&gt; D-Glucose[c] + Phosphate[c]</t>
  </si>
  <si>
    <t>GCODGGCH_01946 or GCODGGCH_00233</t>
  </si>
  <si>
    <t>HL_G3PD2</t>
  </si>
  <si>
    <t>Glycerol-3-phosphate dehydrogenase (NADP)</t>
  </si>
  <si>
    <t>1.1.1.94</t>
  </si>
  <si>
    <t>sn-Glycerol 3-phosphate[c] + Nicotinamide adenine dinucleotide phosphate[c] &lt;=&gt; Dihydroxyacetone phosphate[c] + H+[c] + Nicotinamide adenine dinucleotide phosphate - reduced[c]</t>
  </si>
  <si>
    <t>HL_G3PT</t>
  </si>
  <si>
    <t>Glycerol-3-phosphatase</t>
  </si>
  <si>
    <t>3.1.3.21</t>
  </si>
  <si>
    <t>sn-Glycerol 3-phosphate[c] + H2O[c] =&gt; Glycerol[c] + Phosphate[c]</t>
  </si>
  <si>
    <t>GCODGGCH_00641 or GCODGGCH_00641 or GCODGGCH_00663 or GCODGGCH_00663</t>
  </si>
  <si>
    <t>HL_G6PP</t>
  </si>
  <si>
    <t>Glucose-6-phosphate phosphatase</t>
  </si>
  <si>
    <t>3.1.3.58; 3.1.3.9</t>
  </si>
  <si>
    <t>D-Glucose 6-phosphate[c] + H2O[c] =&gt; D-Glucose[c] + Phosphate[c]</t>
  </si>
  <si>
    <t>GCODGGCH_01392 or GCODGGCH_00641 or GCODGGCH_00641 or GCODGGCH_01946</t>
  </si>
  <si>
    <t>HL_GALKr</t>
  </si>
  <si>
    <t>Galactokinase</t>
  </si>
  <si>
    <t>ATP[c] + D-Galactose[c] =&gt; ADP[c] + alpha-D-Galactose 1-phosphate[c] + H+[c]</t>
  </si>
  <si>
    <t>HL_GDPDPK</t>
  </si>
  <si>
    <t>GDP diphosphokinase</t>
  </si>
  <si>
    <t>ATP[c] + GDP[c] =&gt; AMP[c] + H+[c] + Guanosine 3',5'-bis(diphosphate)[c]</t>
  </si>
  <si>
    <t>GCODGGCH_01317 or GCODGGCH_01317</t>
  </si>
  <si>
    <t>HL_GDPTPDP</t>
  </si>
  <si>
    <t>Guanosine 3'-diphosphate 5'-triphosphate 3'-diphosphatase</t>
  </si>
  <si>
    <t>Guanosine 3'-diphosphate 5'-triphosphate[c] + H2O[c] =&gt; GTP[c] + Diphosphate[c]</t>
  </si>
  <si>
    <t>HL_GK2</t>
  </si>
  <si>
    <t xml:space="preserve">Guanylate kinase  GMPdATP </t>
  </si>
  <si>
    <t>dATP[c] + GMP[c] &lt;=&gt; dADP[c] + GDP[c]</t>
  </si>
  <si>
    <t>GCODGGCH_01461 or GCODGGCH_01941</t>
  </si>
  <si>
    <t>HL_GLNTRS2</t>
  </si>
  <si>
    <t>Glutaminyl tRNA synthetase</t>
  </si>
  <si>
    <t>Glutamine tRNA charged with glutamate[c] + ATP[c] + Ammonium[c] =&gt; AMP[c] + L-Glutaminyl-tRNA(Gln)[c] + H+[c] + Diphosphate[c]</t>
  </si>
  <si>
    <t>GCODGGCH_01709 and GCODGGCH_01710 and GCODGGCH_01711</t>
  </si>
  <si>
    <t>HL_GLUABUTt7</t>
  </si>
  <si>
    <t>4-aminobutyrate/glutamate antiport</t>
  </si>
  <si>
    <t>4-Aminobutanoate[c] + L-Glutamate[e] &lt;=&gt; L-Glutamate[c] + 4-Aminobutanoate[e]</t>
  </si>
  <si>
    <t>GCODGGCH_01840 or GCODGGCH_02035 or GCODGGCH_01840 or GCODGGCH_02035</t>
  </si>
  <si>
    <t>HL_GLUabc</t>
  </si>
  <si>
    <t>L-glutamate transport via ABC system</t>
  </si>
  <si>
    <t>ATP[c] + L-Glutamate[e] + H2O[c] =&gt; ADP[c] + L-Glutamate[c] + H+[c] + Phosphate[c]</t>
  </si>
  <si>
    <t>GCODGGCH_01589 or GCODGGCH_00610 or OLD_iTN656_AC5u0009GL001684 or GCODGGCH_00610) and ((GCODGGCH_00062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(GCODGGCH_00611 or GCODGGCH_02113) or (GCODGGCH_00062 or GCODGGCH_00079 or GCODGGCH_00611 or GCODGGCH_00758 or GCODGGCH_01302 or GCODGGCH_01309 or GCODGGCH_01896 or GCODGGCH_02085)</t>
  </si>
  <si>
    <t>HL_GLYCK2</t>
  </si>
  <si>
    <t>Glycerate kinase</t>
  </si>
  <si>
    <t>2.7.1.165; 2.7.1.31</t>
  </si>
  <si>
    <t>ATP[c] + (R)-Glycerate[c] =&gt; D-Glycerate 2-phosphate[c] + ADP[c] + H+[c]</t>
  </si>
  <si>
    <t>HL_GMPS</t>
  </si>
  <si>
    <t>GMP synthase</t>
  </si>
  <si>
    <t>ATP[c] + Ammonium[c] + Xanthosine 5'-phosphate[c] =&gt; AMP[c] + GMP[c] + 2 H+[c] + Diphosphate[c]</t>
  </si>
  <si>
    <t>GCODGGCH_01916</t>
  </si>
  <si>
    <t>HL_GRTAL</t>
  </si>
  <si>
    <t>Glucose ribitol teichoic acid ligase</t>
  </si>
  <si>
    <t>teichoic_acid_containing_ribitol_P[c] + 25 UDPglucose[c] =&gt; 25 H+[c] + ribitol_teichoic_acid__n25__with_glucose_substitutions[c] + 25 UDP[c]</t>
  </si>
  <si>
    <t>GCODGGCH_01657 or GCODGGCH_01657 or GCODGGCH_01657</t>
  </si>
  <si>
    <t>Lipoic acid metabolism</t>
  </si>
  <si>
    <t>HL_GTPCII2</t>
  </si>
  <si>
    <t>GTP cyclohydrolase II (25drapp)</t>
  </si>
  <si>
    <t>GTP[c] + 3 H2O[c] =&gt; 2,5-Diamino-6-(ribosylamino)-4-(3H)-pyrimidinone 5'-phosphate[c] + Formate[c] + 2 H+[c] + Diphosphate[c]</t>
  </si>
  <si>
    <t>HL_GUAt2r</t>
  </si>
  <si>
    <t>Guanine reversible transport via proton symport</t>
  </si>
  <si>
    <t>Guanine[e] + H+[e] &lt;=&gt; Guanine[c] + H+[c]</t>
  </si>
  <si>
    <t>GCODGGCH_01187 or GCODGGCH_02094 or GCODGGCH_02094</t>
  </si>
  <si>
    <t>HL_HSST</t>
  </si>
  <si>
    <t>Homoserine O-succinyltransferase</t>
  </si>
  <si>
    <t>2.3.1.46</t>
  </si>
  <si>
    <t>L-Homoserine[c] + Succinyl-CoA[c] =&gt; O-Succinyl-L-homoserine[c] + Coenzyme A[c]</t>
  </si>
  <si>
    <t>GCODGGCH_00411</t>
  </si>
  <si>
    <t>HL_I2FE2SR</t>
  </si>
  <si>
    <t>ISC [2Fe-2S] regeneration</t>
  </si>
  <si>
    <t>IscS with bound sulfur[c] + IscU scaffold protein[c] + [2Fe-1S] desulfurated iron-sulfur cluster[c] =&gt; IscS sulfur acceptor protein[c] + IscU with bound [2Fe-2S] cluster[c] + 4 H+[c]</t>
  </si>
  <si>
    <t>GCODGGCH_00960 and (GCODGGCH_00594 or GCODGGCH_00889</t>
  </si>
  <si>
    <t>HL_I2FE2SS</t>
  </si>
  <si>
    <t>ISC [2Fe-2S] Synthesis</t>
  </si>
  <si>
    <t>Flavin adenine dinucleotide reduced[c] + 2 IscS with bound sulfur[c] + IscU scaffold protein[c] + 2 Fe2+[c] =&gt; 2 IscS sulfur acceptor protein[c] + IscU with bound [2Fe-2S] cluster[c] + FAD[c] + 6 H+[c]</t>
  </si>
  <si>
    <t>GCODGGCH_00594 or GCODGGCH_00889) and GCODGGCH_00960</t>
  </si>
  <si>
    <t>HL_ICYSDS</t>
  </si>
  <si>
    <t>ISC Cysteine desulfuration</t>
  </si>
  <si>
    <t>IscS sulfur acceptor protein[c] + L-Cysteine[c] =&gt; IscS with bound sulfur[c] + L-Alanine[c]</t>
  </si>
  <si>
    <t>GCODGGCH_00594 or GCODGGCH_00889</t>
  </si>
  <si>
    <t>HL_IMPD</t>
  </si>
  <si>
    <t>IMP dehydrogenase</t>
  </si>
  <si>
    <t>1.1.1.205</t>
  </si>
  <si>
    <t>H2O[c] + IMP[c] + Nicotinamide adenine dinucleotide[c] =&gt; H+[c] + Nicotinamide adenine dinucleotide - reduced[c] + Xanthosine 5'-phosphate[c]</t>
  </si>
  <si>
    <t>GCODGGCH_00093</t>
  </si>
  <si>
    <t>HL_KARA2</t>
  </si>
  <si>
    <t>Ketol-acid reductoisomerase (2-Acetolactate)</t>
  </si>
  <si>
    <t>1.1.1.86</t>
  </si>
  <si>
    <t>(S)-2-Aceto-2-hydroxybutanoate[c] + H+[c] + Nicotinamide adenine dinucleotide phosphate - reduced[c] &lt;=&gt; (R)-2,3-Dihydroxy-3-methylpentanoate[c] + Nicotinamide adenine dinucleotide phosphate[c]</t>
  </si>
  <si>
    <t>HL_KAS14</t>
  </si>
  <si>
    <t>Beta-ketoacyl-ACP synthase</t>
  </si>
  <si>
    <t>2.3.1.179; 2.3.1.86; 2.3.1.85; 2.3.1.-; 2.3.1.41; 2.3.1.180</t>
  </si>
  <si>
    <t>Acetyl-ACP[c] + H+[c] + Malonyl-[acyl-carrier protein][c] =&gt; acyl carrier protein[c] + Acetoacetyl-[acyl-carrier protein][c] + CO2[c]</t>
  </si>
  <si>
    <t>GCODGGCH_00375 or GCODGGCH_00375</t>
  </si>
  <si>
    <t>HL_LIPATPT</t>
  </si>
  <si>
    <t>Lipoate-ATP adenylate transferase</t>
  </si>
  <si>
    <t>6.3.1.20; 2.7.7.63</t>
  </si>
  <si>
    <t>Lipoate[c] + ATP[c] =&gt; Lipoyl-AMP[c] + Diphosphate[c]</t>
  </si>
  <si>
    <t>GCODGGCH_00911 or GCODGGCH_01988</t>
  </si>
  <si>
    <t>HL_LSERDHr</t>
  </si>
  <si>
    <t>L-serine dehydrogenase</t>
  </si>
  <si>
    <t>1.1.1.276</t>
  </si>
  <si>
    <t>Nicotinamide adenine dinucleotide phosphate[c] + L-Serine[c] &lt;=&gt; 2-Aminomalonate semialdehyde[c] + H+[c] + Nicotinamide adenine dinucleotide phosphate - reduced[c]</t>
  </si>
  <si>
    <t>HL_LTA_LRE</t>
  </si>
  <si>
    <t>Lipteichoic acid reaction (Lb.reuteri specific)</t>
  </si>
  <si>
    <t>Lipoteichoic acid (n=25) with 100% D-Ala substitutions (LRE specific)[c] + Lipoteichoic acid (n=25 with glucose residues, LRE specific)[c] + 115.3 D-Alanine[c] + 185.3 ATP[c] + 150 CTP[c] + 120 sn-Glycerol 3-phosphate[c] + 171 H2O[c] + phosphatidic acid (Lb reuteri specific)[c] + 130.2 UDPglucose[c] =&gt; Lipoteichoic acid specific for L.reuteri[c] + 185.3 ADP[c] + 150 CMP[c] + 173.2 H+[c] + 186.3 Phosphate[c] + 20 Diphosphate[c] + 130.2 UDP[c]</t>
  </si>
  <si>
    <t>GCODGGCH_01284 and GCODGGCH_01612</t>
  </si>
  <si>
    <t>HL_L_LACD2</t>
  </si>
  <si>
    <t>L-Lactate dehydrogenase (ubiquinone)</t>
  </si>
  <si>
    <t>1.1.2.3</t>
  </si>
  <si>
    <t>L-Lactate[c] + Ubiquinone-8[c] =&gt; Pyruvate[c] + Ubiquinol-8[c]</t>
  </si>
  <si>
    <t>(GCODGGCH_00802 and GCODGGCH_00800 and GCODGGCH_00801) or GCODGGCH_00093</t>
  </si>
  <si>
    <t>HL_L_LACD3</t>
  </si>
  <si>
    <t>L-Lactate dehydrogenase (menaquinone)</t>
  </si>
  <si>
    <t>L-Lactate[c] + Menaquinone 8[c] =&gt; Menaquinol 8[c] + Pyruvate[c]</t>
  </si>
  <si>
    <t>(GCODGGCH_00800 and GCODGGCH_00802 and GCODGGCH_00801) or GCODGGCH_00093</t>
  </si>
  <si>
    <t>HL_MALTATr</t>
  </si>
  <si>
    <t>Maltose O-acetyltransferase</t>
  </si>
  <si>
    <t>2.3.1.79</t>
  </si>
  <si>
    <t>Acetyl-CoA[c] + Maltose[c] =&gt; Acetyl-maltose[c] + Coenzyme A[c]</t>
  </si>
  <si>
    <t>GCODGGCH_00311 or GCODGGCH_00311 or OLD_iTN656_AC5u0009GL000472</t>
  </si>
  <si>
    <t>HL_ME1</t>
  </si>
  <si>
    <t>Malic enzyme (NAD)</t>
  </si>
  <si>
    <t>1.1.1.39; 1.1.1.38</t>
  </si>
  <si>
    <t>L-Malate[c] + Nicotinamide adenine dinucleotide[c] =&gt; CO2[c] + Nicotinamide adenine dinucleotide - reduced[c] + Pyruvate[c]</t>
  </si>
  <si>
    <t>GCODGGCH_01819</t>
  </si>
  <si>
    <t>HL_MELIBt2</t>
  </si>
  <si>
    <t>melibiose transport in via symport</t>
  </si>
  <si>
    <t>H+[e] + Melibiose[e] =&gt; H+[c] + Melibiose[c]</t>
  </si>
  <si>
    <t>HL_METGL</t>
  </si>
  <si>
    <t>Methionine g lyase</t>
  </si>
  <si>
    <t>4.4.1.11</t>
  </si>
  <si>
    <t>H2O[c] + L-Methionine[c] =&gt; 2-Oxobutanoate[c] + Methanethiol CH4S[c] + Ammonium[c]</t>
  </si>
  <si>
    <t>HL_METSOXR1</t>
  </si>
  <si>
    <t>L-methionine-S-oxide reductase</t>
  </si>
  <si>
    <t>1.8.4.14; 1.8.4.13; 1.8.4.11</t>
  </si>
  <si>
    <t>L-Methionine Sulfoxide[c] + Reduced thioredoxin[c] =&gt; H2O[c] + L-Methionine[c] + Oxidized thioredoxin[c]</t>
  </si>
  <si>
    <t>(GCODGGCH_00991 and GCODGGCH_01968) or (GCODGGCH_01968 and (GCODGGCH_01344 or GCODGGCH_01346)) or (GCODGGCH_01968 and (GCODGGCH_01344 or GCODGGCH_01346)) or (GCODGGCH_00991 and GCODGGCH_01968)</t>
  </si>
  <si>
    <t>HL_METSOXR2</t>
  </si>
  <si>
    <t>L-methionine-R-sulfoxide reductase</t>
  </si>
  <si>
    <t>L-methionine-R-sulfoxide[c] + Reduced thioredoxin[c] =&gt; H2O[c] + L-Methionine[c] + Oxidized thioredoxin[c]</t>
  </si>
  <si>
    <t>(GCODGGCH_01968 and GCODGGCH_01190) or (GCODGGCH_01968 and GCODGGCH_01190)</t>
  </si>
  <si>
    <t>HL_MGDS</t>
  </si>
  <si>
    <t>Molybdopterin guanine dinucleotide synthase</t>
  </si>
  <si>
    <t>Molybdoenzyme molybdenum cofactor[c] + GTP[c] + H+[c] =&gt; H2O[c] + moldybdopterin_guanine_dinucleotide[c] + Diphosphate[c]</t>
  </si>
  <si>
    <t>GCODGGCH_00986 and GCODGGCH_00987</t>
  </si>
  <si>
    <t>HL_MLTG1</t>
  </si>
  <si>
    <t>Maltodextrin glucosidase (maltotriose)</t>
  </si>
  <si>
    <t>3.2.1.20</t>
  </si>
  <si>
    <t>Maltotriose C18H32O16[c] + H2O[c] =&gt; D-Glucose[c] + Maltose[c]</t>
  </si>
  <si>
    <t>HL_MLTG2</t>
  </si>
  <si>
    <t>Maltodextrin glucosidase (maltotetraose)</t>
  </si>
  <si>
    <t>Maltotetraose[c] + H2O[c] =&gt; Maltotriose C18H32O16[c] + D-Glucose[c]</t>
  </si>
  <si>
    <t>HL_MLTG3</t>
  </si>
  <si>
    <t>Maltodextrin glucosidase (maltopentaose)</t>
  </si>
  <si>
    <t>3.2.1.74; 3.2.1.20</t>
  </si>
  <si>
    <t>Maltopentaose[c] + H2O[c] =&gt; Maltotetraose[c] + D-Glucose[c]</t>
  </si>
  <si>
    <t>HL_MLTG4</t>
  </si>
  <si>
    <t>Maltodextrin glucosidase (maltohexaose)</t>
  </si>
  <si>
    <t>Maltohexaose[c] + H2O[c] =&gt; Maltopentaose[c] + D-Glucose[c]</t>
  </si>
  <si>
    <t>HL_MOCOS</t>
  </si>
  <si>
    <t>Molybdenum cofactor synthase</t>
  </si>
  <si>
    <t>Adenylated molybdopterin[c] + Molybdate[c] + 2 H+[c] =&gt; Molybdoenzyme molybdenum cofactor[c] + AMP[c] + Cu2+[c] + H2O[c]</t>
  </si>
  <si>
    <t>GCODGGCH_00988</t>
  </si>
  <si>
    <t>HL_NADDP</t>
  </si>
  <si>
    <t>NAD diphosphatase</t>
  </si>
  <si>
    <t>3.6.1.9; 3.6.1.22</t>
  </si>
  <si>
    <t>H2O[c] + Nicotinamide adenine dinucleotide[c] =&gt; NMN C11H14N2O8P[c] + AMP[c] + 2 H+[c]</t>
  </si>
  <si>
    <t>GCODGGCH_01369 or GCODGGCH_01713</t>
  </si>
  <si>
    <t>Nicotinate and Nicotinamide metabolism</t>
  </si>
  <si>
    <t>HL_NADH10</t>
  </si>
  <si>
    <t>NADH dehydrogenase (menaquinone-8 &amp; 0 protons)</t>
  </si>
  <si>
    <t>H+[c] + Menaquinone 8[c] + Nicotinamide adenine dinucleotide - reduced[c] =&gt; Menaquinol 8[c] + Nicotinamide adenine dinucleotide[c]</t>
  </si>
  <si>
    <t>GCODGGCH_02101 or GCODGGCH_00967 or OLD_iTN656_AC5u0009GL001904</t>
  </si>
  <si>
    <t>HL_NADH5</t>
  </si>
  <si>
    <t>NADH dehydrogenase (ubiquinone-8 )</t>
  </si>
  <si>
    <t>H+[c] + Nicotinamide adenine dinucleotide - reduced[c] + Ubiquinone-8[c] =&gt; Nicotinamide adenine dinucleotide[c] + Ubiquinol-8[c]</t>
  </si>
  <si>
    <t>OLD_iTN656_AC5u0009GL001904 or GCODGGCH_00967 or GCODGGCH_02101</t>
  </si>
  <si>
    <t>HL_NADH9</t>
  </si>
  <si>
    <t>NADH dehydrogenase (demethylmenaquinone-8 &amp; 0 protons)</t>
  </si>
  <si>
    <t>2-Demethylmenaquinone 8[c] + H+[c] + Nicotinamide adenine dinucleotide - reduced[c] =&gt; 2-Demethylmenaquinol 8[c] + Nicotinamide adenine dinucleotide[c]</t>
  </si>
  <si>
    <t>HL_NMNAT</t>
  </si>
  <si>
    <t>Nicotinamide-nucleotide adenylyltransferase</t>
  </si>
  <si>
    <t>2.7.7.1; 2.7.7.18</t>
  </si>
  <si>
    <t>NMN C11H14N2O8P[c] + ATP[c] + H+[c] =&gt; Nicotinamide adenine dinucleotide[c] + Diphosphate[c]</t>
  </si>
  <si>
    <t>GCODGGCH_01512 or GCODGGCH_01512 or GCODGGCH_00494 or GCODGGCH_01512</t>
  </si>
  <si>
    <t>HL_NMNP</t>
  </si>
  <si>
    <t>NMN permease</t>
  </si>
  <si>
    <t>NMN C11H14N2O8P[e] =&gt; NMN C11H14N2O8P[c]</t>
  </si>
  <si>
    <t>HL_NO2t3</t>
  </si>
  <si>
    <t>nitrite transport out via proton antiport</t>
  </si>
  <si>
    <t>H+[e] + Nitrite[c] =&gt; H+[c] + Nitrite[e]</t>
  </si>
  <si>
    <t>GCODGGCH_00974</t>
  </si>
  <si>
    <t>HL_NTP10</t>
  </si>
  <si>
    <t>Nucleoside-triphosphatase (ITP)</t>
  </si>
  <si>
    <t>3.6.1; 3.6.1.-; 3.6.1.5</t>
  </si>
  <si>
    <t>H2O[c] + ITP[c] =&gt; H+[c] + IDP[c] + Phosphate[c]</t>
  </si>
  <si>
    <t>GCODGGCH_01453</t>
  </si>
  <si>
    <t>HL_NTP3</t>
  </si>
  <si>
    <t>Nucleoside-triphosphatase (GTP)</t>
  </si>
  <si>
    <t>3.6.5.6; 3.6.5.3; 3.6.5.5; 3.6.5.4; 3.6.1.15; 3.6.5.2; 3.6.5.1; 3.6.1.5</t>
  </si>
  <si>
    <t>GTP[c] + H2O[c] =&gt; GDP[c] + H+[c] + Phosphate[c]</t>
  </si>
  <si>
    <t>GCODGGCH_00752 or GCODGGCH_01453 or OLD_iTN656_AC5u0009GL001352 or GCODGGCH_01928</t>
  </si>
  <si>
    <t>HL_NTP5</t>
  </si>
  <si>
    <t>Nucleoside-triphosphatase (CTP)</t>
  </si>
  <si>
    <t>3.6.1.15; 3.6.1.5</t>
  </si>
  <si>
    <t>CTP[c] + H2O[c] =&gt; CDP[c] + H+[c] + Phosphate[c]</t>
  </si>
  <si>
    <t>HL_NTPP9</t>
  </si>
  <si>
    <t>Nucleoside triphosphate pyrophosphorylase (itp)</t>
  </si>
  <si>
    <t>3.6.1.9; 3.6.1.-; 3.6.1.8</t>
  </si>
  <si>
    <t>H2O[c] + ITP[c] =&gt; H+[c] + IMP[c] + Diphosphate[c]</t>
  </si>
  <si>
    <t>GCODGGCH_00639 or GCODGGCH_00639</t>
  </si>
  <si>
    <t>HL_NTRARx</t>
  </si>
  <si>
    <t>nitrate reductase NADH</t>
  </si>
  <si>
    <t>H+[c] + Nicotinamide adenine dinucleotide - reduced[c] + Nitrate[c] =&gt; H2O[c] + Nicotinamide adenine dinucleotide[c] + Nitrite[c]</t>
  </si>
  <si>
    <t>GCODGGCH_00991 and GCODGGCH_00992 and GCODGGCH_00993 and GCODGGCH_00994</t>
  </si>
  <si>
    <t>HL_NTRARy</t>
  </si>
  <si>
    <t>nitrate reductase NADPH</t>
  </si>
  <si>
    <t>H+[c] + Nicotinamide adenine dinucleotide phosphate - reduced[c] + Nitrate[c] =&gt; H2O[c] + Nicotinamide adenine dinucleotide phosphate[c] + Nitrite[c]</t>
  </si>
  <si>
    <t>HL_OCTDPS</t>
  </si>
  <si>
    <t>Octaprenyl pyrophosphate synthase</t>
  </si>
  <si>
    <t>2.5.1.90</t>
  </si>
  <si>
    <t>Farnesyl diphosphate[c] + 5 Isopentenyl diphosphate[c] =&gt; All-trans-Octaprenyl diphosphate[c] + 5 Diphosphate[c]</t>
  </si>
  <si>
    <t>HL_OGMEACPD</t>
  </si>
  <si>
    <t>3-Oxo-glutaryl-[ACP] methyl ester dehydratase</t>
  </si>
  <si>
    <t>4.2.1.59</t>
  </si>
  <si>
    <t>3-Hydroxyglutaryl-[acyl-carrier protein] methyl ester[c] =&gt; Enoylglutaryl-[acyl-carrier protein] methyl ester[c] + H2O[c]</t>
  </si>
  <si>
    <t>HL_OGMEACPR</t>
  </si>
  <si>
    <t>3-Oxo-glutaryl-[ACP] methyl ester reductase</t>
  </si>
  <si>
    <t>3-Oxo-glutaryl-[acyl-carrier protein] methyl ester[c] + H+[c] + Nicotinamide adenine dinucleotide phosphate - reduced[c] =&gt; 3-Hydroxyglutaryl-[acyl-carrier protein] methyl ester[c] + Nicotinamide adenine dinucleotide phosphate[c]</t>
  </si>
  <si>
    <t>HL_OPMEACPD</t>
  </si>
  <si>
    <t>3-Oxo-pimeloyl-[ACP] methyl ester dehydratase</t>
  </si>
  <si>
    <t>3-Hydroxypimeloyl-[acyl-carrier protein] methyl ester[c] =&gt; Enoylpimeloyl-[acyl-carrier protein] methyl ester[c] + H2O[c]</t>
  </si>
  <si>
    <t>HL_OXCDC</t>
  </si>
  <si>
    <t>Oxalyl-CoA decarboxylase</t>
  </si>
  <si>
    <t>4.1.1.8</t>
  </si>
  <si>
    <t>Oxalyl-CoA[c] + H+[c] =&gt; Formyl-CoA(4-)[c] + CO2[c]</t>
  </si>
  <si>
    <t>HL_P5CR</t>
  </si>
  <si>
    <t>Pyrroline-5-carboxylate reductase</t>
  </si>
  <si>
    <t>1.5.1.2</t>
  </si>
  <si>
    <t>1-Pyrroline-5-carboxylate[c] + 2 H+[c] + Nicotinamide adenine dinucleotide phosphate - reduced[c] =&gt; Nicotinamide adenine dinucleotide phosphate[c] + L-Proline[c]</t>
  </si>
  <si>
    <t>GCODGGCH_01622</t>
  </si>
  <si>
    <t>Arginine and proline metabolism</t>
  </si>
  <si>
    <t>HL_PAPPT1</t>
  </si>
  <si>
    <t xml:space="preserve">Phospho N acetylmuramoyl pentapeptide transferase alpha glutamate </t>
  </si>
  <si>
    <t>2.7.8.13</t>
  </si>
  <si>
    <t>UDP-N-acetylmuramoyl-L-alanyl-D-glutamyl-L-lysyl-D-alanyl-D-alanine[c] + Undecaprenyl phosphate[c] =&gt; Undecaprenyl-diphospho-N-acetylmuramoyl-L-alanyl-D-glutamyl-L-lysyl-D-alanyl-D-alanine[c] + UMP[c]</t>
  </si>
  <si>
    <t>GCODGGCH_00706</t>
  </si>
  <si>
    <t>Peptidoglycan biosynthesis</t>
  </si>
  <si>
    <t>HL_PAPPT3</t>
  </si>
  <si>
    <t>Phospho-N-acetylmuramoyl-pentapeptide-transferase (meso-2,6-diaminopimelate)</t>
  </si>
  <si>
    <t>UDP-N-acetylmuramoyl-L-alanyl-D-glutamyl-meso-2,6-diaminopimeloyl-D-alanyl-D-alanine[c] + Undecaprenyl phosphate[c] =&gt; Undecaprenyl-diphospho-N-acetylmuramoyl-L-alanyl-D-glutamyl-meso-2,6-diaminopimeloyl-D-alanyl-D-alanine[c] + UMP[c]</t>
  </si>
  <si>
    <t>HL_PMDPHT</t>
  </si>
  <si>
    <t>Pyrimidine phosphatase</t>
  </si>
  <si>
    <t>3.1.3.104; 3.1.3.-</t>
  </si>
  <si>
    <t>5-Amino-6-(5'-phosphoribitylamino)uracil[c] + H2O[c] =&gt; 4-(1-D-Ribitylamino)-5-aminouracil[c] + Phosphate[c]</t>
  </si>
  <si>
    <t>OLD_iTN656_AC5u0009GL000858 or GCODGGCH_01515</t>
  </si>
  <si>
    <t>HL_PPIabc</t>
  </si>
  <si>
    <t>Diphosphate transport in via ABC system</t>
  </si>
  <si>
    <t>ATP[c] + H2O[c] + Diphosphate[e] =&gt; ADP[c] + H+[c] + Phosphate[c] + Diphosphate[c]</t>
  </si>
  <si>
    <t>GCODGGCH_01435 and GCODGGCH_01433 and (GCODGGCH_01387 or GCODGGCH_01432) and (GCODGGCH_01387 or GCODGGCH_01432) and GCODGGCH_01434 and GCODGGCH_01435</t>
  </si>
  <si>
    <t>HL_PPK</t>
  </si>
  <si>
    <t>Polyphosphate kinase</t>
  </si>
  <si>
    <t>ATP[c] + Phosphate[c] =&gt; ADP[c] + Diphosphate[c]</t>
  </si>
  <si>
    <t>GCODGGCH_00355</t>
  </si>
  <si>
    <t>Energy metabolism</t>
  </si>
  <si>
    <t>HL_PPNCL2</t>
  </si>
  <si>
    <t>Phosphopantothenate-cysteine ligase</t>
  </si>
  <si>
    <t>6.3.2.5</t>
  </si>
  <si>
    <t>D-4'-Phosphopantothenate[c] + CTP[c] + L-Cysteine[c] =&gt; N-((R)-4-Phosphopantothenoyl)-L-cysteine[c] + CMP[c] + H+[c] + Diphosphate[c]</t>
  </si>
  <si>
    <t>GCODGGCH_01459</t>
  </si>
  <si>
    <t>HL_PREN</t>
  </si>
  <si>
    <t>Prenyl transferase</t>
  </si>
  <si>
    <t>Farnesyl diphosphate[c] + 4 Isopentenyl diphosphate[c] =&gt; all-trans-Heptaprenyl diphosphate[c] + 4 Diphosphate[c]</t>
  </si>
  <si>
    <t>HL_PROabc</t>
  </si>
  <si>
    <t>L-proline transport via ABC system</t>
  </si>
  <si>
    <t>ATP[c] + H2O[c] + L-Proline[e] =&gt; ADP[c] + H+[c] + Phosphate[c] + L-Proline[c]</t>
  </si>
  <si>
    <t>(GCODGGCH_00062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(GCODGGCH_00079 or GCODGGCH_00611 or GCODGGCH_00758 or GCODGGCH_01302 or GCODGGCH_01309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(GCODGGCH_00079 or GCODGGCH_00611 or GCODGGCH_00758 or GCODGGCH_01302 or GCODGGCH_01309 or GCODGGCH_02085) or (GCODGGCH_00611 or GCODGGCH_02113) or (GCODGGCH_00062 or GCODGGCH_00079 or GCODGGCH_00611 or GCODGGCH_00758 or GCODGGCH_01302 or GCODGGCH_01309 or GCODGGCH_01896 or GCODGGCH_02085)) and (GCODGGCH_01147 or GCODGGCH_01145</t>
  </si>
  <si>
    <t>HL_PTA2</t>
  </si>
  <si>
    <t>Phosphate acetyltransferase</t>
  </si>
  <si>
    <t>2.3.1.8; 2.3.1.222</t>
  </si>
  <si>
    <t>Phosphate[c] + Propanoyl-CoA[c] =&gt; Coenzyme A[c] + Propanoyl phosphate[c]</t>
  </si>
  <si>
    <t>GCODGGCH_00451 or OLD_iTN656_AC5u0009GL001918</t>
  </si>
  <si>
    <t>HL_PYDXPP</t>
  </si>
  <si>
    <t>Pyridoxal 5-phosphate phosphatase</t>
  </si>
  <si>
    <t>3.1.3.74</t>
  </si>
  <si>
    <t>H2O[c] + Pyridoxal 5'-phosphate[c] =&gt; Phosphate[c] + Pyridoxal[c]</t>
  </si>
  <si>
    <t>GCODGGCH_00233 or GCODGGCH_00233 or GCODGGCH_01392 or GCODGGCH_00663 or GCODGGCH_00663</t>
  </si>
  <si>
    <t>Aminobenzoate degradation</t>
  </si>
  <si>
    <t>HL_R5PP</t>
  </si>
  <si>
    <t>Ribose 5-phosphate phosphatase</t>
  </si>
  <si>
    <t>H2O[c] + alpha-D-Ribose 5-phosphate[c] =&gt; Phosphate[c] + D-Ribose[c]</t>
  </si>
  <si>
    <t>GCODGGCH_01946 or GCODGGCH_01946 or GCODGGCH_00641 or GCODGGCH_00641 or GCODGGCH_00663 or GCODGGCH_00663 or GCODGGCH_00233</t>
  </si>
  <si>
    <t>HL_RBFSb</t>
  </si>
  <si>
    <t>Riboflavin synthase</t>
  </si>
  <si>
    <t>2.5.1.9</t>
  </si>
  <si>
    <t>2 6,7-Dimethyl-8-(1-D-ribityl)lumazine[c] =&gt; 4-(1-D-Ribitylamino)-5-aminouracil[c] + Riboflavin[c]</t>
  </si>
  <si>
    <t>GCODGGCH_00881 or GCODGGCH_00883</t>
  </si>
  <si>
    <t>HL_RNTR1c2</t>
  </si>
  <si>
    <t>Ribonucleoside-triphosphate reductase (ATP) (flavodoxin)</t>
  </si>
  <si>
    <t>2 Flavodoxin reduced[c] + ATP[c] + 2 H+[c] =&gt; 2 Flavodoxin semi oxidized[c] + dATP[c] + H2O[c]</t>
  </si>
  <si>
    <t>(GCODGGCH_01656 or GCODGGCH_01656) and GCODGGCH_01588</t>
  </si>
  <si>
    <t>HL_RNTR2c2</t>
  </si>
  <si>
    <t>Ribonucleoside-triphosphate reductase (GTP) (flavodoxin)</t>
  </si>
  <si>
    <t>2 Flavodoxin reduced[c] + GTP[c] + 2 H+[c] =&gt; 2 Flavodoxin semi oxidized[c] + dGTP[c] + H2O[c]</t>
  </si>
  <si>
    <t>HL_RNTR3c2</t>
  </si>
  <si>
    <t>Ribonucleoside-triphosphate reductase (CTP) (flavodoxin)</t>
  </si>
  <si>
    <t>2 Flavodoxin reduced[c] + CTP[c] + 2 H+[c] =&gt; 2 Flavodoxin semi oxidized[c] + dCTP[c] + H2O[c]</t>
  </si>
  <si>
    <t>HL_RNTR4c2</t>
  </si>
  <si>
    <t>Ribonucleoside-triphosphate reductase (UTP) (flavodoxin)</t>
  </si>
  <si>
    <t>2 Flavodoxin reduced[c] + 2 H+[c] + UTP[c] =&gt; 2 Flavodoxin semi oxidized[c] + dUTP[c] + H2O[c]</t>
  </si>
  <si>
    <t>HL_S4FE4SR</t>
  </si>
  <si>
    <t>SUF [4Fe-4S] Reduction</t>
  </si>
  <si>
    <t>Flavin adenine dinucleotide reduced[c] + SufBCD with two bound [2Fe-2S] clusters[c] + 2 H+[c] =&gt; SufBCD with bound [4Fe-4S] cluster[c] + FAD[c]</t>
  </si>
  <si>
    <t>GCODGGCH_00961 and GCODGGCH_00957 and GCODGGCH_00961</t>
  </si>
  <si>
    <t>HL_SDPTA</t>
  </si>
  <si>
    <t>Succinyldiaminopimelate transaminase</t>
  </si>
  <si>
    <t>2.6.1.17</t>
  </si>
  <si>
    <t>2-Oxoglutarate[c] + N-Succinyl-LL-2,6-diaminoheptanedioate[c] &lt;=&gt; L-Glutamate[c] + N-Succinyl-2-L-amino-6-oxoheptanedioate[c]</t>
  </si>
  <si>
    <t>GCODGGCH_01879 or GCODGGCH_01879 or GCODGGCH_01879 or GCODGGCH_01879 or GCODGGCH_00406</t>
  </si>
  <si>
    <t>HL_SERAT</t>
  </si>
  <si>
    <t>Serine O-acetyltransferase</t>
  </si>
  <si>
    <t>2.3.1.30</t>
  </si>
  <si>
    <t>Acetyl-CoA[c] + L-Serine[c] &lt;=&gt; O-Acetyl-L-serine[c] + Coenzyme A[c]</t>
  </si>
  <si>
    <t>HL_SHSL1</t>
  </si>
  <si>
    <t>O-succinylhomoserine lyase (L-cysteine)</t>
  </si>
  <si>
    <t>2.5.1.48</t>
  </si>
  <si>
    <t>O-Succinyl-L-homoserine[c] + L-Cysteine[c] =&gt; L-Cystathionine[c] + H+[c] + Succinate[c]</t>
  </si>
  <si>
    <t>HL_SUCD1</t>
  </si>
  <si>
    <t>Succinate dehydrogenase</t>
  </si>
  <si>
    <t>1.3.5.1</t>
  </si>
  <si>
    <t>FAD[c] + Succinate[c] &lt;=&gt; Flavin adenine dinucleotide reduced[c] + Fumarate[c]</t>
  </si>
  <si>
    <t>GCODGGCH_01818 or OLD_iTN656_AC5u0009GL001189</t>
  </si>
  <si>
    <t>HL_THFAT</t>
  </si>
  <si>
    <t>Tetrahydrofolate aminomethyltransferase</t>
  </si>
  <si>
    <t>2.1.2.10</t>
  </si>
  <si>
    <t>H2O[c] + 5,10-Methenyltetrahydrofolate[c] =&gt; 5-Formyltetrahydrofolate[c] + H+[c]</t>
  </si>
  <si>
    <t>HL_THMDt2</t>
  </si>
  <si>
    <t>thymidine transport in via proton symport</t>
  </si>
  <si>
    <t>H+[e] + Thymidine[e] =&gt; H+[c] + Thymidine[c]</t>
  </si>
  <si>
    <t>GCODGGCH_00085</t>
  </si>
  <si>
    <t>HL_THRA</t>
  </si>
  <si>
    <t>Threonine aldolase</t>
  </si>
  <si>
    <t>4.1.2.48; 4.1.2.5</t>
  </si>
  <si>
    <t>L-Threonine[c] =&gt; Acetaldehyde[c] + Glycine[c]</t>
  </si>
  <si>
    <t>HL_THRA2</t>
  </si>
  <si>
    <t>L-allo-Threonine Aldolase</t>
  </si>
  <si>
    <t>L-Allo-threonine[c] =&gt; Acetaldehyde[c] + Glycine[c]</t>
  </si>
  <si>
    <t>HL_THRt2r</t>
  </si>
  <si>
    <t>R_THRt2r</t>
  </si>
  <si>
    <t>H+[e] + L-Threonine[e] &lt;=&gt; H+[c] + L-Threonine[c]</t>
  </si>
  <si>
    <t>GCODGGCH_01786 or GCODGGCH_01808 or GCODGGCH_01785</t>
  </si>
  <si>
    <t>HL_TRE6PH</t>
  </si>
  <si>
    <t>Trehalose-6-phosphate hydrolase</t>
  </si>
  <si>
    <t>3.2.1.93; 3.2.1.122</t>
  </si>
  <si>
    <t>Alpha,alpha'-Trehalose 6-phosphate[c] + H2O[c] =&gt; D-Glucose 6-phosphate[c] + D-Glucose[c]</t>
  </si>
  <si>
    <t>GCODGGCH_00839</t>
  </si>
  <si>
    <t>HL_TRPTA</t>
  </si>
  <si>
    <t>Tryptophan transaminase</t>
  </si>
  <si>
    <t>2.6.1.27</t>
  </si>
  <si>
    <t>2-Oxoglutarate[c] + L-Tryptophan[c] &lt;=&gt; L-Glutamate[c] + Indolepyruvate[c]</t>
  </si>
  <si>
    <t>GCODGGCH_00037 or GCODGGCH_00146 or GCODGGCH_01258 or GCODGGCH_00036 or GCODGGCH_00037 or GCODGGCH_00146 or GCODGGCH_01258 or GCODGGCH_00036 or GCODGGCH_00037 or GCODGGCH_00146 or GCODGGCH_01258 or GCODGGCH_00036 or GCODGGCH_00037 or GCODGGCH_00146 or GCODGGCH_01258 or GCODGGCH_00037 or GCODGGCH_00146 or GCODGGCH_01258 or GCODGGCH_00036 or GCODGGCH_00037 or GCODGGCH_00146 or GCODGGCH_01258 or GCODGGCH_00036 or GCODGGCH_00037 or GCODGGCH_00146 or GCODGGCH_01258 or GCODGGCH_00036 or GCODGGCH_00037 or GCODGGCH_00146 or GCODGGCH_01258 or GCODGGCH_00037 or GCODGGCH_00146 or GCODGGCH_01258 or GCODGGCH_00036 or GCODGGCH_00037 or GCODGGCH_00146 or GCODGGCH_01258 or GCODGGCH_00036 or GCODGGCH_00037 or GCODGGCH_00146 or GCODGGCH_01258 or GCODGGCH_00036 or GCODGGCH_00037 or GCODGGCH_00146 or GCODGGCH_01258</t>
  </si>
  <si>
    <t>HL_UAAGLS1</t>
  </si>
  <si>
    <t>UDP N acetylmuramoyl L alanyl D glutamate lysine synthetase alpha glutamate</t>
  </si>
  <si>
    <t>6.3.2.7</t>
  </si>
  <si>
    <t>ATP[c] + L-Lysine[c] + UDP-N-acetylmuramoyl-L-alanyl-D-glutamate[c] =&gt; ADP[c] + 2 H+[c] + Phosphate[c] + UDP-N-acetylmuramoyl-L-alanyl-D-glutamyl-L-lysine[c]</t>
  </si>
  <si>
    <t>GCODGGCH_00500</t>
  </si>
  <si>
    <t>HL_UAGPT1</t>
  </si>
  <si>
    <t>UDP N acetylglucosamine N acetylmuramyl pentapeptide pyrophosphoryl undecaprenol N acetylglucosamine transferase</t>
  </si>
  <si>
    <t>2.4.1.227</t>
  </si>
  <si>
    <t>Undecaprenyl-diphospho-N-acetylmuramoyl-L-alanyl-D-glutamyl-L-lysyl-D-alanyl-D-alanine[c] + UDP-N-acetyl-D-glucosamine[c] =&gt; Undecaprenyl-diphospho-N-acetylmuramoyl-(N-acetylglucosamine)-L-alanyl-D-glutamyl-L-lysyl-D-alanyl-D-alanine[c] + H+[c] + UDP[c]</t>
  </si>
  <si>
    <t>GCODGGCH_00708</t>
  </si>
  <si>
    <t>HL_UDPGPT</t>
  </si>
  <si>
    <t>Undecaprenyl-phosphate glucose phosphotransferase</t>
  </si>
  <si>
    <t>Undecaprenyl phosphate[c] + UDPglucose[c] &lt;=&gt; Undecaprenol-diphosphate-glucose[c] + UMP[c]</t>
  </si>
  <si>
    <t>GCODGGCH_00098 or GCODGGCH_01649 or GCODGGCH_00098 or GCODGGCH_01649 or GCODGGCH_00098 or GCODGGCH_01649</t>
  </si>
  <si>
    <t>HL_UGMDDS</t>
  </si>
  <si>
    <t>UDP-N-acetylmuramoyl-L-alanyl-D-glutamyl-meso-2,6-diaminopimeloyl-D-alanyl-D-alanine synthetase</t>
  </si>
  <si>
    <t>6.3.2.10</t>
  </si>
  <si>
    <t>D-Alanyl-D-alanine[c] + ATP[c] + UDP-N-acetylmuramoyl-L-alanyl-D-gamma-glutamyl-meso-2,6-diaminopimelate[c] =&gt; UDP-N-acetylmuramoyl-L-alanyl-D-glutamyl-meso-2,6-diaminopimeloyl-D-alanyl-D-alanine[c] + ADP[c] + H+[c] + Phosphate[c]</t>
  </si>
  <si>
    <t>GCODGGCH_00245</t>
  </si>
  <si>
    <t>HL_araphe1</t>
  </si>
  <si>
    <t>Aromatic amino acid aminotransferase phenylalanine</t>
  </si>
  <si>
    <t>4-Methyl-2-oxopentanoate[c] + L-Phenylalanine[c] =&gt; L-Leucine[c] + Phenylpyruvate[c]</t>
  </si>
  <si>
    <t>HL_araphe3</t>
  </si>
  <si>
    <t>Indolepyruvate[c] + L-Phenylalanine[c] =&gt; Phenylpyruvate[c] + L-Tryptophan[c]</t>
  </si>
  <si>
    <t>HL_aratry1</t>
  </si>
  <si>
    <t>Aromatic amino acid aminotransferase tryptophan</t>
  </si>
  <si>
    <t>4-Methyl-2-oxopentanoate[c] + L-Tryptophan[c] =&gt; Indolepyruvate[c] + L-Leucine[c]</t>
  </si>
  <si>
    <t>HL_aratyr1</t>
  </si>
  <si>
    <t>Aromatic amino acid aminotransferase tyrosine</t>
  </si>
  <si>
    <t>4-Methyl-2-oxopentanoate[c] + L-Tyrosine[c] =&gt; 3-(4-Hydroxyphenyl)pyruvate[c] + L-Leucine[c]</t>
  </si>
  <si>
    <t>HL_aratyr3</t>
  </si>
  <si>
    <t>Phenylpyruvate[c] + L-Tyrosine[c] &lt;=&gt; 3-(4-Hydroxyphenyl)pyruvate[c] + L-Phenylalanine[c]</t>
  </si>
  <si>
    <t>HMBS</t>
  </si>
  <si>
    <t>hydroxymethylbilane synthase</t>
  </si>
  <si>
    <t>2.5.1.61; 4.3.1.8</t>
  </si>
  <si>
    <t>H2O[c] + 4 Porphobilinogen[c] =&gt; Hydroxymethylbilane[c] + 4 Ammonium[c]</t>
  </si>
  <si>
    <t>HMGCOAR</t>
  </si>
  <si>
    <t>Hydroxymethylglutaryl CoA reductase</t>
  </si>
  <si>
    <t>1.1.1.88; 1.1.1.34</t>
  </si>
  <si>
    <t>Coenzyme A[c] + (R)-Mevalonate[c] + 2 Nicotinamide adenine dinucleotide phosphate[c] &lt;=&gt; 2 H+[c] + Hydroxymethylglutaryl-CoA[c] + 2 Nicotinamide adenine dinucleotide phosphate - reduced[c]</t>
  </si>
  <si>
    <t>GCODGGCH_00216</t>
  </si>
  <si>
    <t>metanetx.reaction/MNXR100659;bigg.reaction/HMGCOAR;sbo/SBO:0000375</t>
  </si>
  <si>
    <t>HMGCOAS</t>
  </si>
  <si>
    <t>Hydroxymethylglutaryl CoA synthase</t>
  </si>
  <si>
    <t>2.3.3.10</t>
  </si>
  <si>
    <t>Coenzyme A[c] + H+[c] + Hydroxymethylglutaryl-CoA[c] &lt;=&gt; Acetoacetyl-CoA[c] + Acetyl-CoA[c] + H2O[c]</t>
  </si>
  <si>
    <t>GCODGGCH_00803</t>
  </si>
  <si>
    <t>metanetx.reaction/MNXR100660;bigg.reaction/HMGCOAS;sbo/SBO:0000375</t>
  </si>
  <si>
    <t>HMPK1</t>
  </si>
  <si>
    <t>hydroxymethylpyrimidine kinase (ATP)</t>
  </si>
  <si>
    <t>2.7.1.49</t>
  </si>
  <si>
    <t>4-Amino-5-hydroxymethyl-2-methylpyrimidine[c] + ATP[c] =&gt; 4-Amino-2-methyl-5-phosphomethylpyrimidine[c] + ADP[c] + H+[c]</t>
  </si>
  <si>
    <t>GCODGGCH_01333 or GCODGGCH_01337 or GCODGGCH_01333 or GCODGGCH_01337 or GCODGGCH_01333 or GCODGGCH_01337</t>
  </si>
  <si>
    <t>kegg.reaction/R03471;metanetx.reaction/MNXR100664;biocyc/META:OHMETPYRKIN-RXN;rhea/23096;rhea/23097;rhea/23098;rhea/23099;bigg.reaction/HMPK1;sbo/SBO:0000375</t>
  </si>
  <si>
    <t>HMPabc</t>
  </si>
  <si>
    <t>Hydroxymethylpyrimidine ABC transporter</t>
  </si>
  <si>
    <t>4-Amino-5-hydroxymethyl-2-methylpyrimidine[e] + ATP[c] + H2O[c] =&gt; 4-Amino-5-hydroxymethyl-2-methylpyrimidine[c] + ADP[c] + H+[c] + Phosphate[c]</t>
  </si>
  <si>
    <t>(GCODGGCH_01771 or GCODGGCH_01983) and GCODGGCH_01984</t>
  </si>
  <si>
    <t>HOCHL3</t>
  </si>
  <si>
    <t>((3R)-3-Hydroxybutanoyl-[acyl-carrier-protein] hydro-lyase</t>
  </si>
  <si>
    <t>(R)-3-Hydroxyoctanoyl-[acyl-carrier protein][c] =&gt; trans-Oct-2-enoyl-[acp][c] + H2O[c]</t>
  </si>
  <si>
    <t>bigg.reaction/HOCHL3;sbo/SBO:0000375</t>
  </si>
  <si>
    <t>HOCR3</t>
  </si>
  <si>
    <t>(3R)-3-Hydroxyoctanoyl-[acyl-carrier-protein]:NADP+ oxidoreductase</t>
  </si>
  <si>
    <t>3-Oxooctanoyl-[acyl-carrier protein][c] + H+[c] + Nicotinamide adenine dinucleotide phosphate - reduced[c] =&gt; (R)-3-Hydroxyoctanoyl-[acyl-carrier protein][c] + Nicotinamide adenine dinucleotide phosphate[c]</t>
  </si>
  <si>
    <t>bigg.reaction/HOCR3;sbo/SBO:0000375</t>
  </si>
  <si>
    <t>HODHL8</t>
  </si>
  <si>
    <t>(3R)-3-Hydroxyoctadecanoyl-[acyl-carrier-protein] hydro-lyase</t>
  </si>
  <si>
    <t>(3R)-3-Hydroxyoctadecanoyl-[acyl-carrier protein[c] =&gt; trans-Octadec-2-enoyl-[acyl-carrier-protein][c] + H2O[c]</t>
  </si>
  <si>
    <t>bigg.reaction/HODHL8;sbo/SBO:0000375</t>
  </si>
  <si>
    <t>HODR8</t>
  </si>
  <si>
    <t>(3R)-3-Hydroxyoctadecanoyl-[acyl-carrier-protein]:NADP+ oxidoreductase</t>
  </si>
  <si>
    <t>3-Oxooctadecanoyl-[acp][c] + H+[c] + Nicotinamide adenine dinucleotide phosphate - reduced[c] =&gt; (3R)-3-Hydroxyoctadecanoyl-[acyl-carrier protein[c] + Nicotinamide adenine dinucleotide phosphate[c]</t>
  </si>
  <si>
    <t>bigg.reaction/HODR8;sbo/SBO:0000375</t>
  </si>
  <si>
    <t>HPPK</t>
  </si>
  <si>
    <t>2-amino-4-hydroxy-6-hydroxymethyldihydropteridine diphosphokinase</t>
  </si>
  <si>
    <t>2.7.6.3</t>
  </si>
  <si>
    <t>2-Amino-4-hydroxy-6-hydroxymethyl-7,8-dihydropteridine[c] + ATP[c] =&gt; 2-Amino-4-hydroxy-6-hydroxymethyl-7,8-dihydropteridine diphosphate[c] + AMP[c] + H+[c]</t>
  </si>
  <si>
    <t>GCODGGCH_01550</t>
  </si>
  <si>
    <t>metanetx.reaction/MNXR100693;bigg.reaction/HPPK;sbo/SBO:0000375</t>
  </si>
  <si>
    <t>HSAT</t>
  </si>
  <si>
    <t>Acetyl-CoA:L-homoserine O-acetyltransferase</t>
  </si>
  <si>
    <t>2.3.1.31;2.3.1.46</t>
  </si>
  <si>
    <t>Acetyl-CoA[c] + L-Homoserine[c] &lt;=&gt; O-Acetyl-L-homoserine[c] + Coenzyme A[c]</t>
  </si>
  <si>
    <t>HSDy</t>
  </si>
  <si>
    <t>homoserine dehydrogenase (NADPH)</t>
  </si>
  <si>
    <t>1.1.1.3</t>
  </si>
  <si>
    <t>L-Homoserine[c] + Nicotinamide adenine dinucleotide phosphate[c] &lt;=&gt; L-Aspartate 4-semialdehyde[c] + H+[c] + Nicotinamide adenine dinucleotide phosphate - reduced[c]</t>
  </si>
  <si>
    <t>GCODGGCH_00901 or GCODGGCH_01298</t>
  </si>
  <si>
    <t>HTDHL6</t>
  </si>
  <si>
    <t>(3R)-3-Hydroxytetradecanoyl-[acyl-carrier protein][c] =&gt; trans-Tetradec-2-enoyl-[acyl-carrier protein][c] + H2O[c]</t>
  </si>
  <si>
    <t>bigg.reaction/HTDHL6;sbo/SBO:0000375</t>
  </si>
  <si>
    <t>HTDR6</t>
  </si>
  <si>
    <t>3R)-3-Hydroxytetradecanoyl-[acyl-carrier-protein]:NADP+ oxidoreductase</t>
  </si>
  <si>
    <t>3-Oxotetradecanoyl-[acyl-carrier protein][c] + H+[c] + Nicotinamide adenine dinucleotide phosphate - reduced[c] =&gt; (3R)-3-Hydroxytetradecanoyl-[acyl-carrier protein][c] + Nicotinamide adenine dinucleotide phosphate[c]</t>
  </si>
  <si>
    <t>bigg.reaction/HTDR6;sbo/SBO:0000375</t>
  </si>
  <si>
    <t>HXANt2</t>
  </si>
  <si>
    <t>hypoxanthine transport in via proton symport</t>
  </si>
  <si>
    <t>H+[e] + Hypoxanthine[e] =&gt; H+[c] + Hypoxanthine[c]</t>
  </si>
  <si>
    <t>or GCODGGCH_02094 or GCODGGCH_02094</t>
  </si>
  <si>
    <t>HXPRT</t>
  </si>
  <si>
    <t>hypoxanthine phosphoribosyltransferase (Hypoxanthine)</t>
  </si>
  <si>
    <t>2.4.2.8</t>
  </si>
  <si>
    <t>Hypoxanthine[c] + 5-Phospho-alpha-D-ribose 1-diphosphate[c] =&gt; IMP[c] + Diphosphate[c]</t>
  </si>
  <si>
    <t>kegg.reaction/R01132;metanetx.reaction/MNXR100752;biocyc/META:HYPOXANPRIBOSYLTRAN-RXN;rhea/17973;rhea/17974;rhea/17975;rhea/17976;bigg.reaction/HXPRT;sbo/SBO:0000375</t>
  </si>
  <si>
    <t>HYPOE</t>
  </si>
  <si>
    <t>hypothetical enzyme</t>
  </si>
  <si>
    <t>H2O[c] + Pyridoxamine 5'-phosphate[c] =&gt; Phosphate[c] + Pyridoxamine[c]</t>
  </si>
  <si>
    <t>GCODGGCH_00233 or GCODGGCH_00462</t>
  </si>
  <si>
    <t>ICDHy</t>
  </si>
  <si>
    <t>isocitrate dehydrogenase (NADP)</t>
  </si>
  <si>
    <t>1.1.1.42</t>
  </si>
  <si>
    <t>Isocitrate[c] + Nicotinamide adenine dinucleotide phosphate[c] &lt;=&gt; 2-Oxoglutarate[c] + CO2[c] + Nicotinamide adenine dinucleotide phosphate - reduced[c]</t>
  </si>
  <si>
    <t>GCODGGCH_00722</t>
  </si>
  <si>
    <t>ILETRS</t>
  </si>
  <si>
    <t>Isoleucyl-tRNA synthetase</t>
  </si>
  <si>
    <t>6.1.1.5</t>
  </si>
  <si>
    <t>ATP[c] + L-Isoleucine[c] + tRNA(Ile)[c] =&gt; AMP[c] + L-Isoleucyl-tRNA(Ile)[c] + Diphosphate[c]</t>
  </si>
  <si>
    <t>GCODGGCH_00717</t>
  </si>
  <si>
    <t>ILEt2</t>
  </si>
  <si>
    <t>L-isoleucine transport in via proton symport</t>
  </si>
  <si>
    <t>H+[e] + L-Isoleucine[e] =&gt; H+[c] + L-Isoleucine[c]</t>
  </si>
  <si>
    <t>GCODGGCH_00338 or GCODGGCH_00338</t>
  </si>
  <si>
    <t>ILEt6</t>
  </si>
  <si>
    <t>L-isoeucine transport in/out via proton symport</t>
  </si>
  <si>
    <t>H+[e] + L-Isoleucine[e] &lt;=&gt; H+[c] + L-Isoleucine[c]</t>
  </si>
  <si>
    <t>GCODGGCH_00338 or GCODGGCH_00122 or GCODGGCH_00121 or GCODGGCH_00338</t>
  </si>
  <si>
    <t>IMPC</t>
  </si>
  <si>
    <t>IMP cyclohydrolase</t>
  </si>
  <si>
    <t>2.1.2.3; 3.5.4.10</t>
  </si>
  <si>
    <t>H2O[c] + IMP[c] &lt;=&gt; 5-Formamido-1-(5-phospho-D-ribosyl)imidazole-4-carboxamide[c]</t>
  </si>
  <si>
    <t>kegg.reaction/R01127;metanetx.reaction/MNXR100783;biocyc/META:IMPCYCLOHYDROLASE-RXN;rhea/18445;rhea/18446;rhea/18447;rhea/18448;bigg.reaction/IMPC;sbo/SBO:0000375</t>
  </si>
  <si>
    <t>INSt2r</t>
  </si>
  <si>
    <t>inosine transport in via proton symport, reversible</t>
  </si>
  <si>
    <t>H+[e] + Inosine[e] &lt;=&gt; H+[c] + Inosine[c]</t>
  </si>
  <si>
    <t>IPDDI</t>
  </si>
  <si>
    <t>isopentenyl-diphosphate D-isomerase</t>
  </si>
  <si>
    <t>5.3.3.2</t>
  </si>
  <si>
    <t>Isopentenyl diphosphate[c] &lt;=&gt; Dimethylallyl diphosphate[c]</t>
  </si>
  <si>
    <t>GCODGGCH_01386</t>
  </si>
  <si>
    <t>kegg.reaction/R01123;metanetx.reaction/MNXR100796;biocyc/META:IPPISOM-RXN;rhea/23284;rhea/23285;rhea/23286;rhea/23287;bigg.reaction/IPDDI;sbo/SBO:0000375</t>
  </si>
  <si>
    <t>Kabc</t>
  </si>
  <si>
    <t>potassium transport via ABC system</t>
  </si>
  <si>
    <t>ATP[c] + H2O[c] + K+[e] =&gt; ADP[c] + H+[c] + K+[c] + Phosphate[c]</t>
  </si>
  <si>
    <t>GCODGGCH_01256 or GCODGGCH_01255</t>
  </si>
  <si>
    <t>LCTSt6</t>
  </si>
  <si>
    <t>lactose transport in/out via proton symport</t>
  </si>
  <si>
    <t>H+[e] + Lactose[e] &lt;=&gt; H+[c] + Lactose[c]</t>
  </si>
  <si>
    <t>LDH_D</t>
  </si>
  <si>
    <t>D-lactate dehydrogenase</t>
  </si>
  <si>
    <t>1.1.1.28</t>
  </si>
  <si>
    <t>D-Lactate[c] + Nicotinamide adenine dinucleotide[c] &lt;=&gt; H+[c] + Nicotinamide adenine dinucleotide - reduced[c] + Pyruvate[c]</t>
  </si>
  <si>
    <t>GCODGGCH_00766 or GCODGGCH_00766 or GCODGGCH_00035 or GCODGGCH_00035 or GCODGGCH_00951</t>
  </si>
  <si>
    <t>kegg.reaction/R00704;metanetx.reaction/MNXR101037;biocyc/META:DLACTDEHYDROGNAD-RXN;rhea/16369;rhea/16370;rhea/16371;rhea/16372;bigg.reaction/LDH_D;sbo/SBO:0000375</t>
  </si>
  <si>
    <t>LDH_L</t>
  </si>
  <si>
    <t>L-lactate dehydrogenase</t>
  </si>
  <si>
    <t>1.1.1.27</t>
  </si>
  <si>
    <t>L-Lactate[c] + Nicotinamide adenine dinucleotide[c] &lt;=&gt; H+[c] + Nicotinamide adenine dinucleotide - reduced[c] + Pyruvate[c]</t>
  </si>
  <si>
    <t>GCODGGCH_01323 or GCODGGCH_01323 or GCODGGCH_01323 or GCODGGCH_01323 or GCODGGCH_01323 or GCODGGCH_00286 or GCODGGCH_00416 or GCODGGCH_00725 or GCODGGCH_01127 or GCODGGCH_00286 or GCODGGCH_00416 or GCODGGCH_00725 or GCODGGCH_01127 or OLD_iTN656_AC5u0009GL000177 or (GCODGGCH_00800 and GCODGGCH_00801 and GCODGGCH_00802)</t>
  </si>
  <si>
    <t>kegg.reaction/R00703;metanetx.reaction/MNXR101040;biocyc/META:L-LACTATE-DEHYDROGENASE-RXN;rhea/23444;rhea/23445;rhea/23446;rhea/23447;bigg.reaction/LDH_L;sbo/SBO:0000375</t>
  </si>
  <si>
    <t>LEUTRS</t>
  </si>
  <si>
    <t>Leucyl-tRNA synthetase</t>
  </si>
  <si>
    <t>6.1.1.4</t>
  </si>
  <si>
    <t>ATP[c] + L-Leucine[c] + tRNA(Leu)[c] =&gt; AMP[c] + L-Leucyl-tRNA(Leu)[c] + Diphosphate[c]</t>
  </si>
  <si>
    <t>GCODGGCH_01564</t>
  </si>
  <si>
    <t>LEUt2</t>
  </si>
  <si>
    <t>L-leucine transport in via proton symport</t>
  </si>
  <si>
    <t>H+[e] + L-Leucine[e] =&gt; H+[c] + L-Leucine[c]</t>
  </si>
  <si>
    <t>LEUt6</t>
  </si>
  <si>
    <t>L-leucine transport in/out via proton symport</t>
  </si>
  <si>
    <t>H+[e] + L-Leucine[e] &lt;=&gt; H+[c] + L-Leucine[c]</t>
  </si>
  <si>
    <t>LIP_LRE</t>
  </si>
  <si>
    <t>Lipid reaction (Lb. plantarum specific)</t>
  </si>
  <si>
    <t>0.02 Cardiolipin (LRE specific)[c] + 0.23 1-lysyl-phosphatidyl glycerol[c] + 0.75 Phospatidylglycerol (LRE specific)[c] =&gt; Lipids specific for L.reuteri[c]</t>
  </si>
  <si>
    <t>LPGS_LRE</t>
  </si>
  <si>
    <t>lysylphosphatidyl-glycerol synthetase</t>
  </si>
  <si>
    <t>2.3.2.3</t>
  </si>
  <si>
    <t>L-Lysine-tRNA (Lys)[c] + Phospatidylglycerol (LRE specific)[c] =&gt; 1-lysyl-phosphatidyl glycerol[c] + tRNA(Lys)[c]</t>
  </si>
  <si>
    <t>GCODGGCH_01804</t>
  </si>
  <si>
    <t>LTAS_LRE</t>
  </si>
  <si>
    <t>Lipoteichoic acid synthase (LRE specific)</t>
  </si>
  <si>
    <t>Diglucosyl-diacylglycerol[c] + 20 Phospatidylglycerol (LRE specific)[c] =&gt; lipoteichoic acid (n=25, LRE specific)[c] + 20 1,2-Diacylglycerol[c]</t>
  </si>
  <si>
    <t>LYSDC</t>
  </si>
  <si>
    <t>lysine decarboxylase</t>
  </si>
  <si>
    <t>4.1.1.18</t>
  </si>
  <si>
    <t>H+[c] + L-Lysine[c] =&gt; 1,5-Diaminopentane[c] + CO2[c]</t>
  </si>
  <si>
    <t>GCODGGCH_01663</t>
  </si>
  <si>
    <t>kegg.reaction/R00462;metanetx.reaction/MNXR101256;biocyc/META:LYSDECARBOX-RXN;rhea/22352;rhea/22353;rhea/22354;rhea/22355;bigg.reaction/LYSDC;sbo/SBO:0000375</t>
  </si>
  <si>
    <t>LYSTRS</t>
  </si>
  <si>
    <t>Lysyl-tRNA synthetase</t>
  </si>
  <si>
    <t>6.1.1.6</t>
  </si>
  <si>
    <t>ATP[c] + L-Lysine[c] + tRNA(Lys)[c] =&gt; AMP[c] + L-Lysine-tRNA (Lys)[c] + Diphosphate[c]</t>
  </si>
  <si>
    <t>LYSt6</t>
  </si>
  <si>
    <t>L-lysine transport in/out via proton symport</t>
  </si>
  <si>
    <t>H+[e] + L-Lysine[e] &lt;=&gt; H+[c] + L-Lysine[c]</t>
  </si>
  <si>
    <t>GCODGGCH_01296 or GCODGGCH_01781 or GCODGGCH_02145</t>
  </si>
  <si>
    <t>L_LACt2</t>
  </si>
  <si>
    <t>L-lactate reversible transport via proton symport</t>
  </si>
  <si>
    <t>2 H+[e] + L-Lactate[e] &lt;=&gt; 2 H+[c] + L-Lactate[c]</t>
  </si>
  <si>
    <t>M1PD</t>
  </si>
  <si>
    <t>mannitol-1-phosphate 5-dehydrogenase</t>
  </si>
  <si>
    <t>1.1.1.17</t>
  </si>
  <si>
    <t>D-Mannitol 1-phosphate[c] + Nicotinamide adenine dinucleotide[c] &lt;=&gt; D-Fructose 6-phosphate[c] + H+[c] + Nicotinamide adenine dinucleotide - reduced[c]</t>
  </si>
  <si>
    <t>GCODGGCH_01953</t>
  </si>
  <si>
    <t>kegg.reaction/R02703;metanetx.reaction/MNXR101311;biocyc/META:MANNPDEHYDROG-RXN;rhea/19661;rhea/19662;rhea/19663;rhea/19664;bigg.reaction/M1PD;sbo/SBO:0000375</t>
  </si>
  <si>
    <t>MALLAC</t>
  </si>
  <si>
    <t>malolactic enzyme</t>
  </si>
  <si>
    <t>1.1.1.38</t>
  </si>
  <si>
    <t>H+[c] + L-Malate[c] =&gt; CO2[c] + L-Lactate[c]</t>
  </si>
  <si>
    <t>GCODGGCH_01819 or OLD_iTN656_AC5u0009GL001113</t>
  </si>
  <si>
    <t>bigg.reaction/MALLAC;sbo/SBO:0000375</t>
  </si>
  <si>
    <t>MALP</t>
  </si>
  <si>
    <t>maltose phosphorylase</t>
  </si>
  <si>
    <t>2.4.1.8</t>
  </si>
  <si>
    <t>Maltose[c] + Phosphate[c] &lt;=&gt; beta-D-Glucose 1-phosphate[c] + D-Glucose[c]</t>
  </si>
  <si>
    <t>GCODGGCH_00029 or OLD_iTN656_AC5u0009GL001824</t>
  </si>
  <si>
    <t>MALT</t>
  </si>
  <si>
    <t>alpha-glucosidase</t>
  </si>
  <si>
    <t>H2O[c] + Maltose[c] =&gt; 2 D-Glucose[c]</t>
  </si>
  <si>
    <t>MALTt</t>
  </si>
  <si>
    <t>maltose transport in/out via proton symport</t>
  </si>
  <si>
    <t>H+[e] + Maltose[e] &lt;=&gt; H+[c] + Maltose[c]</t>
  </si>
  <si>
    <t>GCODGGCH_00028 or GCODGGCH_00837 or GCODGGCH_00838 or GCODGGCH_00028 or GCODGGCH_00837 or GCODGGCH_00838 or GCODGGCH_00028 or GCODGGCH_00837 or GCODGGCH_00838 or GCODGGCH_00028 or GCODGGCH_00837 or GCODGGCH_00838</t>
  </si>
  <si>
    <t>MALt6</t>
  </si>
  <si>
    <t>malate symporter</t>
  </si>
  <si>
    <t>H+[e] + L-Malate[e] &lt;=&gt; H+[c] + L-Malate[c]</t>
  </si>
  <si>
    <t>MAN6PI</t>
  </si>
  <si>
    <t>mannose-6-phosphate isomerase</t>
  </si>
  <si>
    <t>5.3.1.8</t>
  </si>
  <si>
    <t>D-Mannose 6-phosphate[c] &lt;=&gt; D-Fructose 6-phosphate[c]</t>
  </si>
  <si>
    <t>MCMAT2</t>
  </si>
  <si>
    <t>Butyryl-[acyl-carrier protein]:malonyl-[acyl-carrier-protein]C-acyltransferase (decarboxylating)</t>
  </si>
  <si>
    <t>2.3.1.-; 2.3.1.179; 2.3.1.85; 2.3.1.86;2.3.1.41;2.3.1.86</t>
  </si>
  <si>
    <t>Butyryl-[acyl-carrier protein][c] + H+[c] + Malonyl-[acyl-carrier protein][c] =&gt; 3-Oxohexanoyl-[acyl-carrier protein][c] + acyl carrier protein[c] + CO2[c]</t>
  </si>
  <si>
    <t>bigg.reaction/MCMAT2;sbo/SBO:0000375</t>
  </si>
  <si>
    <t>MCMAT3</t>
  </si>
  <si>
    <t>Hexanoyl-[acyl-carrier protein]:malonyl-[acyl-carrier-protein] C-acyltransferase</t>
  </si>
  <si>
    <t>H+[c] + Hexanoyl-[acyl-carrier protein][c] + Malonyl-[acyl-carrier protein][c] =&gt; 3-Oxooctanoyl-[acyl-carrier protein][c] + acyl carrier protein[c] + CO2[c]</t>
  </si>
  <si>
    <t>bigg.reaction/MCMAT3;sbo/SBO:0000375</t>
  </si>
  <si>
    <t>MCMAT4</t>
  </si>
  <si>
    <t>Octanoyl-[acyl-carrier protein]:malonyl-[acyl-carrier-protein]   C-acyltransferase (decarboxylating)</t>
  </si>
  <si>
    <t>H+[c] + Malonyl-[acyl-carrier protein][c] + Octanoyl-[acyl-carrier protein][c] =&gt; 3-Oxodecanoyl-[acyl-carrier protein][c] + acyl carrier protein[c] + CO2[c]</t>
  </si>
  <si>
    <t>bigg.reaction/MCMAT4;sbo/SBO:0000375</t>
  </si>
  <si>
    <t>MCMAT5</t>
  </si>
  <si>
    <t>Decanoyl-[acyl-carrier protein]:malonyl-[acyl-carrier-protein] C-acyltransferase</t>
  </si>
  <si>
    <t>2.3.1.41; 2.3.1.85; 2.3.1.86; 2.3.1.179; 2.3.1.-</t>
  </si>
  <si>
    <t>Decanoyl-[acyl-carrier protein][c] + H+[c] + Malonyl-[acyl-carrier protein][c] =&gt; 3-Oxododecanoyl-[acyl-carrier protein][c] + acyl carrier protein[c] + CO2[c]</t>
  </si>
  <si>
    <t>bigg.reaction/MCMAT5;sbo/SBO:0000375</t>
  </si>
  <si>
    <t>MCMAT6</t>
  </si>
  <si>
    <t>Dodecanoyl-[acyl-carrier-protein]:malonyl-[acyl-carrier-protein]  C-acyltransferase</t>
  </si>
  <si>
    <t>Dodecanoyl-[acyl-carrier protein][c] + H+[c] + Malonyl-[acyl-carrier protein][c] =&gt; 3-Oxotetradecanoyl-[acyl-carrier protein][c] + acyl carrier protein[c] + CO2[c]</t>
  </si>
  <si>
    <t>bigg.reaction/MCMAT6;sbo/SBO:0000375</t>
  </si>
  <si>
    <t>MCMAT7</t>
  </si>
  <si>
    <t>Tetradecanoyl-[acyl-carrier-protein]:malonyl-[acyl-carrier-protein]  C-acyltransferase</t>
  </si>
  <si>
    <t>H+[c] + Malonyl-[acyl-carrier protein][c] + Tetradecanoyl-[acyl-carrier protein][c] =&gt; 3-Oxohexadecanoyl-[acp][c] + acyl carrier protein[c] + CO2[c]</t>
  </si>
  <si>
    <t>bigg.reaction/MCMAT7;sbo/SBO:0000375</t>
  </si>
  <si>
    <t>MCMAT8</t>
  </si>
  <si>
    <t>Hexadecanoyl-[acyl-carrier-protein]:malonyl-[acyl-carrier-protein]  C-acyltransferase</t>
  </si>
  <si>
    <t>H+[c] + Malonyl-[acyl-carrier protein][c] + Palmitoyl-ACP (n-C16:0ACP)[c] =&gt; 3-Oxooctadecanoyl-[acp][c] + acyl carrier protein[c] + CO2[c]</t>
  </si>
  <si>
    <t>bigg.reaction/MCMAT8;sbo/SBO:0000375</t>
  </si>
  <si>
    <t>MCOATA</t>
  </si>
  <si>
    <t>Malonyl-CoA:[acyl-carrier-protein] S-malonyltransferase</t>
  </si>
  <si>
    <t>2.3.1.-; 2.3.1.0; 2.3.1.39; 2.3.1.85; 2.3.1.86</t>
  </si>
  <si>
    <t>acyl carrier protein[c] + Malonyl-CoA[c] &lt;=&gt; Coenzyme A[c] + Malonyl-[acyl-carrier protein][c]</t>
  </si>
  <si>
    <t>GCODGGCH_00373</t>
  </si>
  <si>
    <t>kegg.reaction/R01626;metanetx.reaction/MNXR101421;biocyc/META:MALONYL-COA-ACP-TRANSACYL-RXN;bigg.reaction/MCOATA;sbo/SBO:0000375</t>
  </si>
  <si>
    <t>MDH</t>
  </si>
  <si>
    <t>malate dehydrogenase</t>
  </si>
  <si>
    <t>1.1.1.299; 1.1.1.37</t>
  </si>
  <si>
    <t>L-Malate[c] + Nicotinamide adenine dinucleotide[c] &lt;=&gt; H+[c] + Nicotinamide adenine dinucleotide - reduced[c] + Oxaloacetate[c]</t>
  </si>
  <si>
    <t>GCODGGCH_01664</t>
  </si>
  <si>
    <t>kegg.reaction/R00342;metanetx.reaction/MNXR101439;biocyc/META:MALATE-DEH-RXN;rhea/21432;rhea/21433;rhea/21434;rhea/21435;bigg.reaction/MDH;sbo/SBO:0000375</t>
  </si>
  <si>
    <t>MELIBt</t>
  </si>
  <si>
    <t>Melibiose transport</t>
  </si>
  <si>
    <t>Melibiose[e] &lt;=&gt; Melibiose[c]</t>
  </si>
  <si>
    <t>METACH</t>
  </si>
  <si>
    <t>O-Acetyl-L-homoserine acetate-lyase (adding methanethiol)</t>
  </si>
  <si>
    <t>2.5.1.49</t>
  </si>
  <si>
    <t>O-Acetyl-L-homoserine[c] + Hydrogen sulfide[c] &lt;=&gt; Acetate[c] + H+[c] + L-Homocysteine[c]</t>
  </si>
  <si>
    <t>METAT</t>
  </si>
  <si>
    <t>methionine adenosyltransferase</t>
  </si>
  <si>
    <t>2.5.1.6</t>
  </si>
  <si>
    <t>ATP[c] + H2O[c] + L-Methionine[c] =&gt; S-Adenosyl-L-methionine[c] + Phosphate[c] + Diphosphate[c]</t>
  </si>
  <si>
    <t>GCODGGCH_01568</t>
  </si>
  <si>
    <t>kegg.reaction/R00177;metanetx.reaction/MNXR101407;biocyc/META:S-ADENMETSYN-RXN;rhea/21080;rhea/21081;rhea/21082;rhea/21083;bigg.reaction/METAT;sbo/SBO:0000375</t>
  </si>
  <si>
    <t>METDabc</t>
  </si>
  <si>
    <t>D-methionine transport via ABC system</t>
  </si>
  <si>
    <t>ATP[c] + H2O[c] + D-Methionine[e] =&gt; ADP[c] + H+[c] + D-Methionine[c] + Phosphate[c]</t>
  </si>
  <si>
    <t>GCODGGCH_00061 or GCODGGCH_01345 or GCODGGCH_00062 or GCODGGCH_00079 or GCODGGCH_00611 or GCODGGCH_00758 or GCODGGCH_00062 or GCODGGCH_00079 or GCODGGCH_00611 or GCODGGCH_00758 or GCODGGCH_01302 or GCODGGCH_01309 or GCODGGCH_01896 or GCODGGCH_02085 or GCODGGCH_00079 or GCODGGCH_00611 or GCODGGCH_00758 or GCODGGCH_01302 or GCODGGCH_01309 or GCODGGCH_01896 or GCODGGCH_02085 or GCODGGCH_00062 or GCODGGCH_00079 or GCODGGCH_00611 or GCODGGCH_00758 or GCODGGCH_01302 or GCODGGCH_01309 or GCODGGCH_01387 or GCODGGCH_02085 or GCODGGCH_00611 or GCODGGCH_01896 or GCODGGCH_00062 or GCODGGCH_00079 or GCODGGCH_00611 or GCODGGCH_00758 or GCODGGCH_01302 or GCODGGCH_01309 or GCODGGCH_01896 or GCODGGCH_02085 or GCODGGCH_00063</t>
  </si>
  <si>
    <t>metanetx.reaction/MNXR101472;biocyc/META:TRANS-RXN0-202;rhea/29767#1;rhea/29768#1;rhea/29769#1;rhea/29770#1;bigg.reaction/METDabc;sbo/SBO:0000375</t>
  </si>
  <si>
    <t>METTRS</t>
  </si>
  <si>
    <t>Methionyl-tRNA synthetase</t>
  </si>
  <si>
    <t>6.1.1.10</t>
  </si>
  <si>
    <t>ATP[c] + L-Methionine[c] + tRNA(Met)[c] =&gt; AMP[c] + L-Methionyl-tRNA (Met)[c] + Diphosphate[c]</t>
  </si>
  <si>
    <t>GCODGGCH_00221</t>
  </si>
  <si>
    <t>kegg.reaction/R03659;metanetx.reaction/MNXR101488;bigg.reaction/METTRS;sbo/SBO:0000375</t>
  </si>
  <si>
    <t>METabc</t>
  </si>
  <si>
    <t>L-methionine transport via ABC system</t>
  </si>
  <si>
    <t>ATP[c] + H2O[c] + L-Methionine[e] =&gt; ADP[c] + H+[c] + L-Methionine[c] + Phosphate[c]</t>
  </si>
  <si>
    <t>metanetx.reaction/MNXR101489;biocyc/META:RXN0-4522;rhea/29779#2;rhea/29780#2;rhea/29781#2;rhea/29782#2;rhea/32827#1;rhea/32828#1;rhea/32829#1;rhea/32830#1;bigg.reaction/METabc;sbo/SBO:0000375</t>
  </si>
  <si>
    <t>METt6</t>
  </si>
  <si>
    <t>L-methionine transport in/out via proton symport</t>
  </si>
  <si>
    <t>H+[e] + L-Methionine[e] &lt;=&gt; H+[c] + L-Methionine[c]</t>
  </si>
  <si>
    <t>MEVK</t>
  </si>
  <si>
    <t>mevalonate kinase</t>
  </si>
  <si>
    <t>2.7.1.36</t>
  </si>
  <si>
    <t>ATP[c] + (R)-Mevalonate[c] =&gt; (R)-5-Phosphomevalonate[c] + ADP[c] + H+[c]</t>
  </si>
  <si>
    <t>GCODGGCH_01383</t>
  </si>
  <si>
    <t>MEVK2</t>
  </si>
  <si>
    <t>mevalonate kinase (ctp)</t>
  </si>
  <si>
    <t>CTP[c] + (R)-Mevalonate[c] =&gt; (R)-5-Phosphomevalonate[c] + CDP[c] + H+[c]</t>
  </si>
  <si>
    <t>MEVK3</t>
  </si>
  <si>
    <t>mevalonate kinase (gtp)</t>
  </si>
  <si>
    <t>GTP[c] + (R)-Mevalonate[c] =&gt; (R)-5-Phosphomevalonate[c] + GDP[c] + H+[c]</t>
  </si>
  <si>
    <t>MEVK4</t>
  </si>
  <si>
    <t>mevalonate kinase (utp)</t>
  </si>
  <si>
    <t>(R)-Mevalonate[c] + UTP[c] =&gt; (R)-5-Phosphomevalonate[c] + H+[c] + UDP[c]</t>
  </si>
  <si>
    <t>MGt5</t>
  </si>
  <si>
    <t>magnesium transport in/out via permease (no H+)</t>
  </si>
  <si>
    <t>Mg[c] &lt;=&gt; Mg[e]</t>
  </si>
  <si>
    <t>metanetx.reaction/MNXR101507;biocyc/META:TRANS-RXN-141;rhea/29827;rhea/29828;rhea/29829;rhea/29830;bigg.reaction/MGt5;sbo/SBO:0000375</t>
  </si>
  <si>
    <t>MI1PP</t>
  </si>
  <si>
    <t>myo-inositol 1-phosphatase</t>
  </si>
  <si>
    <t>3.1.3.25</t>
  </si>
  <si>
    <t>H2O[c] + 1D-myo-Inositol 1-phosphate[c] =&gt; myo-Inositol[c] + Phosphate[c]</t>
  </si>
  <si>
    <t>GCODGGCH_01558 or GCODGGCH_00528 or GCODGGCH_00736</t>
  </si>
  <si>
    <t>kegg.reaction/R01185;metanetx.reaction/MNXR101570;biocyc/META:RXN0-5408;rhea/27670;rhea/27671;rhea/27672;rhea/27673;bigg.reaction/MI1PP;sbo/SBO:0000375</t>
  </si>
  <si>
    <t>MNLabc_e</t>
  </si>
  <si>
    <t>Mannitol uptake via ABC system</t>
  </si>
  <si>
    <t>ATP[c] + H2O[c] + D-Mannitol[e] =&gt; ADP[c] + H+[c] + D-Mannitol[c] + Phosphate[c]</t>
  </si>
  <si>
    <t>GCODGGCH_00611 or GCODGGCH_01896 or GCODGGCH_00062 or GCODGGCH_00079 or GCODGGCH_00611 or GCODGGCH_00758 or GCODGGCH_01302 or GCODGGCH_01309 or GCODGGCH_02085 or GCODGGCH_02113 or GCODGGCH_00062 or GCODGGCH_00079 or GCODGGCH_00611 or GCODGGCH_00758 or GCODGGCH_01302 or GCODGGCH_01309 or GCODGGCH_01896 or GCODGGCH_02085 or GCODGGCH_00611 or GCODGGCH_02113 or GCODGGCH_00062 or GCODGGCH_00079 or GCODGGCH_00611 or GCODGGCH_00758 or GCODGGCH_01302 or GCODGGCH_01309 or GCODGGCH_01896 or GCODGGCH_02085</t>
  </si>
  <si>
    <t>MNTD</t>
  </si>
  <si>
    <t>D-mannitol dehydrogenase</t>
  </si>
  <si>
    <t>1.1.1.67</t>
  </si>
  <si>
    <t>D-Mannitol[c] + Nicotinamide adenine dinucleotide[c] &lt;=&gt; D-Fructose[c] + H+[c] + Nicotinamide adenine dinucleotide - reduced[c]</t>
  </si>
  <si>
    <t>GCODGGCH_01054 or GCODGGCH_01342 or GCODGGCH_02116</t>
  </si>
  <si>
    <t>MNabc</t>
  </si>
  <si>
    <t>manganese transport via ABC system</t>
  </si>
  <si>
    <t>3.6.3.35</t>
  </si>
  <si>
    <t>ATP[c] + H2O[c] + Mn2+[e] =&gt; ADP[c] + H+[c] + Mn2+[c] + Phosphate[c]</t>
  </si>
  <si>
    <t>GCODGGCH_00228 and GCODGGCH_00226 and GCODGGCH_00227</t>
  </si>
  <si>
    <t>metanetx.reaction/MNXR101680;biocyc/META:3.6.3.35-RXN;rhea/17365#1;rhea/17366#1;rhea/17367#1;rhea/17368#1;bigg.reaction/MNabc;sbo/SBO:0000375</t>
  </si>
  <si>
    <t>MNt6</t>
  </si>
  <si>
    <t>manganese transport in/out via proton symport</t>
  </si>
  <si>
    <t>H+[e] + Mn2+[e] &lt;=&gt; H+[c] + Mn2+[c]</t>
  </si>
  <si>
    <t>GCODGGCH_02117 or GCODGGCH_02117</t>
  </si>
  <si>
    <t>MOADCST</t>
  </si>
  <si>
    <t>MoaD:cysteine sulfur transferase</t>
  </si>
  <si>
    <t>2.8.1.7</t>
  </si>
  <si>
    <t>MPT synthase small subunit MoaD[c] + ATP[c] + L-Cysteine[c] + H2O[c] =&gt; MPT synthase sulfurylated small subunit (MoaD-SH)[c] + AMP[c] + Diphosphate[c] + L-Serine[c]</t>
  </si>
  <si>
    <t>GCODGGCH_00594 or GCODGGCH_00889 or GCODGGCH_00959 or GCODGGCH_00595</t>
  </si>
  <si>
    <t>MTAN</t>
  </si>
  <si>
    <t>methylthioadenosine nucleosidase</t>
  </si>
  <si>
    <t>3.2.2.16; 3.2.2.9</t>
  </si>
  <si>
    <t>5-Methylthioadenosine[c] + H2O[c] =&gt; 5-Methylthio-D-ribose[c] + Adenine[c]</t>
  </si>
  <si>
    <t>kegg.reaction/R01401;metanetx.reaction/MNXR101744;biocyc/META:METHYLTHIOADENOSINE-NUCLEOSIDASE-RXN;rhea/13617;rhea/13618;rhea/13619;rhea/13620;bigg.reaction/MTAN;sbo/SBO:0000375</t>
  </si>
  <si>
    <t>MTHFC</t>
  </si>
  <si>
    <t>methenyltetrahydrofolate cyclohydrolase</t>
  </si>
  <si>
    <t>3.5.4.9</t>
  </si>
  <si>
    <t>H2O[c] + 5,10-Methenyltetrahydrofolate[c] &lt;=&gt; 10-Formyltetrahydrofolate[c] + H+[c]</t>
  </si>
  <si>
    <t>GCODGGCH_01469</t>
  </si>
  <si>
    <t>kegg.reaction/R01655;metanetx.reaction/MNXR101748;rhea/23700;rhea/23701;rhea/23702;rhea/23703;bigg.reaction/MTHFC;sbo/SBO:0000375</t>
  </si>
  <si>
    <t>MTHFD</t>
  </si>
  <si>
    <t>methylenetetrahydrofolate dehydrogenase (NADP)</t>
  </si>
  <si>
    <t>1.5.1.5</t>
  </si>
  <si>
    <t>5,10-Methylenetetrahydrofolate[c] + Nicotinamide adenine dinucleotide phosphate[c] &lt;=&gt; 5,10-Methenyltetrahydrofolate[c] + Nicotinamide adenine dinucleotide phosphate - reduced[c]</t>
  </si>
  <si>
    <t>kegg.reaction/R01220;metanetx.reaction/MNXR101749;rhea/22812;rhea/22813;rhea/22814;rhea/22815;bigg.reaction/MTHFD;sbo/SBO:0000375</t>
  </si>
  <si>
    <t>MTHPTGHM</t>
  </si>
  <si>
    <t>5-methyltetrahydropteroyltriglutamate-homocysteine S-methyltransferase</t>
  </si>
  <si>
    <t>2.1.1.14</t>
  </si>
  <si>
    <t>5-Methyltetrahydropteroyltri-L-glutamate[c] + L-Homocysteine[c] =&gt; L-Methionine[c] + Tetrahydropteroyltri-L-glutamate[c]</t>
  </si>
  <si>
    <t>GCODGGCH_00363 or GCODGGCH_01858</t>
  </si>
  <si>
    <t>NACUP</t>
  </si>
  <si>
    <t>Nicotinic acid uptake</t>
  </si>
  <si>
    <t>Nicotinate[e] =&gt; Nicotinate[c]</t>
  </si>
  <si>
    <t>NADH4</t>
  </si>
  <si>
    <t>NADH dehydrogenase (Menaquinone 7 &amp; no proton)</t>
  </si>
  <si>
    <t>H+[c] + Menaquinone 7[c] + Nicotinamide adenine dinucleotide - reduced[c] =&gt; Menaquinol 7[c] + Nicotinamide adenine dinucleotide[c]</t>
  </si>
  <si>
    <t>GCODGGCH_00967</t>
  </si>
  <si>
    <t>metanetx.reaction/MNXR101871;rhea/35559;rhea/35560;rhea/35561;rhea/35562;bigg.reaction/NADH4;sbo/SBO:0000375</t>
  </si>
  <si>
    <t>NADK</t>
  </si>
  <si>
    <t>NAD kinase</t>
  </si>
  <si>
    <t>2.7.1.23</t>
  </si>
  <si>
    <t>ATP[c] + Nicotinamide adenine dinucleotide[c] =&gt; ADP[c] + H+[c] + Nicotinamide adenine dinucleotide phosphate[c]</t>
  </si>
  <si>
    <t>GCODGGCH_00694</t>
  </si>
  <si>
    <t>Nicotinate and nicotinamide metabolism</t>
  </si>
  <si>
    <t>NADN</t>
  </si>
  <si>
    <t>NAD nucleosidase</t>
  </si>
  <si>
    <t>3.2.2.5; 3.2.2.6; 3.5.1.-</t>
  </si>
  <si>
    <t>H2O[c] + Nicotinamide adenine dinucleotide[c] =&gt; ADPribose[c] + H+[c] + Nicotinamide[c]</t>
  </si>
  <si>
    <t>NADPH12</t>
  </si>
  <si>
    <t>Quinone oxidoreductase</t>
  </si>
  <si>
    <t>7.1.1.2</t>
  </si>
  <si>
    <t>H+[c] + Nicotinamide adenine dinucleotide phosphate - reduced[c] + Ubiquinone-8[c] =&gt; Nicotinamide adenine dinucleotide phosphate[c] + Ubiquinol-8[c]</t>
  </si>
  <si>
    <t>NADS1</t>
  </si>
  <si>
    <t>NAD synthase (nh4)</t>
  </si>
  <si>
    <t>6.3.1.5; 6.3.5.1</t>
  </si>
  <si>
    <t>ATP[c] + Deamino-NAD+[c] + Ammonium[c] =&gt; AMP[c] + H+[c] + Nicotinamide adenine dinucleotide[c] + Diphosphate[c]</t>
  </si>
  <si>
    <t>GCODGGCH_00301</t>
  </si>
  <si>
    <t>kegg.reaction/R00189;metanetx.reaction/MNXR101897;biocyc/META:NAD-SYNTH-NH3-RXN;rhea/21188;rhea/21189;rhea/21190;rhea/21191;bigg.reaction/NADS1;sbo/SBO:0000375</t>
  </si>
  <si>
    <t>NAPRT</t>
  </si>
  <si>
    <t>NAPRTase</t>
  </si>
  <si>
    <t>6.3.4.21</t>
  </si>
  <si>
    <t>H+[c] + Nicotinate[c] + 5-Phospho-alpha-D-ribose 1-diphosphate[c] =&gt; Nicotinate D-ribonucleotide[c] + Diphosphate[c]</t>
  </si>
  <si>
    <t>GCODGGCH_00300 or GCODGGCH_01619 or GCODGGCH_00300 or GCODGGCH_01619</t>
  </si>
  <si>
    <t>metanetx.reaction/MNXR101910;rhea/13393;rhea/13394;rhea/13395;rhea/13396;bigg.reaction/NAPRT;sbo/SBO:0000375</t>
  </si>
  <si>
    <t>NAt7</t>
  </si>
  <si>
    <t>sodium transport in/out via proton antiport (one H+)</t>
  </si>
  <si>
    <t>H+[e] + Sodium[c] &lt;=&gt; H+[c] + Sodium[e]</t>
  </si>
  <si>
    <t>GCODGGCH_01987 or GCODGGCH_00213</t>
  </si>
  <si>
    <t>NDPK1</t>
  </si>
  <si>
    <t>nucleoside-diphosphate kinase (ATP:GDP)</t>
  </si>
  <si>
    <t>2.7.4.6</t>
  </si>
  <si>
    <t>ATP[c] + GDP[c] =&gt; ADP[c] + GTP[c]</t>
  </si>
  <si>
    <t>GCODGGCH_01079</t>
  </si>
  <si>
    <t>kegg.reaction/R00330;metanetx.reaction/MNXR96119;biocyc/META:GDPKIN-RXN;rhea/27686;rhea/27687;rhea/27688;rhea/27689;bigg.reaction/NDPK1;sbo/SBO:0000375</t>
  </si>
  <si>
    <t>NDPK2</t>
  </si>
  <si>
    <t>nucleoside-diphosphate kinase (ATP:UDP)</t>
  </si>
  <si>
    <t>ATP[c] + UDP[c] =&gt; ADP[c] + UTP[c]</t>
  </si>
  <si>
    <t>kegg.reaction/R00156;metanetx.reaction/MNXR101935;biocyc/META:UDPKIN-RXN;rhea/25098;rhea/25099;rhea/25100;rhea/25101;bigg.reaction/NDPK2;sbo/SBO:0000375</t>
  </si>
  <si>
    <t>NDPK3</t>
  </si>
  <si>
    <t>nucleoside-diphosphate kinase (ATP:CDP)</t>
  </si>
  <si>
    <t>ATP[c] + CDP[c] =&gt; ADP[c] + CTP[c]</t>
  </si>
  <si>
    <t>kegg.reaction/R00570;metanetx.reaction/MNXR101936;biocyc/META:CDPKIN-RXN;rhea/25237;rhea/25238;rhea/25239;rhea/25240;bigg.reaction/NDPK3;sbo/SBO:0000375</t>
  </si>
  <si>
    <t>NDPK4</t>
  </si>
  <si>
    <t>nucleoside-diphosphate kinase (ATP:dTDP)</t>
  </si>
  <si>
    <t>ATP[c] + dTDP[c] =&gt; ADP[c] + dTTP[c]</t>
  </si>
  <si>
    <t>kegg.reaction/R02093;metanetx.reaction/MNXR101937;biocyc/META:DTDPKIN-RXN;rhea/27682;rhea/27683;rhea/27684;rhea/27685;bigg.reaction/NDPK4;sbo/SBO:0000375</t>
  </si>
  <si>
    <t>NDPK5</t>
  </si>
  <si>
    <t>nucleoside-diphosphate kinase (ATP:dGDP)</t>
  </si>
  <si>
    <t>ATP[c] + dGDP[c] =&gt; ADP[c] + dGTP[c]</t>
  </si>
  <si>
    <t>kegg.reaction/R01857;metanetx.reaction/MNXR96118;biocyc/META:DGDPKIN-RXN;rhea/27690;rhea/27691;rhea/27692;rhea/27693;bigg.reaction/NDPK5;sbo/SBO:0000375</t>
  </si>
  <si>
    <t>NDPK6</t>
  </si>
  <si>
    <t>nucleoside-diphosphate kinase (ATP:dUDP)</t>
  </si>
  <si>
    <t>ATP[c] + dUDP[c] =&gt; ADP[c] + dUTP[c]</t>
  </si>
  <si>
    <t>kegg.reaction/R02331;metanetx.reaction/MNXR101938;biocyc/META:DUDPKIN-RXN;rhea/28582;rhea/28583;rhea/28584;rhea/28585;bigg.reaction/NDPK6;sbo/SBO:0000375</t>
  </si>
  <si>
    <t>NDPK7</t>
  </si>
  <si>
    <t>nucleoside-diphosphate kinase (ATP:dCDP)</t>
  </si>
  <si>
    <t>ATP[c] + dCDP[c] =&gt; ADP[c] + dCTP[c]</t>
  </si>
  <si>
    <t>kegg.reaction/R02326;metanetx.reaction/MNXR101939;biocyc/META:DCDPKIN-RXN;rhea/27678;rhea/27679;rhea/27680;rhea/27681;bigg.reaction/NDPK7;sbo/SBO:0000375</t>
  </si>
  <si>
    <t>NDPK8</t>
  </si>
  <si>
    <t>nucleoside-diphosphate kinase (ATP:dADP)</t>
  </si>
  <si>
    <t>ATP[c] + dADP[c] =&gt; ADP[c] + dATP[c]</t>
  </si>
  <si>
    <t>kegg.reaction/R01137;metanetx.reaction/MNXR101940;biocyc/META:DADPKIN-RXN;rhea/27674;rhea/27675;rhea/27676;rhea/27677;bigg.reaction/NDPK8;sbo/SBO:0000375</t>
  </si>
  <si>
    <t>NDPK9</t>
  </si>
  <si>
    <t>nucleoside-diphophate kinase (ATP:IDP)</t>
  </si>
  <si>
    <t>ATP[c] + IDP[c] =&gt; ADP[c] + ITP[c]</t>
  </si>
  <si>
    <t>kegg.reaction/R00722;metanetx.reaction/MNXR101941;biocyc/META:RXN-14120;rhea/30347;rhea/30348;rhea/30349;rhea/30350;bigg.reaction/NDPK9;sbo/SBO:0000375</t>
  </si>
  <si>
    <t>NH3t</t>
  </si>
  <si>
    <t>ammonia transport via diffusion</t>
  </si>
  <si>
    <t>Ammonia[e] &lt;=&gt; Ammonia[c]</t>
  </si>
  <si>
    <t>NH4DIS</t>
  </si>
  <si>
    <t>nh4 Dissociation</t>
  </si>
  <si>
    <t>Ammonium[c] &lt;=&gt; H+[c] + Ammonia[c]</t>
  </si>
  <si>
    <t>NNAM</t>
  </si>
  <si>
    <t>nicotinamidase, reversible</t>
  </si>
  <si>
    <t>3.5.1.19</t>
  </si>
  <si>
    <t>H2O[c] + Nicotinamide[c] =&gt; Nicotinate[c] + Ammonium[c]</t>
  </si>
  <si>
    <t>GCODGGCH_01618</t>
  </si>
  <si>
    <t>kegg.reaction/R01268;metanetx.reaction/MNXR101977;biocyc/META:NICOTINAMID-RXN;rhea/14545;rhea/14546;rhea/14547;rhea/14548;bigg.reaction/NNAM;sbo/SBO:0000375</t>
  </si>
  <si>
    <t>NNATr</t>
  </si>
  <si>
    <t>nicotinate-nucleotide adenylyltransferase</t>
  </si>
  <si>
    <t>ATP[c] + H+[c] + Nicotinate D-ribonucleotide[c] &lt;=&gt; Deamino-NAD+[c] + Diphosphate[c]</t>
  </si>
  <si>
    <t>GCODGGCH_01512</t>
  </si>
  <si>
    <t>kegg.reaction/R03005;metanetx.reaction/MNXR101978;biocyc/META:NICONUCADENYLYLTRAN-RXN;rhea/22860;rhea/22861;rhea/22862;rhea/22863;bigg.reaction/NNATr;sbo/SBO:0000375</t>
  </si>
  <si>
    <t>NNDMBRT</t>
  </si>
  <si>
    <t>nicotinate-nucleotide-dimethylbenzimidazole phosphoribosyltransferase</t>
  </si>
  <si>
    <t>2.4.2.21</t>
  </si>
  <si>
    <t>Adenine[c] + Nicotinate D-ribonucleotide[c] =&gt; H+[c] + Nicotinate[c] + adenine ribotide phosphate (7-(5-phospho-α-D-ribosyl)adenine)[c]</t>
  </si>
  <si>
    <t>NOX1</t>
  </si>
  <si>
    <t>NADH oxidase (H2O2 forming)</t>
  </si>
  <si>
    <t xml:space="preserve"> 1.6.3.1; 1.6.3.3;1.6.3.1;1.6.3.3</t>
  </si>
  <si>
    <t>H+[c] + Nicotinamide adenine dinucleotide - reduced[c] + O2[c] =&gt; Hydrogen peroxide[c] + Nicotinamide adenine dinucleotide[c]</t>
  </si>
  <si>
    <t>NOX2</t>
  </si>
  <si>
    <t>NADH oxidase (H2O forming)</t>
  </si>
  <si>
    <t>1.6.3.4</t>
  </si>
  <si>
    <t>2 H+[c] + 2 Nicotinamide adenine dinucleotide - reduced[c] + O2[c] =&gt; 2 H2O[c] + 2 Nicotinamide adenine dinucleotide[c]</t>
  </si>
  <si>
    <t>NPHS</t>
  </si>
  <si>
    <t>naphthoate synthase</t>
  </si>
  <si>
    <t>4.1.3.36</t>
  </si>
  <si>
    <t>O-Succinylbenzoyl-CoA[c] =&gt; Coenzyme A[c] + 1,4-Dihydroxy-2-naphthoate[c]</t>
  </si>
  <si>
    <t>GCODGGCH_01121</t>
  </si>
  <si>
    <t>kegg.reaction/R04150;metanetx.reaction/MNXR102012;rhea/15525;rhea/15526;rhea/15527;rhea/15528;bigg.reaction/NPHS;sbo/SBO:0000375</t>
  </si>
  <si>
    <t>NPHS2</t>
  </si>
  <si>
    <t>O-Succinylbenzoyl-CoA[c] =&gt; 1,4-Dihydroxy-2-naphthoyl-CoA[c] + H2O[c]</t>
  </si>
  <si>
    <t>NTD1</t>
  </si>
  <si>
    <t>5'-nucleotidase (dUMP)</t>
  </si>
  <si>
    <t>3.1.3.5; 3.1.3.89</t>
  </si>
  <si>
    <t>dUMP[c] + H2O[c] =&gt; Deoxyuridine[c] + Phosphate[c]</t>
  </si>
  <si>
    <t>NTD10</t>
  </si>
  <si>
    <t>5'-nucleotidase (XMP)</t>
  </si>
  <si>
    <t>3.1.3.5</t>
  </si>
  <si>
    <t>H2O[c] + Xanthosine 5'-phosphate[c] =&gt; Phosphate[c] + Xanthosine[c]</t>
  </si>
  <si>
    <t>NTD11</t>
  </si>
  <si>
    <t>5'-nucleotidase (IMP)</t>
  </si>
  <si>
    <t>3.1.3.5; 3.1.3.99</t>
  </si>
  <si>
    <t>H2O[c] + IMP[c] =&gt; Inosine[c] + Phosphate[c]</t>
  </si>
  <si>
    <t>NTD2</t>
  </si>
  <si>
    <t>5'-nucleotidase (UMP)</t>
  </si>
  <si>
    <t>H2O[c] + UMP[c] =&gt; Phosphate[c] + Uridine[c]</t>
  </si>
  <si>
    <t>NTD3</t>
  </si>
  <si>
    <t>5'-nucleotidase (dCMP)</t>
  </si>
  <si>
    <t>dCMP[c] + H2O[c] =&gt; Deoxycytidine[c] + Phosphate[c]</t>
  </si>
  <si>
    <t>NTD4</t>
  </si>
  <si>
    <t>5'-nucleotidase (CMP)</t>
  </si>
  <si>
    <t>3.1.3.5; 3.1.3.91</t>
  </si>
  <si>
    <t>CMP[c] + H2O[c] =&gt; Cytidine[c] + Phosphate[c]</t>
  </si>
  <si>
    <t>NTD5</t>
  </si>
  <si>
    <t>5'-nucleotidase (dTMP)</t>
  </si>
  <si>
    <t>3.1.3.35; 3.1.3.5; 3.1.3.89</t>
  </si>
  <si>
    <t>dTMP[c] + H2O[c] =&gt; Phosphate[c] + Thymidine[c]</t>
  </si>
  <si>
    <t>NTD6</t>
  </si>
  <si>
    <t>5'-nucleotidase (dAMP)</t>
  </si>
  <si>
    <t>dAMP[c] + H2O[c] =&gt; Deoxyadenosine[c] + Phosphate[c]</t>
  </si>
  <si>
    <t>NTD7</t>
  </si>
  <si>
    <t>5'-nucleotidase (AMP)</t>
  </si>
  <si>
    <t>AMP[c] + H2O[c] =&gt; Adenosine[c] + Phosphate[c]</t>
  </si>
  <si>
    <t>NTD8</t>
  </si>
  <si>
    <t>5'-nucleotidase (dGMP)</t>
  </si>
  <si>
    <t>dGMP[c] + H2O[c] =&gt; Deoxyguanosine[c] + Phosphate[c]</t>
  </si>
  <si>
    <t>NTD9</t>
  </si>
  <si>
    <t>5'-nucleotidase (GMP)</t>
  </si>
  <si>
    <t>GMP[c] + H2O[c] =&gt; Guanosine[c] + Phosphate[c]</t>
  </si>
  <si>
    <t>NTR3B</t>
  </si>
  <si>
    <t>nitrate reductase</t>
  </si>
  <si>
    <t>1.7.5.1</t>
  </si>
  <si>
    <t>2 H+[c] + Menaquinol 7[c] + Nitrate[c] =&gt; H2O[c] + 2 H+[e] + Menaquinone 7[c] + Nitrite[c]</t>
  </si>
  <si>
    <t>OCBT</t>
  </si>
  <si>
    <t>ornithine carbamoyltransferase</t>
  </si>
  <si>
    <t>2.1.3.3</t>
  </si>
  <si>
    <t>Carbamoyl phosphate[c] + L-Ornithine[c] &lt;=&gt; L-Citrulline[c] + H+[c] + Phosphate[c]</t>
  </si>
  <si>
    <t>GCODGGCH_00359</t>
  </si>
  <si>
    <t>kegg.reaction/R01398;metanetx.reaction/MNXR102137;biocyc/META:ORNCARBAMTRANSFER-RXN;biocyc/META:RXN-13482;rhea/19513;rhea/19514;rhea/19515;rhea/19516;bigg.reaction/OCBT;sbo/SBO:0000375</t>
  </si>
  <si>
    <t>OCDMAT8</t>
  </si>
  <si>
    <t>Octadecanoyl-[acyl-carrier protein]:malonyl-CoA  C-acyltransferase</t>
  </si>
  <si>
    <t>trans-Octadec-2-enoyl-[acyl-carrier-protein][c] + H+[c] + Nicotinamide adenine dinucleotide - reduced[c] =&gt; Nicotinamide adenine dinucleotide[c] + Octadecanoyl-[acyl-carrier protein][c]</t>
  </si>
  <si>
    <t>bigg.reaction/OCDMAT8;sbo/SBO:0000375</t>
  </si>
  <si>
    <t>OCMAT3</t>
  </si>
  <si>
    <t>Octanoyl-[acyl-carrier protein]:malonyl-CoA C-acyltransferase</t>
  </si>
  <si>
    <t>trans-Oct-2-enoyl-[acp][c] + H+[c] + Nicotinamide adenine dinucleotide - reduced[c] =&gt; Nicotinamide adenine dinucleotide[c] + Octanoyl-[acyl-carrier protein][c]</t>
  </si>
  <si>
    <t>bigg.reaction/OCMAT3;sbo/SBO:0000375</t>
  </si>
  <si>
    <t>OMPDC</t>
  </si>
  <si>
    <t>orotidine-5'-phosphate decarboxylase</t>
  </si>
  <si>
    <t>4.1.1.23</t>
  </si>
  <si>
    <t>H+[c] + Orotidine 5'-phosphate[c] =&gt; CO2[c] + UMP[c]</t>
  </si>
  <si>
    <t>GCODGGCH_00053</t>
  </si>
  <si>
    <t>kegg.reaction/R00965;metanetx.reaction/MNXR102190;biocyc/META:OROTPDECARB-RXN;rhea/11596;rhea/11597;rhea/11598;rhea/11599;bigg.reaction/OMPDC;sbo/SBO:0000375</t>
  </si>
  <si>
    <t>ORNTA</t>
  </si>
  <si>
    <t>Ornithine transaminase</t>
  </si>
  <si>
    <t>2.6.1.13</t>
  </si>
  <si>
    <t>2-Oxoglutarate[c] + L-Ornithine[c] &lt;=&gt; L-Glutamate 5-semialdehyde[c] + L-Glutamate[c]</t>
  </si>
  <si>
    <t>ORNTAC</t>
  </si>
  <si>
    <t>ornithine transacetylase</t>
  </si>
  <si>
    <t>2.3.1.35</t>
  </si>
  <si>
    <t>N2-Acetyl-L-ornithine[c] + L-Glutamate[c] &lt;=&gt; N-Acetyl-L-glutamate[c] + L-Ornithine[c]</t>
  </si>
  <si>
    <t>GCODGGCH_01879 or OLD_iTN656_AC5u0009GL001879</t>
  </si>
  <si>
    <t>ORNt2</t>
  </si>
  <si>
    <t>ornithine transport in via proton symport</t>
  </si>
  <si>
    <t>H+[e] + L-Ornithine[e] =&gt; H+[c] + L-Ornithine[c]</t>
  </si>
  <si>
    <t>OROt6</t>
  </si>
  <si>
    <t>Orotic acid transport in/out via proton symporter</t>
  </si>
  <si>
    <t>H+[e] + Orotate[e] &lt;=&gt; H+[c] + Orotate[c]</t>
  </si>
  <si>
    <t>ORPT</t>
  </si>
  <si>
    <t>orotate phosphoribosyltransferase</t>
  </si>
  <si>
    <t>2.4.2.10</t>
  </si>
  <si>
    <t>Orotidine 5'-phosphate[c] + Diphosphate[c] &lt;=&gt; Orotate[c] + 5-Phospho-alpha-D-ribose 1-diphosphate[c]</t>
  </si>
  <si>
    <t>GCODGGCH_00054</t>
  </si>
  <si>
    <t>kegg.reaction/R01870;metanetx.reaction/MNXR102231;biocyc/META:OROPRIBTRANS-RXN;rhea/10380;rhea/10381;rhea/10382;rhea/10383;bigg.reaction/ORPT;sbo/SBO:0000375</t>
  </si>
  <si>
    <t>P5CRr</t>
  </si>
  <si>
    <t>pyrroline-5-carboxylate reductase</t>
  </si>
  <si>
    <t>1-Pyrroline-5-carboxylate[c] + 2 H+[c] + Nicotinamide adenine dinucleotide phosphate - reduced[c] &lt;=&gt; Nicotinamide adenine dinucleotide phosphate[c] + L-Proline[c]</t>
  </si>
  <si>
    <t>GCODGGCH_01622 or OLD_iTN656_AC5u0009GL001520</t>
  </si>
  <si>
    <t>PABAt</t>
  </si>
  <si>
    <t>para aminobenzoic acid transport</t>
  </si>
  <si>
    <t>4-Aminobenzoate[e] &lt;=&gt; 4-Aminobenzoate[c]</t>
  </si>
  <si>
    <t>PAPPT5</t>
  </si>
  <si>
    <t>phospho-N-acetylmuramoyl-pentapeptide-transferase (meso-2,6-diaminopimelate)</t>
  </si>
  <si>
    <t>Undecaprenyl phosphate[c] + UDP-N-acetylmuramoyl-L-alanyl-D-glutamyl-meso-2,6-diaminopimeloyl-D-alanyl-D-lactate[c] =&gt; Undecaprenyl-diphospho-N-acetylmuramoyl-L-alanyl-D-glutamyl-meso-2,6-diaminopimeloyl-D-alanyl-D-lactate[c] + UMP[c]</t>
  </si>
  <si>
    <t>PAP_LRE</t>
  </si>
  <si>
    <t>phosphatidic acid phosphatase</t>
  </si>
  <si>
    <t>H2O[c] + phosphatidic acid (Lb reuteri specific)[c] =&gt; 1,2-Diacylglycerol, LRE specific[c] + Phosphate[c]</t>
  </si>
  <si>
    <t>3.1.3.4; 3.1.3.81</t>
  </si>
  <si>
    <t>H2O[c] + phosphatidic acid (Lb reuteri specific)[c] =&gt; 1,2-Diacylglycerol[c] + Phosphate[c]</t>
  </si>
  <si>
    <t>GCODGGCH_01784 or OLD_iTN656_AC5u0009GL000931</t>
  </si>
  <si>
    <t>PDH</t>
  </si>
  <si>
    <t>pyruvate dehydrogenase</t>
  </si>
  <si>
    <t>1.2.1.-; 1.2.1.51; 1.2.4.1; 1.8.1.4; 2.3.1.12</t>
  </si>
  <si>
    <t>Coenzyme A[c] + Nicotinamide adenine dinucleotide[c] + Pyruvate[c] =&gt; Acetyl-CoA[c] + CO2[c] + Nicotinamide adenine dinucleotide - reduced[c]</t>
  </si>
  <si>
    <t>GCODGGCH_00910 and GCODGGCH_00907 and GCODGGCH_00908 and GCODGGCH_00909</t>
  </si>
  <si>
    <t>kegg.reaction/R00209;metanetx.reaction/MNXR102425;biocyc/META:PYRUVDEH-RXN;rhea/28042;rhea/28043;rhea/28044;rhea/28045;bigg.reaction/PDH;sbo/SBO:0000375</t>
  </si>
  <si>
    <t>PDUL</t>
  </si>
  <si>
    <t>phosphate propanoyltransferase</t>
  </si>
  <si>
    <t>2.3.1.8</t>
  </si>
  <si>
    <t>Phosphate[c] + Propanoyl-CoA[c] &lt;=&gt; Coenzyme A[c] + Propanoyl phosphate[c]</t>
  </si>
  <si>
    <t>PDUL2</t>
  </si>
  <si>
    <t>Phosphate propanoyltransferase</t>
  </si>
  <si>
    <t>noec</t>
  </si>
  <si>
    <t>3-Hydroxypropionyl-CoA[c] + Phosphate[c] =&gt; 3-Hydroxypropionyl phosphate[c] + Coenzyme A[c]</t>
  </si>
  <si>
    <t>propanoate metabolism</t>
  </si>
  <si>
    <t>PDUP</t>
  </si>
  <si>
    <t>propanal dehydrogenase (CoA-propanoylating)</t>
  </si>
  <si>
    <t>1.2.1.87</t>
  </si>
  <si>
    <t>Coenzyme A[c] + Nicotinamide adenine dinucleotide[c] + Propanal[c] &lt;=&gt; H+[c] + Nicotinamide adenine dinucleotide - reduced[c] + Propanoyl-CoA[c]</t>
  </si>
  <si>
    <t>PDUP2</t>
  </si>
  <si>
    <t>aldehyde dehydrogenase</t>
  </si>
  <si>
    <t>3-Hydroxypropanal[c] + Coenzyme A[c] + Nicotinamide adenine dinucleotide[c] =&gt; 3-Hydroxypropionyl-CoA[c] + H+[c] + Nicotinamide adenine dinucleotide - reduced[c]</t>
  </si>
  <si>
    <t>GCODGGCH_00336 or OLD_iTN656_AC5u0009GL001913</t>
  </si>
  <si>
    <t>PDUW</t>
  </si>
  <si>
    <t>propionate kinase</t>
  </si>
  <si>
    <t>2.7.2.15</t>
  </si>
  <si>
    <t>ADP[c] + Propanoyl phosphate[c] &lt;=&gt; ATP[c] + Propionate (n-C3:0)[c]</t>
  </si>
  <si>
    <t>PDUW2</t>
  </si>
  <si>
    <t>Propionate kinase</t>
  </si>
  <si>
    <t>3-Hydroxypropionyl phosphate[c] + ADP[c] =&gt; 3-Hydroxypropanoate[c] + ATP[c]</t>
  </si>
  <si>
    <t>PFK</t>
  </si>
  <si>
    <t>Phosphofructokinase, PfkB</t>
  </si>
  <si>
    <t>2.7.1.11</t>
  </si>
  <si>
    <t>ATP[c] + D-Fructose 6-phosphate[c] =&gt; ADP[c] + D-Fructose 1,6-bisphosphate[c] + H+[c]</t>
  </si>
  <si>
    <t>metanetx.reaction/MNXR102507;rhea/16109;rhea/16110;rhea/16111;rhea/16112;bigg.reaction/PFK;sbo/SBO:0000375</t>
  </si>
  <si>
    <t>PGAMT</t>
  </si>
  <si>
    <t>phosphoglucosamine mutase</t>
  </si>
  <si>
    <t>5.4.2.10</t>
  </si>
  <si>
    <t>D-Glucosamine 1-phosphate[c] &lt;=&gt; D-Glucosamine 6-phosphate[c]</t>
  </si>
  <si>
    <t>GCODGGCH_00458</t>
  </si>
  <si>
    <t>kegg.reaction/R02060;metanetx.reaction/MNXR102526;biocyc/META:5.4.2.10-RXN;rhea/23424;rhea/23425;rhea/23426;rhea/23427;bigg.reaction/PGAMT;sbo/SBO:0000375</t>
  </si>
  <si>
    <t>PGGH</t>
  </si>
  <si>
    <t>6-phospho-beta-glucosidase</t>
  </si>
  <si>
    <t>3.2.1.86</t>
  </si>
  <si>
    <t>6-Phospho-beta-D-glucosyl-(1,4)-D-glucose[c] + H2O[c] =&gt; D-Glucose 6-phosphate[c] + D-Glucose[c]</t>
  </si>
  <si>
    <t>PGGT4</t>
  </si>
  <si>
    <t>peptidoglycan glycosyltransferase</t>
  </si>
  <si>
    <t>2.4.1.129</t>
  </si>
  <si>
    <t>Undecaprenyl-diphospho-N-acetylmuramoyl-(N-acetylglucosamine)-L-alanyl-D-glutamyl-meso-2,6-diaminopimeloyl-D-alanyl-D-lactate[c] =&gt; peptidoglycan with D-lac as C-terminal residue to form pentadepsipeptide[c] + Undecaprenyl diphosphate[c]</t>
  </si>
  <si>
    <t>GCODGGCH_01541 or GCODGGCH_01541 or GCODGGCH_01375 or GCODGGCH_00705</t>
  </si>
  <si>
    <t>PGI</t>
  </si>
  <si>
    <t>glucose-6-phosphate isomerase</t>
  </si>
  <si>
    <t>5.3.1.9</t>
  </si>
  <si>
    <t>D-Glucose 6-phosphate[c] &lt;=&gt; D-Fructose 6-phosphate[c]</t>
  </si>
  <si>
    <t>metanetx.reaction/MNXR102535;biocyc/META:PGLUCISOM-RXN;bigg.reaction/PGI;sbo/SBO:0000375</t>
  </si>
  <si>
    <t>PGK</t>
  </si>
  <si>
    <t>phosphoglycerate kinase</t>
  </si>
  <si>
    <t>2.7.2.3</t>
  </si>
  <si>
    <t>3-Phospho-D-glyceroyl phosphate[c] + ADP[c] &lt;=&gt; 3-Phospho-D-glycerate[c] + ATP[c]</t>
  </si>
  <si>
    <t>GCODGGCH_00441</t>
  </si>
  <si>
    <t>kegg.reaction/R01512;metanetx.reaction/MNXR102538;biocyc/META:PHOSGLYPHOS-RXN;rhea/14801;rhea/14802;rhea/14803;rhea/14804;bigg.reaction/PGK;sbo/SBO:0000375</t>
  </si>
  <si>
    <t>PGL</t>
  </si>
  <si>
    <t>6-phosphogluconolactonase</t>
  </si>
  <si>
    <t>3.1.1.31</t>
  </si>
  <si>
    <t>6-phospho-D-glucono-1,5-lactone[c] + H2O[c] =&gt; 6-Phospho-D-gluconate[c] + H+[c]</t>
  </si>
  <si>
    <t>GCODGGCH_00696 or GCODGGCH_01844</t>
  </si>
  <si>
    <t>kegg.reaction/R02035;metanetx.reaction/MNXR102539;biocyc/META:6PGLUCONOLACT-RXN;rhea/12556;rhea/12557;rhea/12558;rhea/12559;bigg.reaction/PGL;sbo/SBO:0000375</t>
  </si>
  <si>
    <t>PGLYCP</t>
  </si>
  <si>
    <t>phosphoglycolate phosphatase</t>
  </si>
  <si>
    <t>3.1.3.18</t>
  </si>
  <si>
    <t>2-Phosphoglycolate[c] + H2O[c] =&gt; Glycolate[c] + Phosphate[c]</t>
  </si>
  <si>
    <t>GCODGGCH_01946</t>
  </si>
  <si>
    <t>kegg.reaction/R01334;metanetx.reaction/MNXR102543;biocyc/META:GPH-RXN;rhea/14369;rhea/14370;rhea/14371;rhea/14372;bigg.reaction/PGLYCP;sbo/SBO:0000375</t>
  </si>
  <si>
    <t>Glyoxylate and dicarboxylate metabolism</t>
  </si>
  <si>
    <t>PGM</t>
  </si>
  <si>
    <t>phosphoglycerate mutase</t>
  </si>
  <si>
    <t>5.4.2.1; 5.4.2.11; 5.4.2.12</t>
  </si>
  <si>
    <t>3-Phospho-D-glycerate[c] &lt;=&gt; D-Glycerate 2-phosphate[c]</t>
  </si>
  <si>
    <t>GCODGGCH_01927 or GCODGGCH_01927 or GCODGGCH_01974 or GCODGGCH_01927 or GCODGGCH_01974 or GCODGGCH_00726 or GCODGGCH_00145 or GCODGGCH_00308 or GCODGGCH_00145 or GCODGGCH_00308 or OLD_iTN656_AC5u0009GL001908</t>
  </si>
  <si>
    <t>kegg.reaction/R01518;metanetx.reaction/MNXR102547;biocyc/META:3PGAREARR-RXN;biocyc/META:RXN-15513;rhea/15901;rhea/15902;rhea/15903;rhea/15904;bigg.reaction/PGM;sbo/SBO:0000375</t>
  </si>
  <si>
    <t>PGMT</t>
  </si>
  <si>
    <t>phosphoglucomutase</t>
  </si>
  <si>
    <t>5.4.2.2; 5.4.2.5; 5.4.2.8</t>
  </si>
  <si>
    <t>D-Glucose 1-phosphate[c] &lt;=&gt; D-Glucose 6-phosphate[c]</t>
  </si>
  <si>
    <t>GCODGGCH_00418</t>
  </si>
  <si>
    <t>kegg.reaction/R08639;metanetx.reaction/MNXR102548;biocyc/META:PHOSPHOGLUCMUT-RXN;biocyc/META:RXN-16999;bigg.reaction/PGMT;sbo/SBO:0000375</t>
  </si>
  <si>
    <t>PGMT_B</t>
  </si>
  <si>
    <t>b-phosphoglucomutase</t>
  </si>
  <si>
    <t>5.4.2.6</t>
  </si>
  <si>
    <t>beta-D-glucose 6-phosphate[c] &lt;=&gt; beta-D-Glucose 1-phosphate[c]</t>
  </si>
  <si>
    <t>kegg.reaction/R02728;metanetx.reaction/MNXR102549;biocyc/META:BETA-PHOSPHOGLUCOMUTASE-RXN;rhea/20113;rhea/20114;rhea/20115;rhea/20116;bigg.reaction/PGMT_B;sbo/SBO:0000375</t>
  </si>
  <si>
    <t>PGPP_LRE</t>
  </si>
  <si>
    <t>Phosphatidylglycerol phosphate phosphatase (LRE specific)</t>
  </si>
  <si>
    <t>3.1.3.27</t>
  </si>
  <si>
    <t>H2O[c] + Phosphatidylglycerophosphate (LRE specific)[c] =&gt; Phospatidylglycerol (LRE specific)[c] + Phosphate[c]</t>
  </si>
  <si>
    <t>PGSA_LRE</t>
  </si>
  <si>
    <t>Phosphatidylglycerol synthase (LRE specific)</t>
  </si>
  <si>
    <t>2.7.8.5</t>
  </si>
  <si>
    <t>CDPdiacylglycerol (LRE specific)[c] + sn-Glycerol 3-phosphate[c] &lt;=&gt; CMP[c] + H+[c] + Phosphatidylglycerophosphate (LRE specific)[c]</t>
  </si>
  <si>
    <t>GCODGGCH_00616 or GCODGGCH_00616</t>
  </si>
  <si>
    <t>PHETRS</t>
  </si>
  <si>
    <t>Phenylalanyl-tRNA synthetase</t>
  </si>
  <si>
    <t>6.1.1.20</t>
  </si>
  <si>
    <t>ATP[c] + L-Phenylalanine[c] + tRNA(Phe)[c] =&gt; AMP[c] + L-Phenylalanyl-tRNA(Phe)[c] + Diphosphate[c]</t>
  </si>
  <si>
    <t>GCODGGCH_01495 or GCODGGCH_01530 or GCODGGCH_01495 or GCODGGCH_01530 or GCODGGCH_01495 or GCODGGCH_01530 or GCODGGCH_01496</t>
  </si>
  <si>
    <t>PHEt6</t>
  </si>
  <si>
    <t>L-phenylalanine transport in/out via proton symport</t>
  </si>
  <si>
    <t>H+[e] + L-Phenylalanine[e] &lt;=&gt; H+[c] + L-Phenylalanine[c]</t>
  </si>
  <si>
    <t>PIabc</t>
  </si>
  <si>
    <t>phosphate transport via ABC system</t>
  </si>
  <si>
    <t>3.6.3.27; 7.3.2.1</t>
  </si>
  <si>
    <t>ATP[c] + H2O[c] + Phosphate[e] =&gt; ADP[c] + H+[c] + 2 Phosphate[c]</t>
  </si>
  <si>
    <t>GCODGGCH_01435 or GCODGGCH_01387 or GCODGGCH_01432 or GCODGGCH_01431 or GCODGGCH_01433 or GCODGGCH_01434</t>
  </si>
  <si>
    <t>metanetx.reaction/MNXR102870;biocyc/META:ABC-27-RXN;rhea/24440#1;rhea/24441#1;rhea/24442#1;rhea/24443#1;bigg.reaction/PIabc;sbo/SBO:0000375</t>
  </si>
  <si>
    <t>PIt6</t>
  </si>
  <si>
    <t>phosphate transport in/out via proton symporter</t>
  </si>
  <si>
    <t>H+[e] + Phosphate[e] &lt;=&gt; H+[c] + Phosphate[c]</t>
  </si>
  <si>
    <t>PKL</t>
  </si>
  <si>
    <t>phosphoketolase</t>
  </si>
  <si>
    <t>4.1.2.9</t>
  </si>
  <si>
    <t>Phosphate[c] + D-Xylulose 5-phosphate[c] &lt;=&gt; Acetyl phosphate[c] + Glyceraldehyde 3-phosphate[c] + H2O[c]</t>
  </si>
  <si>
    <t>GCODGGCH_02037</t>
  </si>
  <si>
    <t>PMANM</t>
  </si>
  <si>
    <t>phosphomannomutase</t>
  </si>
  <si>
    <t>5.4.2.8</t>
  </si>
  <si>
    <t>D-Mannose 1-phosphate[c] &lt;=&gt; D-Mannose 6-phosphate[c]</t>
  </si>
  <si>
    <t>kegg.reaction/R01818;metanetx.reaction/MNXR101729;biocyc/META:PHOSMANMUT-RXN;rhea/11140;rhea/11141;rhea/11142;rhea/11143;bigg.reaction/PMANM;sbo/SBO:0000375</t>
  </si>
  <si>
    <t>PMEVK</t>
  </si>
  <si>
    <t>phosphomevalonate kinase</t>
  </si>
  <si>
    <t>2.7.4.2</t>
  </si>
  <si>
    <t>(R)-5-Phosphomevalonate[c] + ATP[c] =&gt; (R)-5-Diphosphomevalonate[c] + ADP[c]</t>
  </si>
  <si>
    <t>GCODGGCH_01385</t>
  </si>
  <si>
    <t>kegg.reaction/R03245;metanetx.reaction/MNXR103043;biocyc/META:PHOSPHOMEVALONATE-KINASE-RXN;rhea/16341;rhea/16342;rhea/16343;rhea/16344;bigg.reaction/PMEVK;sbo/SBO:0000375</t>
  </si>
  <si>
    <t>PMPK</t>
  </si>
  <si>
    <t>phosphomethylpyrimidine kinase</t>
  </si>
  <si>
    <t>2.7.4.7</t>
  </si>
  <si>
    <t>4-Amino-2-methyl-5-phosphomethylpyrimidine[c] + ATP[c] =&gt; 2-Methyl-4-amino-5-hydroxymethylpyrimidine diphosphate[c] + ADP[c]</t>
  </si>
  <si>
    <t>kegg.reaction/R04509;metanetx.reaction/MNXR103045;biocyc/META:PYRIMSYN3-RXN;rhea/19893;rhea/19894;rhea/19895;rhea/19896;bigg.reaction/PMPK;sbo/SBO:0000375</t>
  </si>
  <si>
    <t>PNS1</t>
  </si>
  <si>
    <t>purine nucleosidase (adenosine)</t>
  </si>
  <si>
    <t>3.2.2.7; 3.2.2.8;3.2.2.1</t>
  </si>
  <si>
    <t>Adenosine[c] + H2O[c] =&gt; Adenine[c] + D-Ribose[c]</t>
  </si>
  <si>
    <t>GCODGGCH_00086 or GCODGGCH_00200 or GCODGGCH_00086 or GCODGGCH_00200 or GCODGGCH_01982</t>
  </si>
  <si>
    <t>PNS2</t>
  </si>
  <si>
    <t>purine nucleosidase (guanosine)</t>
  </si>
  <si>
    <t>3.2.2.8;3.2.2.1</t>
  </si>
  <si>
    <t>Guanosine[c] + H2O[c] =&gt; Guanine[c] + D-Ribose[c]</t>
  </si>
  <si>
    <t>PNS3</t>
  </si>
  <si>
    <t>purine nucleosidase (inosine)</t>
  </si>
  <si>
    <t>3.2.2.2; 3.2.2.8;3.2.2.1</t>
  </si>
  <si>
    <t>H2O[c] + Inosine[c] =&gt; Hypoxanthine[c] + D-Ribose[c]</t>
  </si>
  <si>
    <t>PNS4</t>
  </si>
  <si>
    <t>purine nucleosidase (xanthosine)</t>
  </si>
  <si>
    <t>3.2.2.1</t>
  </si>
  <si>
    <t>H2O[c] + Xanthosine[c] =&gt; D-Ribose[c] + Xanthine[c]</t>
  </si>
  <si>
    <t>PNTK</t>
  </si>
  <si>
    <t>pantothenate kinase</t>
  </si>
  <si>
    <t>2.7.1.33</t>
  </si>
  <si>
    <t>ATP[c] + (R)-Pantothenate[c] =&gt; D-4'-Phosphopantothenate[c] + ADP[c] + H+[c]</t>
  </si>
  <si>
    <t>GCODGGCH_01920</t>
  </si>
  <si>
    <t>kegg.reaction/R03018;metanetx.reaction/MNXR103050;biocyc/META:PANTOTHENATE-KIN-RXN;rhea/16373;rhea/16374;rhea/16375;rhea/16376;bigg.reaction/PNTK;sbo/SBO:0000375</t>
  </si>
  <si>
    <t>PNTOt2</t>
  </si>
  <si>
    <t>Pantothenate reversible transport via proton symport</t>
  </si>
  <si>
    <t>H+[e] + (R)-Pantothenate[e] &lt;=&gt; H+[c] + (R)-Pantothenate[c]</t>
  </si>
  <si>
    <t>PPA</t>
  </si>
  <si>
    <t>inorganic diphosphatase</t>
  </si>
  <si>
    <t>3.6.1.1</t>
  </si>
  <si>
    <t>H2O[c] + Diphosphate[c] =&gt; H+[c] + 2 Phosphate[c]</t>
  </si>
  <si>
    <t>GCODGGCH_01192</t>
  </si>
  <si>
    <t>kegg.reaction/R00004;metanetx.reaction/MNXR100808;biocyc/META:INORGPYROPHOSPHAT-RXN;rhea/24576;rhea/24577;rhea/24578;rhea/24579;bigg.reaction/PPA;sbo/SBO:0000375</t>
  </si>
  <si>
    <t>PPBNGS</t>
  </si>
  <si>
    <t>porphobilinogen synthase</t>
  </si>
  <si>
    <t>4.2.1.24</t>
  </si>
  <si>
    <t>2 5-Amino-4-oxopentanoate[c] =&gt; 2 H2O[c] + H+[c] + Porphobilinogen[c]</t>
  </si>
  <si>
    <t>PPCDC</t>
  </si>
  <si>
    <t>phosphopantothenoylcysteine decarboxylase</t>
  </si>
  <si>
    <t>4.1.1.36</t>
  </si>
  <si>
    <t>N-((R)-4-Phosphopantothenoyl)-L-cysteine[c] + H+[c] =&gt; CO2[c] + Pantetheine 4'-phosphate[c]</t>
  </si>
  <si>
    <t>kegg.reaction/R03269;metanetx.reaction/MNXR103098;biocyc/META:P-PANTOCYSDECARB-RXN;rhea/16793;rhea/16794;rhea/16795;rhea/16796;bigg.reaction/PPCDC;sbo/SBO:0000375</t>
  </si>
  <si>
    <t>PPCK</t>
  </si>
  <si>
    <t>phosphoenolpyruvate carboxykinase</t>
  </si>
  <si>
    <t>4.1.1.49</t>
  </si>
  <si>
    <t>ATP[c] + Oxaloacetate[c] =&gt; ADP[c] + CO2[c] + Phosphoenolpyruvate[c]</t>
  </si>
  <si>
    <t>GCODGGCH_01185</t>
  </si>
  <si>
    <t>kegg.reaction/R00341;metanetx.reaction/MNXR103099;biocyc/META:PEPCARBOXYKIN-RXN;rhea/18617;rhea/18618;rhea/18619;rhea/18620;bigg.reaction/PPCK;sbo/SBO:0000375</t>
  </si>
  <si>
    <t>PPDD</t>
  </si>
  <si>
    <t>propanediol dehydratase</t>
  </si>
  <si>
    <t>4.2.1.28</t>
  </si>
  <si>
    <t>(R)-Propane-1,2-diol[c] =&gt; H2O[c] + Propanal[c]</t>
  </si>
  <si>
    <t>PPDt1</t>
  </si>
  <si>
    <t>1,3-propanediol transport in/out via diffusion reversible</t>
  </si>
  <si>
    <t>Propane-1,3-diol[c] &lt;=&gt; Propane-1,3-diol[e]</t>
  </si>
  <si>
    <t>PPK2r</t>
  </si>
  <si>
    <t>polyphosphate kinase</t>
  </si>
  <si>
    <t>2.7.4.1</t>
  </si>
  <si>
    <t>ATP[c] + Diphosphate[c] =&gt; ADP[c] + Inorganic triphosphate[c]</t>
  </si>
  <si>
    <t>PPM</t>
  </si>
  <si>
    <t>phosphopentomutase</t>
  </si>
  <si>
    <t>5.4.2.-; 5.4.2.2; 5.4.2.7</t>
  </si>
  <si>
    <t>alpha-D-Ribose 1-phosphate[c] &lt;=&gt; alpha-D-Ribose 5-phosphate[c]</t>
  </si>
  <si>
    <t>PPM2</t>
  </si>
  <si>
    <t>phosphopentomutase (deoxyribose)</t>
  </si>
  <si>
    <t>5.4.2.7</t>
  </si>
  <si>
    <t>2-Deoxy-D-ribose 1-phosphate[c] &lt;=&gt; 2-Deoxy-D-ribose 5-phosphate[c]</t>
  </si>
  <si>
    <t>PPN13D</t>
  </si>
  <si>
    <t>1,3-propanediol dehydrogenase</t>
  </si>
  <si>
    <t>1.1.1.202</t>
  </si>
  <si>
    <t>Propane-1,3-diol[c] + Nicotinamide adenine dinucleotide[c] &lt;=&gt; 3-Hydroxypropanal[c] + H+[c] + Nicotinamide adenine dinucleotide - reduced[c]</t>
  </si>
  <si>
    <t>GCODGGCH_00844</t>
  </si>
  <si>
    <t>PPNCL</t>
  </si>
  <si>
    <t>phosphopantothenate-cysteine ligase</t>
  </si>
  <si>
    <t>D-4'-Phosphopantothenate[c] + CTP[c] + L-Cysteine[c] =&gt; N-((R)-4-Phosphopantothenoyl)-L-cysteine[c] + CDP[c] + H+[c] + Phosphate[c]</t>
  </si>
  <si>
    <t>metanetx.reaction/MNXR103118;bigg.reaction/PPNCL;sbo/SBO:0000375</t>
  </si>
  <si>
    <t>PRAGSr</t>
  </si>
  <si>
    <t>phosphoribosylglycinamide synthetase</t>
  </si>
  <si>
    <t>6.3.4.13</t>
  </si>
  <si>
    <t>ATP[c] + Glycine[c] + 5-Phospho-beta-D-ribosylamine[c] &lt;=&gt; ADP[c] + N1-(5-Phospho-D-ribosyl)glycinamide[c] + H+[c] + Phosphate[c]</t>
  </si>
  <si>
    <t>GCODGGCH_00142</t>
  </si>
  <si>
    <t>kegg.reaction/R04144;metanetx.reaction/MNXR103139;biocyc/META:GLYRIBONUCSYN-RXN;bigg.reaction/PRAGSr;sbo/SBO:0000375</t>
  </si>
  <si>
    <t>PRAIS</t>
  </si>
  <si>
    <t>phosphoribosylaminoimidazole synthetase</t>
  </si>
  <si>
    <t>6.3.3.1</t>
  </si>
  <si>
    <t>ATP[c] + 2-(Formamido)-N1-(5-phospho-D-ribosyl)acetamidine[c] =&gt; ADP[c] + 5-amino-1-(5-phospho-D-ribosyl)imidazole[c] + 2 H+[c] + Phosphate[c]</t>
  </si>
  <si>
    <t>GCODGGCH_00139</t>
  </si>
  <si>
    <t>metanetx.reaction/MNXR103157;rhea/23032;rhea/23033;rhea/23034;rhea/23035;bigg.reaction/PRAIS;sbo/SBO:0000375</t>
  </si>
  <si>
    <t>PRASCS</t>
  </si>
  <si>
    <t>phosphoribosylaminoimidazolesuccinocarboxamide synthase</t>
  </si>
  <si>
    <t>6.3.2.6</t>
  </si>
  <si>
    <t>5-amino-1-(5-phospho-D-ribosyl)imidazole-4-carboxylate[c] + L-Aspartate[c] + ATP[c] &lt;=&gt; (S)-2-[5-Amino-1-(5-phospho-D-ribosyl)imidazole-4-carboxamido]succinate[c] + ADP[c] + H+[c] + Phosphate[c]</t>
  </si>
  <si>
    <t>GCODGGCH_00134</t>
  </si>
  <si>
    <t>PRFGS</t>
  </si>
  <si>
    <t>phosphoribosylformylglycinamidine synthase</t>
  </si>
  <si>
    <t>6.3.5.3</t>
  </si>
  <si>
    <t>ATP[c] + N2-Formyl-N1-(5-phospho-D-ribosyl)glycinamide[c] + L-Glutamine[c] + H2O[c] =&gt; ADP[c] + 2-(Formamido)-N1-(5-phospho-D-ribosyl)acetamidine[c] + L-Glutamate[c] + H+[c] + Phosphate[c]</t>
  </si>
  <si>
    <t>GCODGGCH_00137 or GCODGGCH_00136</t>
  </si>
  <si>
    <t>metanetx.reaction/MNXR103165;rhea/17129;rhea/17130;rhea/17131;rhea/17132;bigg.reaction/PRFGS;sbo/SBO:0000375</t>
  </si>
  <si>
    <t>PROTRS</t>
  </si>
  <si>
    <t>Prolyl-tRNA synthetase</t>
  </si>
  <si>
    <t>6.1.1.15</t>
  </si>
  <si>
    <t>ATP[c] + L-Proline[c] + tRNA(Pro)[c] =&gt; AMP[c] + Diphosphate[c] + L-Prolyl-tRNA(Pro)[c]</t>
  </si>
  <si>
    <t>GCODGGCH_00817</t>
  </si>
  <si>
    <t>PROt6</t>
  </si>
  <si>
    <t>L-proline transport in/out via proton symport</t>
  </si>
  <si>
    <t>H+[e] + L-Proline[e] &lt;=&gt; H+[c] + L-Proline[c]</t>
  </si>
  <si>
    <t>PRPPS</t>
  </si>
  <si>
    <t>phosphoribosylpyrophosphate synthetase</t>
  </si>
  <si>
    <t>2.7.6.1</t>
  </si>
  <si>
    <t>ATP[c] + alpha-D-Ribose 5-phosphate[c] &lt;=&gt; AMP[c] + H+[c] + 5-Phospho-alpha-D-ribose 1-diphosphate[c]</t>
  </si>
  <si>
    <t>GCODGGCH_00231 or GCODGGCH_00729 or GCODGGCH_00231 or GCODGGCH_00729</t>
  </si>
  <si>
    <t>metanetx.reaction/MNXR103215;bigg.reaction/PRPPS;sbo/SBO:0000375</t>
  </si>
  <si>
    <t>PTAr</t>
  </si>
  <si>
    <t>phosphotransacetylase</t>
  </si>
  <si>
    <t>Acetyl-CoA[c] + Phosphate[c] &lt;=&gt; Acetyl phosphate[c] + Coenzyme A[c]</t>
  </si>
  <si>
    <t>GCODGGCH_00451</t>
  </si>
  <si>
    <t>kegg.reaction/R00230;metanetx.reaction/MNXR103319;biocyc/META:PHOSACETYLTRANS-RXN;rhea/19521;rhea/19522;rhea/19523;rhea/19524;bigg.reaction/PTAr;sbo/SBO:0000375</t>
  </si>
  <si>
    <t>PTPAT</t>
  </si>
  <si>
    <t>pantetheine-phosphate adenylyltransferase</t>
  </si>
  <si>
    <t>2.7.7.3</t>
  </si>
  <si>
    <t>ATP[c] + H+[c] + Pantetheine 4'-phosphate[c] &lt;=&gt; Dephospho-CoA[c] + Diphosphate[c]</t>
  </si>
  <si>
    <t>GCODGGCH_00741</t>
  </si>
  <si>
    <t>PTRCabc</t>
  </si>
  <si>
    <t>putrescine transport via ABC system</t>
  </si>
  <si>
    <t>3.6.3.31</t>
  </si>
  <si>
    <t>ATP[c] + H2O[c] + Putrescine[e] =&gt; ADP[c] + H+[c] + Phosphate[c] + Putrescine[c]</t>
  </si>
  <si>
    <t>OLD_iTN656_AC5u0009GL002082 or OLD_iTN656_AC5u0009GL002080 or OLD_iTN656_AC5u0009GL002081 or GCODGGCH_00181 or GCODGGCH_01146 or GCODGGCH_01146</t>
  </si>
  <si>
    <t>metanetx.reaction/MNXR103338;biocyc/META:ABC-25-RXN;rhea/29995#1;rhea/29996#1;rhea/29997#1;rhea/29998#1;bigg.reaction/PTRCabc;sbo/SBO:0000375</t>
  </si>
  <si>
    <t>PUNP1</t>
  </si>
  <si>
    <t>purine-nucleoside phosphorylase (Adenosine)</t>
  </si>
  <si>
    <t>2.4.2.1</t>
  </si>
  <si>
    <t>Adenosine[c] + Phosphate[c] &lt;=&gt; Adenine[c] + alpha-D-Ribose 1-phosphate[c]</t>
  </si>
  <si>
    <t xml:space="preserve">Purine metabolism
</t>
  </si>
  <si>
    <t>PUNP2</t>
  </si>
  <si>
    <t>purine-nucleoside phosphorylase (Deoxyadenosine)</t>
  </si>
  <si>
    <t>Deoxyadenosine[c] + Phosphate[c] &lt;=&gt; 2-Deoxy-D-ribose 1-phosphate[c] + Adenine[c]</t>
  </si>
  <si>
    <t>PUNP3</t>
  </si>
  <si>
    <t>purine-nucleoside phosphorylase (Guanosine)</t>
  </si>
  <si>
    <t>2.4.2.1; 2.4.2.15</t>
  </si>
  <si>
    <t>Guanosine[c] + Phosphate[c] &lt;=&gt; Guanine[c] + alpha-D-Ribose 1-phosphate[c]</t>
  </si>
  <si>
    <t>PUNP4</t>
  </si>
  <si>
    <t>purine-nucleoside phosphorylase (Deoxyguanosine)</t>
  </si>
  <si>
    <t>2.4.2.1; 2.4.2.4</t>
  </si>
  <si>
    <t>Deoxyguanosine[c] + Phosphate[c] &lt;=&gt; 2-Deoxy-D-ribose 1-phosphate[c] + Guanine[c]</t>
  </si>
  <si>
    <t>PUNP5</t>
  </si>
  <si>
    <t>purine-nucleoside phosphorylase (Inosine)</t>
  </si>
  <si>
    <t>Inosine[c] + Phosphate[c] &lt;=&gt; Hypoxanthine[c] + alpha-D-Ribose 1-phosphate[c]</t>
  </si>
  <si>
    <t>PUNP6</t>
  </si>
  <si>
    <t>purine-nucleoside phosphorylase (Deoxyinosine)</t>
  </si>
  <si>
    <t>Deoxyinosine[c] + Phosphate[c] &lt;=&gt; 2-Deoxy-D-ribose 1-phosphate[c] + Hypoxanthine[c]</t>
  </si>
  <si>
    <t>PUNP7</t>
  </si>
  <si>
    <t>purine-nucleoside phosphorylase (Xanthosine)</t>
  </si>
  <si>
    <t>2.4.2.-; 2.4.2.1</t>
  </si>
  <si>
    <t>Phosphate[c] + Xanthosine[c] &lt;=&gt; alpha-D-Ribose 1-phosphate[c] + Xanthine[c]</t>
  </si>
  <si>
    <t>PYDAMK</t>
  </si>
  <si>
    <t>pyridoxal kinase (Pyridoxamine)</t>
  </si>
  <si>
    <t>2.7.1.35</t>
  </si>
  <si>
    <t>ATP[c] + Pyridoxamine[c] =&gt; ADP[c] + H+[c] + Pyridoxamine 5'-phosphate[c]</t>
  </si>
  <si>
    <t>kegg.reaction/R02493;metanetx.reaction/MNXR103357;biocyc/META:PYRAMKIN-RXN;rhea/25104;rhea/25105;rhea/25106;rhea/25107;bigg.reaction/PYDAMK;sbo/SBO:0000375</t>
  </si>
  <si>
    <t>Vitamin B6 metabolism</t>
  </si>
  <si>
    <t>PYDAMt</t>
  </si>
  <si>
    <t>pyridoxamine transport</t>
  </si>
  <si>
    <t>H+[e] + Pyridoxamine[e] &lt;=&gt; H+[c] + Pyridoxamine[c]</t>
  </si>
  <si>
    <t>PYDXK</t>
  </si>
  <si>
    <t>pyridoxal kinase (Pyridoxal)</t>
  </si>
  <si>
    <t>ATP[c] + Pyridoxal[c] =&gt; ADP[c] + H+[c] + Pyridoxal 5'-phosphate[c]</t>
  </si>
  <si>
    <t>kegg.reaction/R00174;metanetx.reaction/MNXR103361;biocyc/META:PYRIDOXKIN-RXN;rhea/10224;rhea/10225;rhea/10226;rhea/10227;bigg.reaction/PYDXK;sbo/SBO:0000375</t>
  </si>
  <si>
    <t>PYK</t>
  </si>
  <si>
    <t>pyruvate kinase</t>
  </si>
  <si>
    <t>2.7.1.40</t>
  </si>
  <si>
    <t>ADP[c] + H+[c] + Phosphoenolpyruvate[c] =&gt; ATP[c] + Pyruvate[c]</t>
  </si>
  <si>
    <t>GCODGGCH_01249 or OLD_iTN656_AC5u0009GL000357</t>
  </si>
  <si>
    <t>kegg.reaction/R00200;metanetx.reaction/MNXR103371;biocyc/META:PEPDEPHOS-RXN;rhea/18157;rhea/18158;rhea/18159;rhea/18160;bigg.reaction/PYK;sbo/SBO:0000375</t>
  </si>
  <si>
    <t>PYNP1r</t>
  </si>
  <si>
    <t>pyrimidine-nucleoside phosphorylase (cytosine)</t>
  </si>
  <si>
    <t>2.4.2.2</t>
  </si>
  <si>
    <t>Cytosine[c] + alpha-D-Ribose 1-phosphate[c] &lt;=&gt; Cytidine[c] + Phosphate[c]</t>
  </si>
  <si>
    <t>PYNP2</t>
  </si>
  <si>
    <t>pyrimidine-nucleoside phosphorylase (uracil)</t>
  </si>
  <si>
    <t>2.4.2.3;2.4.2.2;2.4.2.3</t>
  </si>
  <si>
    <t>Phosphate[c] + Uridine[c] &lt;=&gt; alpha-D-Ribose 1-phosphate[c] + Uracil[c]</t>
  </si>
  <si>
    <t>PYRNS1</t>
  </si>
  <si>
    <t>pyrimidine nucleosidase (uridine)</t>
  </si>
  <si>
    <t>3.2.2.3</t>
  </si>
  <si>
    <t>H2O[c] + Uridine[c] =&gt; D-Ribose[c] + Uracil[c]</t>
  </si>
  <si>
    <t>GCODGGCH_00086 or GCODGGCH_00200 or GCODGGCH_00086 or GCODGGCH_00200</t>
  </si>
  <si>
    <t>PYRZAM</t>
  </si>
  <si>
    <t>Pyrazinamidase</t>
  </si>
  <si>
    <t>3.5.1.107</t>
  </si>
  <si>
    <t>H2O[c] + Maleamate[c] =&gt; Maleate[c] + Ammonium[c]</t>
  </si>
  <si>
    <t>QUIND</t>
  </si>
  <si>
    <t>quinate dehydrogenase (pyrroloquinoline-quinone)</t>
  </si>
  <si>
    <t>1.1.1.24</t>
  </si>
  <si>
    <t>PQQ (Pyrroloquinoline-quinone) oxidized form[c] + Quinate[c] =&gt; 3-Dehydroquinate[c] + H+[c] + PQQ (pyrroloquinoline-quinone) reduced form[c]</t>
  </si>
  <si>
    <t>GCODGGCH_01001</t>
  </si>
  <si>
    <t>Phenylalanine, tyrosine and tryptophan biosynthesis</t>
  </si>
  <si>
    <t xml:space="preserve">R00066  </t>
  </si>
  <si>
    <t>riboflavin synthase</t>
  </si>
  <si>
    <t>2 6,7-Dimethyl-8-(1-D-ribityl)lumazine[c] &lt;=&gt; 4-(1-D-Ribitylamino)-5-aminouracil[c] + Riboflavin[c]</t>
  </si>
  <si>
    <t>GCODGGCH_00883</t>
  </si>
  <si>
    <t>R00137</t>
  </si>
  <si>
    <t>ATP:nicotinamide-nucleotide adenylyltransferase</t>
  </si>
  <si>
    <t>Nicotinamide D-ribonucleotide[c] + ATP[c] &lt;=&gt; Nicotinamide adenine dinucleotide[c] + Diphosphate[c]</t>
  </si>
  <si>
    <t>R00261</t>
  </si>
  <si>
    <t>glutamate decarboxylase</t>
  </si>
  <si>
    <t>4.1.1.15</t>
  </si>
  <si>
    <t>4-Aminobutanoate[c] + CO2[c] =&gt; L-Glutamate[c]</t>
  </si>
  <si>
    <t>GCODGGCH_01060 or GCODGGCH_01060</t>
  </si>
  <si>
    <t>R00418</t>
  </si>
  <si>
    <t>UDPglucose 4-epimerase</t>
  </si>
  <si>
    <t>5.1.3.2</t>
  </si>
  <si>
    <t>UDP-N-acetyl-D-glucosamine[c] &lt;=&gt; UDP-N-acetyl-D-galactosamine[c]</t>
  </si>
  <si>
    <t>GCODGGCH_00357</t>
  </si>
  <si>
    <t>R00489</t>
  </si>
  <si>
    <t>L-Aspartate[c] &lt;=&gt; beta-Alanine[c] + CO2[c]</t>
  </si>
  <si>
    <t>beta-Alanine metabolism</t>
  </si>
  <si>
    <t>R00508</t>
  </si>
  <si>
    <t>bifunctional oligoribonuclease and PAP phosphatase NrnA</t>
  </si>
  <si>
    <t>3.1.3.7</t>
  </si>
  <si>
    <t>3'-Phosphoadenylyl sulfate[c] + H2O[c] &lt;=&gt; Adenylyl sulfate[c] + Phosphate[c]</t>
  </si>
  <si>
    <t>GCODGGCH_00626</t>
  </si>
  <si>
    <t xml:space="preserve">R00548 </t>
  </si>
  <si>
    <t>FMN hydrolase / 5-amino-6-(5-phospho-D-ribitylamino)uracil phosphatase</t>
  </si>
  <si>
    <t>flavin mononucleotide[c] + H2O[c] &lt;=&gt; Phosphate[c] + Riboflavin[c]</t>
  </si>
  <si>
    <t>R00830</t>
  </si>
  <si>
    <t>5-aminolevulinate synthase;</t>
  </si>
  <si>
    <t>2.3.1.37</t>
  </si>
  <si>
    <t>Glycine[c] + Succinyl-CoA[c] &lt;=&gt; 5-Amino-4-oxopentanoate[c] + CO2[c] + Coenzyme A[c]</t>
  </si>
  <si>
    <t>R00851</t>
  </si>
  <si>
    <t>glycerol-3-phosphate acyltransferase PlsX</t>
  </si>
  <si>
    <t>2.3.1.15</t>
  </si>
  <si>
    <t>Acyl-CoA[c] + sn-Glycerol 3-phosphate[c] &lt;=&gt; 1-Acyl-sn-glycerol 3-phosphate[c] + Coenzyme A[c]</t>
  </si>
  <si>
    <t>GCODGGCH_01446 or GCODGGCH_01196</t>
  </si>
  <si>
    <t>R00900  </t>
  </si>
  <si>
    <t>hydrogen selenide:NADP+ oxidoreductase</t>
  </si>
  <si>
    <t>1.8.1.9</t>
  </si>
  <si>
    <t>3 H2O[c] + 3 Nicotinamide adenine dinucleotide phosphate - reduced[c] + Selenide[c] &lt;=&gt; Selenite[c] + 5 H+[c] + 3 Nicotinamide adenine dinucleotide phosphate[c]</t>
  </si>
  <si>
    <t>GCODGGCH_00410 or GCODGGCH_00481 or GCODGGCH_02127 or GCODGGCH_00481 or GCODGGCH_01536 or GCODGGCH_01536</t>
  </si>
  <si>
    <t>Selenocompound metabolism</t>
  </si>
  <si>
    <t>R00908</t>
  </si>
  <si>
    <t>4-aminobutyrate aminotransferase / Ornithine transaminase</t>
  </si>
  <si>
    <t>2.6.1.19; 2.6.1.55</t>
  </si>
  <si>
    <t>2-Oxoglutarate[c] + beta-Alanine[c] &lt;=&gt; 3-Oxopropanoate[c] + L-Glutamate[c]</t>
  </si>
  <si>
    <t>R00948</t>
  </si>
  <si>
    <t>ATP:alpha-D-glucose-1-phosphate adenylyltransferase</t>
  </si>
  <si>
    <t>2.7.7.27</t>
  </si>
  <si>
    <t>ATP[c] + D-Glucose 1-phosphate[c] &lt;=&gt; ADP-glucose[c] + Diphosphate[c]</t>
  </si>
  <si>
    <t>GCODGGCH_00648 or GCODGGCH_00648</t>
  </si>
  <si>
    <t>R01074</t>
  </si>
  <si>
    <t>Biotin-(acetyl-CoA carboxylase) ligase</t>
  </si>
  <si>
    <t>6.3.4.15</t>
  </si>
  <si>
    <t>ATP[c] + Biotin[c] &lt;=&gt; Biotinyl-5'-AMP[c] + Diphosphate[c]</t>
  </si>
  <si>
    <t>GCODGGCH_00383</t>
  </si>
  <si>
    <t>Biotin metabolism</t>
  </si>
  <si>
    <t>R01122</t>
  </si>
  <si>
    <t>tRNA dimethylallyltransferase</t>
  </si>
  <si>
    <t>2.5.1.75</t>
  </si>
  <si>
    <t>Dimethylallyl diphosphate[c] + tRNA adenine[c] &lt;=&gt; Diphosphate[c] + tRNA containing 6-isopentenyladenosine[c]</t>
  </si>
  <si>
    <t>GCODGGCH_01483</t>
  </si>
  <si>
    <t>R01150</t>
  </si>
  <si>
    <t>D-alanine:D-alanine ligase (ADP-forming)</t>
  </si>
  <si>
    <t>6.3.2.4</t>
  </si>
  <si>
    <t>2 D-Alanine[c] + ATP[c] &lt;=&gt; ADP[c] + D-Alanyl-D-alanine[c] + Phosphate[c]</t>
  </si>
  <si>
    <t>R01395</t>
  </si>
  <si>
    <t>Carbamate kinase (EC: 2.7.2.2) - 1a</t>
  </si>
  <si>
    <t>ADP[c] + Carbamoyl phosphate[c] =&gt; Carbamate[c] + ATP[c]</t>
  </si>
  <si>
    <t>R01411</t>
  </si>
  <si>
    <t>5-Methylcytosine aminohydrolase</t>
  </si>
  <si>
    <t>5-Methylcytosine[c] + H2O[c] &lt;=&gt; Ammonium[c] + Thymine[c]</t>
  </si>
  <si>
    <t>R01466</t>
  </si>
  <si>
    <t>O-phospho-L-homoserine phosphate-lyase (adding water;L-threonine-forming)</t>
  </si>
  <si>
    <t>4.2.3.1</t>
  </si>
  <si>
    <t>O-Phospho-L-homoserine[c] + H2O[c] =&gt; Phosphate[c] + L-Threonine[c]</t>
  </si>
  <si>
    <t>GCODGGCH_00902</t>
  </si>
  <si>
    <t>R01547</t>
  </si>
  <si>
    <t xml:space="preserve"> 2.7.4.13; 2.7.4.3;2.7.4.11;2.7.4.3</t>
  </si>
  <si>
    <t>ATP[c] + dAMP[c] =&gt; ADP[c] + dADP[c]</t>
  </si>
  <si>
    <t>R01771</t>
  </si>
  <si>
    <t>ATP:L-homoserine O-phosphotransferase</t>
  </si>
  <si>
    <t>2.7.1.39</t>
  </si>
  <si>
    <t>ATP[c] + L-Homoserine[c] &lt;=&gt; O-Phospho-L-homoserine[c] + ADP[c]</t>
  </si>
  <si>
    <t>GCODGGCH_00900</t>
  </si>
  <si>
    <t>R01908</t>
  </si>
  <si>
    <t>oxalyl-CoA decarboxylase</t>
  </si>
  <si>
    <t>Oxalyl-CoA[c] &lt;=&gt; Formyl-CoA[c] + CO2[c]</t>
  </si>
  <si>
    <t>R02058</t>
  </si>
  <si>
    <t>acetyl-CoA:D-glucosamine-6-phosphate N-acetyltransferase</t>
  </si>
  <si>
    <t>2.3.1.4</t>
  </si>
  <si>
    <t>Acetyl-CoA[c] + D-Glucosamine 6-phosphate[c] &lt;=&gt; N-Acetyl-D-glucosamine 6-phosphate[c] + Coenzyme A[c]</t>
  </si>
  <si>
    <t>R02090</t>
  </si>
  <si>
    <t>ATP:dGMP phosphotransferase</t>
  </si>
  <si>
    <t xml:space="preserve"> 2.7.4.13; 2.7.4.8;2.7.4.12;2.7.4.8</t>
  </si>
  <si>
    <t>ATP[c] + dGMP[c] &lt;=&gt; ADP[c] + dGDP[c]</t>
  </si>
  <si>
    <t>R02135</t>
  </si>
  <si>
    <t>3.1.3.1; 3.1.3.2; 3.1.3.100</t>
  </si>
  <si>
    <t>H2O[c] + Thiamin monophosphate[c] &lt;=&gt; Phosphate[c] + Thiamin[c]</t>
  </si>
  <si>
    <t>GCODGGCH_01923 or GCODGGCH_01975 or GCODGGCH_01923 or GCODGGCH_01975 or OLD_iTN656_AC5u0009GL002025 or GCODGGCH_01453</t>
  </si>
  <si>
    <t>R02295</t>
  </si>
  <si>
    <t>Nicotinate D-ribonucleoside:orthophosphate ribosyltransferase</t>
  </si>
  <si>
    <t>Nicotinate D-ribonucleoside[c] + Phosphate[c] &lt;=&gt; H+[c] + Nicotinate[c] + alpha-D-Ribose 1-phosphate[c]</t>
  </si>
  <si>
    <t>R02322</t>
  </si>
  <si>
    <t>nicotinamide-D-ribonucleotide amidohydrolase</t>
  </si>
  <si>
    <t>3.5.1.42</t>
  </si>
  <si>
    <t>Nicotinamide D-ribonucleotide[c] + H2O[c] &lt;=&gt; Ammonium[c] + Nicotinate D-ribonucleotide[c]</t>
  </si>
  <si>
    <t>GCODGGCH_00617 or GCODGGCH_00617</t>
  </si>
  <si>
    <t>R02323 </t>
  </si>
  <si>
    <t>nicotinamide ribonucleotide phosphohydrolase</t>
  </si>
  <si>
    <t>Nicotinamide D-ribonucleotide[c] + H2O[c] &lt;=&gt; Nicotinamide-beta-riboside[c] + Phosphate[c]</t>
  </si>
  <si>
    <t>R02474</t>
  </si>
  <si>
    <t>Pantothenate amidohydrolase</t>
  </si>
  <si>
    <t>3.5.1.22</t>
  </si>
  <si>
    <t>H2O[c] + (R)-Pantothenate[c] &lt;=&gt; beta-Alanine[c] + (R)-Pantoate[c]</t>
  </si>
  <si>
    <t>R02720</t>
  </si>
  <si>
    <t>XTP/dITP diphosphohydrolase</t>
  </si>
  <si>
    <t>3.6.1.66; 3.6.1.-</t>
  </si>
  <si>
    <t>XTP[c] + H2O[c] &lt;=&gt; Diphosphate[c] + Xanthosine 5'-phosphate[c]</t>
  </si>
  <si>
    <t>R02797</t>
  </si>
  <si>
    <t>choloylglycine hydrolase</t>
  </si>
  <si>
    <t>3.5.1.24</t>
  </si>
  <si>
    <t>Taurocholate[c] + H2O[c] &lt;=&gt; Cholic acid[c] + Taurine[c]</t>
  </si>
  <si>
    <t>GCODGGCH_01020 or GCODGGCH_01862</t>
  </si>
  <si>
    <t>bile acid biosynthesis</t>
  </si>
  <si>
    <t>R02864</t>
  </si>
  <si>
    <t>precorrin-2 dehydrogenase / sirohydrochlorin ferrochelatase</t>
  </si>
  <si>
    <t>4.99.1.4</t>
  </si>
  <si>
    <t>Fe2+[c] + Sirohydrochlorin[c] =&gt; Siroheme[c] + 2 H+[c]</t>
  </si>
  <si>
    <t>R02971 </t>
  </si>
  <si>
    <t>2.7.1.33; 2.7.1.34</t>
  </si>
  <si>
    <t>Pantetheine[c] + ATP[c] &lt;=&gt; ADP[c] + Pantetheine 4'-phosphate[c]</t>
  </si>
  <si>
    <t>R03013</t>
  </si>
  <si>
    <t>histidinol-phosphatase (PHP family)</t>
  </si>
  <si>
    <t>3.1.3.15</t>
  </si>
  <si>
    <t>L-Histidinol phosphate[c] + H2O[c] &lt;=&gt; L-Histidinol[c] + Phosphate[c]</t>
  </si>
  <si>
    <t>R03066</t>
  </si>
  <si>
    <t>6-(hydroxymethyl)-7,8-dihydropterin:4-aminobenzoate 2-amino-4-hydroxydihydropteridine-6-methenyltransferase</t>
  </si>
  <si>
    <t>2-Amino-4-hydroxy-6-hydroxymethyl-7,8-dihydropteridine[c] + 4-Aminobenzoate[c] &lt;=&gt; Dihydropteroate[c] + H2O[c]</t>
  </si>
  <si>
    <t>R03122</t>
  </si>
  <si>
    <t>cyclomaltodextrinase / maltogenic alpha-amylase / neopullulanase</t>
  </si>
  <si>
    <t>3.2.1.54</t>
  </si>
  <si>
    <t>Cyclomaltodextrin[c] + H2O[c] &lt;=&gt; Maltodextrin[c]</t>
  </si>
  <si>
    <t>R03194</t>
  </si>
  <si>
    <t>2.1.1.107</t>
  </si>
  <si>
    <t>2 S-Adenosyl-L-methionine[c] + Uroporphyrinogen III[c] =&gt; Precorrin 2[c] + 2 S-Adenosyl-L-homocysteine[c]</t>
  </si>
  <si>
    <t>R03346</t>
  </si>
  <si>
    <t>nicotinate D-ribonucleotide phosphohydrolase</t>
  </si>
  <si>
    <t>H2O[c] + Nicotinate D-ribonucleotide[c] &lt;=&gt; Nicotinate D-ribonucleoside[c] + Phosphate[c]</t>
  </si>
  <si>
    <t>R03409 </t>
  </si>
  <si>
    <t>guanosine 3'-diphosphate 5'-triphosphate 5'-phosphohydrolase</t>
  </si>
  <si>
    <t>3.6.1.11; 3.6.1.40</t>
  </si>
  <si>
    <t>Guanosine 3'-diphosphate 5'-triphosphate[c] + H2O[c] &lt;=&gt; Phosphate[c] + Guanosine 3',5'-bis(diphosphate)[c]</t>
  </si>
  <si>
    <t>GCODGGCH_00215 or GCODGGCH_00356 or GCODGGCH_00215 or GCODGGCH_00356 or GCODGGCH_00354</t>
  </si>
  <si>
    <t>R03530</t>
  </si>
  <si>
    <t>ATP:dIDP phosphotransferase</t>
  </si>
  <si>
    <t>ATP[c] + dIDP[c] &lt;=&gt; ADP[c] + dITP[c]</t>
  </si>
  <si>
    <t>R03531</t>
  </si>
  <si>
    <t>dITP[c] + H2O[c] &lt;=&gt; dIMP[c] + Diphosphate[c]</t>
  </si>
  <si>
    <t>R03651</t>
  </si>
  <si>
    <t>6.1.1.24; 6.1.1.-; 6.1.1.17</t>
  </si>
  <si>
    <t>ATP[c] + L-Glutamate[c] + tRNA(Gln)[c] &lt;=&gt; L-Glutamyl-tRNA(Gln)[c] + AMP[c] + Diphosphate[c]</t>
  </si>
  <si>
    <t>R03947</t>
  </si>
  <si>
    <t>sirohydrochlorin dehydrogenase (NAD)</t>
  </si>
  <si>
    <t>1.3.1.76</t>
  </si>
  <si>
    <t>Precorrin 2[c] + Nicotinamide adenine dinucleotide[c] =&gt; H+[c] + Nicotinamide adenine dinucleotide - reduced[c] + Sirohydrochlorin[c]</t>
  </si>
  <si>
    <t>R03948 </t>
  </si>
  <si>
    <t>2.1.1.130</t>
  </si>
  <si>
    <t>Precorrin 2[c] + S-Adenosyl-L-methionine[c] &lt;=&gt; Precorrin 3A[c] + S-Adenosyl-L-homocysteine[c] + H+[c]</t>
  </si>
  <si>
    <t xml:space="preserve">R03966  </t>
  </si>
  <si>
    <t>4-oxalocrotonate tautomerase</t>
  </si>
  <si>
    <t>5.3.2.6</t>
  </si>
  <si>
    <t>2-Hydroxymuconate[c] &lt;=&gt; gamma-Oxalocrotonate[c]</t>
  </si>
  <si>
    <t>R03975</t>
  </si>
  <si>
    <t>Glycochenodeoxycholate[c] + H2O[c] &lt;=&gt; Chenodeoxycholate[c] + Glycine[c]</t>
  </si>
  <si>
    <t>R03977</t>
  </si>
  <si>
    <t>Taurochenodeoxycholate[c] + H2O[c] &lt;=&gt; Chenodeoxycholate[c] + Taurine[c]</t>
  </si>
  <si>
    <t>R04212</t>
  </si>
  <si>
    <t>Asp-tRNA(Asn):L-glutamine amido-ligase (ADP-forming)</t>
  </si>
  <si>
    <t>6.3.5.6</t>
  </si>
  <si>
    <t>ADP[c] + L-Asparaginyl-tRNA(Asn)[c] + L-Glutamate[c] + Phosphate[c] &lt;=&gt; L-Aspartyl-tRNA(Asn)[c] + ATP[c] + L-Glutamine[c] + H2O[c]</t>
  </si>
  <si>
    <t>R04391</t>
  </si>
  <si>
    <t>N-((R)-Pantothenoyl)-L-cysteine[c] + ATP[c] =&gt; (R)-4'-Phosphopantothenoyl-L-cysteine[c] + ADP[c]</t>
  </si>
  <si>
    <t>R04486</t>
  </si>
  <si>
    <t>Glycodeoxycholate[c] + H2O[c] &lt;=&gt; Deoxycholic acid[c] + Glycine[c]</t>
  </si>
  <si>
    <t>R04487</t>
  </si>
  <si>
    <t>Taurodeoxycholate[c] + H2O[c] &lt;=&gt; Deoxycholic acid[c] + Taurine[c]</t>
  </si>
  <si>
    <t>R04620</t>
  </si>
  <si>
    <t>3.1.3.1</t>
  </si>
  <si>
    <t>2-Amino-4-hydroxy-6-(erythro-1,2,3-trihydroxypropyl)dihydropteridine triphosphate[c] + 3 H2O[c] &lt;=&gt; 2-Amino-4-hydroxy-6-(D-erythro-1,2,3-trihydroxypropyl)-7,8-dihydropteridine[c] + 3 Phosphate[c]</t>
  </si>
  <si>
    <t xml:space="preserve">R04770 </t>
  </si>
  <si>
    <t>cystathionine beta-lyase</t>
  </si>
  <si>
    <t>L-Selenomethionine[c] + H2O[c] &lt;=&gt; 2-Oxobutanoate[c] + Methaneselenol[c] + Ammonium[c]</t>
  </si>
  <si>
    <t>GCODGGCH_02086</t>
  </si>
  <si>
    <t>R05081</t>
  </si>
  <si>
    <t>Phosphatidylglycerol:membrane-derived-oligosaccharide-D-glucose glycerophosphotransferase</t>
  </si>
  <si>
    <t>2.7.8.20</t>
  </si>
  <si>
    <t>Phosphatidylglycerol[c] + Diglucosyl-diacylglycerol[c] &lt;=&gt; Glycerophosphoglycoglycerolipid[c] + 1,2-Diacylglycerol[c]</t>
  </si>
  <si>
    <t>GCODGGCH_01923 or GCODGGCH_01975</t>
  </si>
  <si>
    <t>R05140 </t>
  </si>
  <si>
    <t>levansucrase</t>
  </si>
  <si>
    <t>2.4.1.10</t>
  </si>
  <si>
    <t>Levan[e] + Sucrose[e] &lt;=&gt; Levan_L[e] + D-Glucose[e]</t>
  </si>
  <si>
    <t xml:space="preserve">R05145 </t>
  </si>
  <si>
    <t>Apo-[carboxylase][c] + Biotinyl-5'-AMP[c] &lt;=&gt; Holo-[carboxylase][c] + AMP[c]</t>
  </si>
  <si>
    <t>R05150</t>
  </si>
  <si>
    <t>Precorrin-6Y:NADP+ oxidoreductase</t>
  </si>
  <si>
    <t>1.3.1.54</t>
  </si>
  <si>
    <t>Precorrin 6Y[c] + Nicotinamide adenine dinucleotide phosphate[c] &lt;=&gt; Precorrin 6X[c] + H+[c] + Nicotinamide adenine dinucleotide phosphate - reduced[c]</t>
  </si>
  <si>
    <t>R05177</t>
  </si>
  <si>
    <t xml:space="preserve">Precorrin-8X methylmutase </t>
  </si>
  <si>
    <t>5.4.99.61</t>
  </si>
  <si>
    <t>Precorrin 8X[c] =&gt; Hydrogenobyrinate[c]</t>
  </si>
  <si>
    <t>R05180</t>
  </si>
  <si>
    <t>S-adenosyl-L-methionine:precorrin-3B C17-methyltransferase</t>
  </si>
  <si>
    <t>Precorrin 3B[c] + S-Adenosyl-L-methionine[c] =&gt; Precorrin 4[c] + S-Adenosyl-L-homocysteine[c]</t>
  </si>
  <si>
    <t>R05181</t>
  </si>
  <si>
    <t>S-adenosyl-L-methionine:precorrin-4 C11 methyltransferase</t>
  </si>
  <si>
    <t>2.1.1.133</t>
  </si>
  <si>
    <t>Precorrin 4[c] + S-Adenosyl-L-methionine[c] =&gt; S-Adenosyl-L-homocysteine[c] + precorrin 5[c]</t>
  </si>
  <si>
    <t>R05217</t>
  </si>
  <si>
    <t>Precorrin-3A,NADH:oxygen oxidoreductase</t>
  </si>
  <si>
    <t>Precorrin 3A[c] + H+[c] + Nicotinamide adenine dinucleotide - reduced[c] + O2[c] =&gt; Precorrin 3B[c] + H2O[c] + Nicotinamide adenine dinucleotide[c]</t>
  </si>
  <si>
    <t>R05218</t>
  </si>
  <si>
    <t>Cob(II)yrinate a,c diamide &lt;=&gt; Cob(I)yrinate a,c diamide</t>
  </si>
  <si>
    <t>1.16.8.-</t>
  </si>
  <si>
    <t>2 Cob(II)yrinate a,c diamide[c] + Nicotinamide adenine dinucleotide - reduced[c] =&gt; 2 Cob(I)yrinate a,c diamide[c] + H+[c] + Nicotinamide adenine dinucleotide[c]</t>
  </si>
  <si>
    <t>R05219</t>
  </si>
  <si>
    <t>precorrin-6X synthase (deacetylating)</t>
  </si>
  <si>
    <t>2.1.1.152</t>
  </si>
  <si>
    <t>S-Adenosyl-L-methionine[c] + precorrin 5[c] =&gt; Precorrin 6X[c] + Acetate[c] + S-Adenosyl-L-homocysteine[c]</t>
  </si>
  <si>
    <t>R05220</t>
  </si>
  <si>
    <t>Cob(I)yrinate a,c diamide &lt;=&gt;  Adenosyl cobyrinate a,c diamide</t>
  </si>
  <si>
    <t>ATP[c] + Cob(I)yrinate a,c diamide[c] + H2O[c] =&gt; Adenosyl cobyrinate diamide[c] + Phosphate[c] + Diphosphate[c]</t>
  </si>
  <si>
    <t>R05224 </t>
  </si>
  <si>
    <t xml:space="preserve">Cobyrinic acid a,c-diamide synthase </t>
  </si>
  <si>
    <t>6.3.5.9</t>
  </si>
  <si>
    <t>Hydrogenobyrinate[c] + 2 ATP[c] + 2 L-Glutamine[c] + 2 H2O[c] =&gt; Hydrogenobyrinate a,c diamide[c] + 2 ADP[c] + 2 L-Glutamate[c] + 2 Phosphate[c]</t>
  </si>
  <si>
    <t>R05225</t>
  </si>
  <si>
    <t>Adenosyl cobyrinate a,c diamide  &lt;=&gt; Adenosyl cobyrinate hexaamide</t>
  </si>
  <si>
    <t>6.3.5.10</t>
  </si>
  <si>
    <t>Adenosyl cobyrinate diamide[c] + 4 ATP[c] + 4 L-Glutamine[c] + 4 H2O[c] =&gt; adenosyl-cobyric acid[c] + 4 ADP[c] + 4 L-Glutamate[c] + 4 H+[c] + 4 Phosphate[c]</t>
  </si>
  <si>
    <t>R05227</t>
  </si>
  <si>
    <t>hydrogenobyrinic-acid-a,c-diamide:cobalt cobalt-ligase (ADP-forming)</t>
  </si>
  <si>
    <t>6.6.1.2</t>
  </si>
  <si>
    <t>Hydrogenobyrinate a,c diamide[c] + ATP[c] + Co2+[c] + H2O[c] =&gt; ADP[c] + Cob(II)yrinate a,c diamide[c] + H+[c] + Phosphate[c]</t>
  </si>
  <si>
    <t>R05835</t>
  </si>
  <si>
    <t>Glycocholate[c] + H2O[c] &lt;=&gt; Cholic acid[c] + Glycine[c]</t>
  </si>
  <si>
    <t>R07262</t>
  </si>
  <si>
    <t>1,4-dihydroxy-2-naphthoyl-CoA hydrolase</t>
  </si>
  <si>
    <t>3.1.2.28</t>
  </si>
  <si>
    <t>1,4-Dihydroxy-2-naphthoyl-CoA[c] + H2O[c] &lt;=&gt; Coenzyme A[c] + 1,4-Dihydroxy-2-naphthoate[c]</t>
  </si>
  <si>
    <t>GCODGGCH_01122</t>
  </si>
  <si>
    <t>R07274</t>
  </si>
  <si>
    <t>O-phospho-L-serine:hydrogen-sulfide 2-amino-2-carboxyethyltransferase</t>
  </si>
  <si>
    <t>O-Phospho-L-serine[c] + Hydrogen sulfide[c] &lt;=&gt; L-Cysteine[c] + Phosphate[c]</t>
  </si>
  <si>
    <t>R07280</t>
  </si>
  <si>
    <t>3.1.3.104</t>
  </si>
  <si>
    <t>5-Amino-6-(5'-phosphoribitylamino)uracil[c] + H2O[c] &lt;=&gt; 4-(1-D-Ribitylamino)-5-aminouracil[c] + Phosphate[c]</t>
  </si>
  <si>
    <t>GCODGGCH_01392 or OLD_iTN656_AC5u0009GL000858</t>
  </si>
  <si>
    <t>R07404</t>
  </si>
  <si>
    <t>5-amino-1-(5-phospho-D-ribosyl)imidazole:carbon-dioxide ligase (ADP-forming)</t>
  </si>
  <si>
    <t>5-amino-1-(5-phospho-D-ribosyl)imidazole[c] + ATP[c] + Bicarbonate[c] =&gt; 5-Carboxyamino-1-(5-phospho-D-ribosyl)imidazole[c] + ADP[c] + Phosphate[c]</t>
  </si>
  <si>
    <t>GCODGGCH_00129 or GCODGGCH_01715 or GCODGGCH_00130</t>
  </si>
  <si>
    <t>R07405</t>
  </si>
  <si>
    <t>5-carboxyamino-1-(5-phospho-D-ribosyl)imidazole carboxymutase</t>
  </si>
  <si>
    <t>5-Carboxyamino-1-(5-phospho-D-ribosyl)imidazole[c] &lt;=&gt; 5-amino-1-(5-phospho-D-ribosyl)imidazole-4-carboxylate[c]</t>
  </si>
  <si>
    <t>R07772</t>
  </si>
  <si>
    <t>cobalt-precorrin 5A hydrolase</t>
  </si>
  <si>
    <t>3.7.1.12</t>
  </si>
  <si>
    <t>Cobalt-precorrin 5A[c] + H2O[c] =&gt; Cobalt-precorrin 5B[c] + Acetaldehyde[c]</t>
  </si>
  <si>
    <t>R07773</t>
  </si>
  <si>
    <t>cobalt-precorrin-5B (C1)-methyltransferase</t>
  </si>
  <si>
    <t>2.1.1.195</t>
  </si>
  <si>
    <t>Cobalt-precorrin 5B[c] + S-Adenosyl-L-methionine[c] =&gt; S-Adenosyl-L-homocysteine[c] + Cobalt-precorrin 6[c]</t>
  </si>
  <si>
    <t>R07774</t>
  </si>
  <si>
    <t>cobalt-precorrin-6B (C15)-methyltransferase / cobalt-precorrin-7 (C5)-methyltransferase</t>
  </si>
  <si>
    <t>2.1.1.196</t>
  </si>
  <si>
    <t>S-Adenosyl-L-methionine[c] + Cobalt-dihydro-precorrin 6[c] =&gt; Cobalt-precorrin 7[c] + S-Adenosyl-L-homocysteine[c]</t>
  </si>
  <si>
    <t>R07775</t>
  </si>
  <si>
    <t>2.1.1.289</t>
  </si>
  <si>
    <t>Cobalt-precorrin 7[c] + S-Adenosyl-L-methionine[c] =&gt; S-Adenosyl-L-homocysteine[c] + Cobalt-precorrin 8[c]</t>
  </si>
  <si>
    <t>R08549</t>
  </si>
  <si>
    <t>dihydrolipoamide dehydrogenase</t>
  </si>
  <si>
    <t>1.8.1.4</t>
  </si>
  <si>
    <t>2-Oxoglutarate[c] + Coenzyme A[c] + Nicotinamide adenine dinucleotide[c] =&gt; CO2[c] + Nicotinamide adenine dinucleotide - reduced[c] + Succinyl-CoA[c]</t>
  </si>
  <si>
    <t>GCODGGCH_00910</t>
  </si>
  <si>
    <t>R08572</t>
  </si>
  <si>
    <t>glycerate 2-kinase</t>
  </si>
  <si>
    <t>2.7.1.165</t>
  </si>
  <si>
    <t>(D)-Glycerate[c] + ATP[c] =&gt; D-Glycerate 2-phosphate[c] + ADP[c]</t>
  </si>
  <si>
    <t>R09365</t>
  </si>
  <si>
    <t>5-methyltetrahydropteroyltri-L-glutamate:L-selenohomocysteine Se-methyltransferase</t>
  </si>
  <si>
    <t>5-Methyltetrahydropteroyltri-L-glutamate[c] + Selenohomocysteine[c] &lt;=&gt; L-Selenomethionine[c] + Tetrahydropteroyltri-L-glutamate[c]</t>
  </si>
  <si>
    <t>R09366  </t>
  </si>
  <si>
    <t>Se-Methyl-L-selenocysteine[c] + H2O[c] &lt;=&gt; Methaneselenol[c] + Ammonium[c] + Pyruvate[c]</t>
  </si>
  <si>
    <t xml:space="preserve">R09372 </t>
  </si>
  <si>
    <t>methaneselenol:NADP+ oxidoreductase</t>
  </si>
  <si>
    <t>Methylselenic acid[c] + 2 H+[c] + 2 Nicotinamide adenine dinucleotide phosphate - reduced[c] &lt;=&gt; Methaneselenol[c] + 2 H2O[c] + 2 Nicotinamide adenine dinucleotide phosphate[c]</t>
  </si>
  <si>
    <t>R09394</t>
  </si>
  <si>
    <t>GTP 3',8-cyclase</t>
  </si>
  <si>
    <t>4.1.99.22</t>
  </si>
  <si>
    <t>Reduced acceptor[c] + S-Adenosyl-L-methionine[c] + GTP[c] &lt;=&gt; (8S)-3',8-Cyclo-7,8-dihydroguanosine 5'-triphosphate[c] + 5'-Deoxyadenosine[c] + Hydrogen-acceptor[c] + L-Methionine[c]</t>
  </si>
  <si>
    <t>GCODGGCH_00973</t>
  </si>
  <si>
    <t>R09395</t>
  </si>
  <si>
    <t>molybdopterin synthase catalytic subunit</t>
  </si>
  <si>
    <t>2.8.1.12</t>
  </si>
  <si>
    <t>2 Thiocarboxy-[sulfur-carrier protein][c] + cPMP[c] &lt;=&gt; Molybdopterin[c] + 2 Sulfur-carrier protein[c]</t>
  </si>
  <si>
    <t>GCODGGCH_00971</t>
  </si>
  <si>
    <t>R09726</t>
  </si>
  <si>
    <t>ATP:molybdopterin adenylyltransferase</t>
  </si>
  <si>
    <t>2.7.7.75</t>
  </si>
  <si>
    <t>Molybdopterin[c] + ATP[c] &lt;=&gt; Adenylated molybdopterin[c] + Diphosphate[c]</t>
  </si>
  <si>
    <t>R09735</t>
  </si>
  <si>
    <t>molybdopterin molybdotransferase</t>
  </si>
  <si>
    <t>2.10.1.1</t>
  </si>
  <si>
    <t>Adenylated molybdopterin[c] + Molybdate[c] &lt;=&gt; Molybdoenzyme molybdenum cofactor[c] + AMP[c] + H2O[c]</t>
  </si>
  <si>
    <t xml:space="preserve">R09736 </t>
  </si>
  <si>
    <t>Demethylmenaquinol[c] + S-Adenosyl-L-methionine[c] &lt;=&gt; Menaquinol[c] + S-Adenosyl-L-homocysteine[c]</t>
  </si>
  <si>
    <t>R10757</t>
  </si>
  <si>
    <t>1,4-dihydroxy-2-naphthoate octaprenyltransferase</t>
  </si>
  <si>
    <t>2.5.1.74</t>
  </si>
  <si>
    <t>all-trans-Polyprenyl diphosphate[c] + 1,4-Dihydroxy-2-naphthoate[c] &lt;=&gt; Demethylmenaquinol[c] + CO2[c] + Diphosphate[c]</t>
  </si>
  <si>
    <t>R11026</t>
  </si>
  <si>
    <t>(R)-5,6-dihydrothymine:NAD+ oxidoreductase</t>
  </si>
  <si>
    <t>(R)-5,6-Dihydrothymine[c] + Nicotinamide adenine dinucleotide[c] &lt;=&gt; H+[c] + Nicotinamide adenine dinucleotide - reduced[c] + Thymine[c]</t>
  </si>
  <si>
    <t>R11073</t>
  </si>
  <si>
    <t>7,8-dihydroneopterin 2'-epimerase</t>
  </si>
  <si>
    <t>5.1.99.8</t>
  </si>
  <si>
    <t>2-Amino-4-hydroxy-6-(D-erythro-1,2,3-trihydroxypropyl)-7,8-dihydropteridine[c] &lt;=&gt; 7,8-Dihydromonapterin[c]</t>
  </si>
  <si>
    <t>R11262</t>
  </si>
  <si>
    <t>3.2.1.133</t>
  </si>
  <si>
    <t>Maltodextrin[c] + H2O[c] &lt;=&gt; Maltose[c]</t>
  </si>
  <si>
    <t>R11319</t>
  </si>
  <si>
    <t>Thiamine diphosphate[c] =&gt; Thiamin triphosphate[c] + AMP[c]</t>
  </si>
  <si>
    <t>R11372</t>
  </si>
  <si>
    <t>cyclic pyranopterin monophosphate synthase</t>
  </si>
  <si>
    <t>4.6.1.17</t>
  </si>
  <si>
    <t>(8S)-3',8-Cyclo-7,8-dihydroguanosine 5'-triphosphate[c] + H2O[c] &lt;=&gt; cPMP[c] + Diphosphate[c]</t>
  </si>
  <si>
    <t>GCODGGCH_00987</t>
  </si>
  <si>
    <t>R11581</t>
  </si>
  <si>
    <t>molybdopterin-guanine dinucleotide biosynthesis protein A</t>
  </si>
  <si>
    <t>2.7.7.77</t>
  </si>
  <si>
    <t>Molybdoenzyme molybdenum cofactor[c] + GTP[c] &lt;=&gt; Guanylyl molybdenum cofactor[c] + Diphosphate[c]</t>
  </si>
  <si>
    <t>GCODGGCH_00986</t>
  </si>
  <si>
    <t>R12185</t>
  </si>
  <si>
    <t>Carbamate kinase (EC: 2.7.2.2) - 1b</t>
  </si>
  <si>
    <t>Bicarbonate[c] + Ammonium[c] =&gt; Carbamate[c] + H2O[c]</t>
  </si>
  <si>
    <t>RAFFINt</t>
  </si>
  <si>
    <t>Raffinose transport</t>
  </si>
  <si>
    <t>Raffinose[e] &lt;=&gt; Raffinose[c]</t>
  </si>
  <si>
    <t>RAFGH</t>
  </si>
  <si>
    <t>Raffinose galactohydrolase</t>
  </si>
  <si>
    <t>3.2.1.22</t>
  </si>
  <si>
    <t>H2O[c] + Raffinose[c] =&gt; D-Galactose[c] + Sucrose[c]</t>
  </si>
  <si>
    <t>RBFK</t>
  </si>
  <si>
    <t>riboflavin kinase</t>
  </si>
  <si>
    <t>2.7.1.26</t>
  </si>
  <si>
    <t>ATP[c] + Riboflavin[c] =&gt; ADP[c] + flavin mononucleotide[c] + H+[c]</t>
  </si>
  <si>
    <t>kegg.reaction/R00549;metanetx.reaction/MNXR103429;biocyc/META:RIBOFLAVINKIN-RXN;rhea/14357;rhea/14358;rhea/14359;rhea/14360;bigg.reaction/RBFK;sbo/SBO:0000375</t>
  </si>
  <si>
    <t>RBFSa</t>
  </si>
  <si>
    <t>2.5.1.78; 2.5.1.9</t>
  </si>
  <si>
    <t>4-(1-D-Ribitylamino)-5-aminouracil[c] + 3,4-dihydroxy-2-butanone 4-phosphate[c] =&gt; 6,7-Dimethyl-8-(1-D-ribityl)lumazine[c] + 2 H2O[c] + Phosphate[c]</t>
  </si>
  <si>
    <t>GCODGGCH_00883 or GCODGGCH_00881</t>
  </si>
  <si>
    <t>kegg.reaction/R04457;metanetx.reaction/MNXR97501;bigg.reaction/RBFSa;sbo/SBO:0000375</t>
  </si>
  <si>
    <t>RBK</t>
  </si>
  <si>
    <t>ribokinase</t>
  </si>
  <si>
    <t>ATP[c] + D-Ribose[c] =&gt; ADP[c] + H+[c] + alpha-D-Ribose 5-phosphate[c]</t>
  </si>
  <si>
    <t>metanetx.reaction/MNXR103431;bigg.reaction/RBK;sbo/SBO:0000375</t>
  </si>
  <si>
    <t>RBLK1</t>
  </si>
  <si>
    <t>L-ribulokinase (L-ribulose)</t>
  </si>
  <si>
    <t>2.7.1.16</t>
  </si>
  <si>
    <t>ATP[c] + L-Ribulose[c] =&gt; ADP[c] + H+[c] + L-Ribulose 5-phosphate[c]</t>
  </si>
  <si>
    <t xml:space="preserve">Pentose and glucuronate interconversions
</t>
  </si>
  <si>
    <t>RBP4E</t>
  </si>
  <si>
    <t>L-ribulose-phosphate 4-epimerase</t>
  </si>
  <si>
    <t>5.1.3.4</t>
  </si>
  <si>
    <t>L-Ribulose 5-phosphate[c] &lt;=&gt; D-Xylulose 5-phosphate[c]</t>
  </si>
  <si>
    <t>RHC</t>
  </si>
  <si>
    <t>ribosylhomocysteinase</t>
  </si>
  <si>
    <t>4.4.1.21</t>
  </si>
  <si>
    <t>H2O[c] + S-Ribosyl-L-homocysteine[c] =&gt; L-Homocysteine[c] + D-Ribose[c]</t>
  </si>
  <si>
    <t>GCODGGCH_01857</t>
  </si>
  <si>
    <t>RIBFLVt2</t>
  </si>
  <si>
    <t>riboflavin transport in via proton symport</t>
  </si>
  <si>
    <t>H+[e] + Riboflavin[e] =&gt; H+[c] + Riboflavin[c]</t>
  </si>
  <si>
    <t>RIBabc</t>
  </si>
  <si>
    <t>Ribose transport via ABC system</t>
  </si>
  <si>
    <t>3.6.3.17</t>
  </si>
  <si>
    <t>ATP[c] + H2O[c] + D-Ribose[e] =&gt; ADP[c] + H+[c] + Phosphate[c] + D-Ribose[c]</t>
  </si>
  <si>
    <t>GCODGGCH_01956</t>
  </si>
  <si>
    <t>metanetx.reaction/MNXR104034;biocyc/META:ABC-28-RXN;rhea/29903#1;rhea/29904#1;rhea/29905#1;rhea/29906#1;bigg.reaction/RIBabc;sbo/SBO:0000375</t>
  </si>
  <si>
    <t>RNDR1</t>
  </si>
  <si>
    <t>ribonucleoside-diphosphate reductase (ADP)</t>
  </si>
  <si>
    <t>1.17.4.1</t>
  </si>
  <si>
    <t>ADP[c] + Reduced thioredoxin[c] =&gt; dADP[c] + H2O[c] + Oxidized thioredoxin[c]</t>
  </si>
  <si>
    <t>GCODGGCH_00339 or GCODGGCH_01948 or GCODGGCH_00340 or GCODGGCH_01950 or GCODGGCH_00635 or GCODGGCH_01874 or GCODGGCH_00635 or GCODGGCH_01874 or GCODGGCH_01531 or GCODGGCH_02125 or GCODGGCH_01531 or GCODGGCH_02125 or GCODGGCH_01968</t>
  </si>
  <si>
    <t>kegg.reaction/R02017;metanetx.reaction/MNXR104060;biocyc/META:ADPREDUCT-RXN;bigg.reaction/RNDR1;sbo/SBO:0000375</t>
  </si>
  <si>
    <t>RNDR2</t>
  </si>
  <si>
    <t>ribonucleoside-diphosphate reductase (GDP)</t>
  </si>
  <si>
    <t>GDP[c] + Reduced thioredoxin[c] =&gt; dGDP[c] + H2O[c] + Oxidized thioredoxin[c]</t>
  </si>
  <si>
    <t>GCODGGCH_00339 or GCODGGCH_01948 or GCODGGCH_00340 or GCODGGCH_01950</t>
  </si>
  <si>
    <t>kegg.reaction/R02019;metanetx.reaction/MNXR104062;biocyc/META:GDPREDUCT-RXN;bigg.reaction/RNDR2;sbo/SBO:0000375</t>
  </si>
  <si>
    <t>RNDR3</t>
  </si>
  <si>
    <t>ribonucleoside-diphosphate reductase (CDP)</t>
  </si>
  <si>
    <t>CDP[c] + Reduced thioredoxin[c] =&gt; dCDP[c] + H2O[c] + Oxidized thioredoxin[c]</t>
  </si>
  <si>
    <t>kegg.reaction/R02024;metanetx.reaction/MNXR104064;biocyc/META:CDPREDUCT-RXN;bigg.reaction/RNDR3;sbo/SBO:0000375</t>
  </si>
  <si>
    <t>RNDR4</t>
  </si>
  <si>
    <t>ribonucleoside-diphosphate reductase (UDP)</t>
  </si>
  <si>
    <t>Reduced thioredoxin[c] + UDP[c] =&gt; dUDP[c] + H2O[c] + Oxidized thioredoxin[c]</t>
  </si>
  <si>
    <t>kegg.reaction/R02018;metanetx.reaction/MNXR104066;biocyc/META:UDPREDUCT-RXN;bigg.reaction/RNDR4;sbo/SBO:0000375</t>
  </si>
  <si>
    <t>RNTR1</t>
  </si>
  <si>
    <t>ribonucleoside-triphosphate reductase (ATP)</t>
  </si>
  <si>
    <t>1.17.4.2</t>
  </si>
  <si>
    <t>ATP[c] + Reduced thioredoxin[c] =&gt; dATP[c] + H2O[c] + Oxidized thioredoxin[c]</t>
  </si>
  <si>
    <t>GCODGGCH_01588 or GCODGGCH_02047 or GCODGGCH_01951 or GCODGGCH_02047</t>
  </si>
  <si>
    <t>kegg.reaction/R02014;metanetx.reaction/MNXR104070;bigg.reaction/RNTR1;sbo/SBO:0000375</t>
  </si>
  <si>
    <t>RNTR2</t>
  </si>
  <si>
    <t>ribonucleoside-triphosphate reductase (GTP)</t>
  </si>
  <si>
    <t>GTP[c] + Reduced thioredoxin[c] =&gt; dGTP[c] + H2O[c] + Oxidized thioredoxin[c]</t>
  </si>
  <si>
    <t>kegg.reaction/R02020;metanetx.reaction/MNXR104073;bigg.reaction/RNTR2;sbo/SBO:0000375</t>
  </si>
  <si>
    <t>RNTR3</t>
  </si>
  <si>
    <t>ribonucleoside-triphosphate reductase (CTP)</t>
  </si>
  <si>
    <t>CTP[c] + Reduced thioredoxin[c] =&gt; dCTP[c] + H2O[c] + Oxidized thioredoxin[c]</t>
  </si>
  <si>
    <t>kegg.reaction/R02022;metanetx.reaction/MNXR104076;bigg.reaction/RNTR3;sbo/SBO:0000375</t>
  </si>
  <si>
    <t>RNTR4</t>
  </si>
  <si>
    <t>ribonucleoside-triphosphate reductase (UTP)</t>
  </si>
  <si>
    <t>Reduced thioredoxin[c] + UTP[c] =&gt; dUTP[c] + H2O[c] + Oxidized thioredoxin[c]</t>
  </si>
  <si>
    <t>kegg.reaction/R02023;metanetx.reaction/MNXR104079;bigg.reaction/RNTR4;sbo/SBO:0000375</t>
  </si>
  <si>
    <t>RPE</t>
  </si>
  <si>
    <t>ribulose 5-phosphate 3-epimerase</t>
  </si>
  <si>
    <t>5.1.3.1</t>
  </si>
  <si>
    <t>D-Ribulose 5-phosphate[c] &lt;=&gt; D-Xylulose 5-phosphate[c]</t>
  </si>
  <si>
    <t>GCODGGCH_01452</t>
  </si>
  <si>
    <t>kegg.reaction/R01529;metanetx.reaction/MNXR104083;biocyc/META:RIBULP3EPIM-RXN;rhea/13677;rhea/13678;rhea/13679;rhea/13680;bigg.reaction/RPE;sbo/SBO:0000375</t>
  </si>
  <si>
    <t>RPI</t>
  </si>
  <si>
    <t>ribose-5-phosphate isomerase</t>
  </si>
  <si>
    <t>5.3.1.6</t>
  </si>
  <si>
    <t>alpha-D-Ribose 5-phosphate[c] &lt;=&gt; D-Ribulose 5-phosphate[c]</t>
  </si>
  <si>
    <t>GCODGGCH_00312 or GCODGGCH_02001</t>
  </si>
  <si>
    <t>metanetx.reaction/MNXR104084;bigg.reaction/RPI;sbo/SBO:0000375</t>
  </si>
  <si>
    <t>SCRP</t>
  </si>
  <si>
    <t>Sucrose phosphorylase</t>
  </si>
  <si>
    <t>2.4.1.7</t>
  </si>
  <si>
    <t>Phosphate[c] + Sucrose[c] =&gt; D-Fructose[c] + D-Glucose 1-phosphate[c]</t>
  </si>
  <si>
    <t>SDPDS</t>
  </si>
  <si>
    <t>succinyl-diaminopimelate desuccinylase</t>
  </si>
  <si>
    <t>3.5.1.18</t>
  </si>
  <si>
    <t>H2O[c] + N-Succinyl-LL-2,6-diaminoheptanedioate[c] =&gt; LL-2,6-Diaminoheptanedioate[c] + Succinate[c]</t>
  </si>
  <si>
    <t>GCODGGCH_00064 or GCODGGCH_01349 or OLD_iTN656_AC5u0009GL001436 or GCODGGCH_01559 or GCODGGCH_00064 or GCODGGCH_01349</t>
  </si>
  <si>
    <t>kegg.reaction/R02734;metanetx.reaction/MNXR104300;biocyc/META:SUCCDIAMINOPIMDESUCC-RXN;rhea/22608;rhea/22609;rhea/22610;rhea/22611;bigg.reaction/SDPDS;sbo/SBO:0000375</t>
  </si>
  <si>
    <t>SELCYSLY</t>
  </si>
  <si>
    <t>selenocysteine lyase</t>
  </si>
  <si>
    <t>4.4.1.16</t>
  </si>
  <si>
    <t>Reduced dithiothreitol[c] + L-Selenocysteine[c] =&gt; L-Alanine[c] + Oxidized dithiothreitol[c] + H+[c] + Selenide[c]</t>
  </si>
  <si>
    <t>GCODGGCH_00594 or GCODGGCH_00889 or GCODGGCH_00959</t>
  </si>
  <si>
    <t>SELM</t>
  </si>
  <si>
    <t>2.1.1.-</t>
  </si>
  <si>
    <t>Selenide[c] &lt;=&gt; Methaneselenol[c]</t>
  </si>
  <si>
    <t>SELM2</t>
  </si>
  <si>
    <t>Se-Methyl-L-selenocysteine[c] &lt;=&gt; L-Selenocysteine[c]</t>
  </si>
  <si>
    <t>SERD_L</t>
  </si>
  <si>
    <t>L-serine deaminase</t>
  </si>
  <si>
    <t>4.3.1.15; 4.3.1.17; 4.3.1.19</t>
  </si>
  <si>
    <t>L-Serine[c] =&gt; Ammonium[c] + Pyruvate[c]</t>
  </si>
  <si>
    <t>SERTRS</t>
  </si>
  <si>
    <t>Seryl-tRNA synthetase</t>
  </si>
  <si>
    <t>6.1.1.11</t>
  </si>
  <si>
    <t>ATP[c] + L-Serine[c] + tRNA(Ser)[c] =&gt; AMP[c] + Diphosphate[c] + L-Seryl-tRNA(Ser)[c]</t>
  </si>
  <si>
    <t>GCODGGCH_00074 or GCODGGCH_00074</t>
  </si>
  <si>
    <t>SERt3</t>
  </si>
  <si>
    <t>L-serine transport out via proton antiport</t>
  </si>
  <si>
    <t>H+[e] + L-Serine[c] =&gt; H+[c] + L-Serine[e]</t>
  </si>
  <si>
    <t>SERt6</t>
  </si>
  <si>
    <t>L-serine transport in/out via proton symport</t>
  </si>
  <si>
    <t>H+[e] + L-Serine[e] &lt;=&gt; H+[c] + L-Serine[c]</t>
  </si>
  <si>
    <t>or GCODGGCH_01808 or GCODGGCH_01785 or GCODGGCH_01786</t>
  </si>
  <si>
    <t>SHCHD2</t>
  </si>
  <si>
    <t>Nicotinamide adenine dinucleotide[c] + Sirohydrochlorin[c] =&gt; H+[c] + Nicotinamide adenine dinucleotide - reduced[c] + Sirochlorin[c]</t>
  </si>
  <si>
    <t>SPMDabc</t>
  </si>
  <si>
    <t>spermidine transport via ABC system</t>
  </si>
  <si>
    <t>ATP[c] + H2O[c] + Spermidine[e] =&gt; ADP[c] + H+[c] + Phosphate[c] + Spermidine[c]</t>
  </si>
  <si>
    <t>metanetx.reaction/MNXR104494;biocyc/META:ABC-24-RXN;rhea/29999#1;rhea/30000#1;rhea/30001#1;rhea/30002#1;bigg.reaction/SPMDabc;sbo/SBO:0000375</t>
  </si>
  <si>
    <t>SRCHCOC</t>
  </si>
  <si>
    <t>sirohydrochlorin cobaltochelatase</t>
  </si>
  <si>
    <t>4.99.1.3</t>
  </si>
  <si>
    <t>Co2+[c] + Sirohydrochlorin[c] =&gt; cobalt-precorrin2[c] + 3 H+[c]</t>
  </si>
  <si>
    <t>SSALx</t>
  </si>
  <si>
    <t>succinate-semialdehyde dehydrogenase (NAD)</t>
  </si>
  <si>
    <t>1.2.1.16; 1.2.1.24</t>
  </si>
  <si>
    <t>H2O[c] + Nicotinamide adenine dinucleotide[c] + Succinic semialdehyde[c] =&gt; 2 H+[c] + Nicotinamide adenine dinucleotide - reduced[c] + Succinate[c]</t>
  </si>
  <si>
    <t>GCODGGCH_00051</t>
  </si>
  <si>
    <t>kegg.reaction/R00713;metanetx.reaction/MNXR104540;biocyc/META:SUCCINATE-SEMIALDEHYDE-DEHYDROGENASE-RXN;rhea/13217;rhea/13218;rhea/13219;rhea/13220;bigg.reaction/SSALx;sbo/SBO:0000375</t>
  </si>
  <si>
    <t>SSALy</t>
  </si>
  <si>
    <t>succinate-semialdehyde dehydrogenase (NADP)</t>
  </si>
  <si>
    <t>1.2.1.16; 1.2.1.79</t>
  </si>
  <si>
    <t>H2O[c] + Nicotinamide adenine dinucleotide phosphate[c] + Succinic semialdehyde[c] =&gt; 2 H+[c] + Nicotinamide adenine dinucleotide phosphate - reduced[c] + Succinate[c]</t>
  </si>
  <si>
    <t>kegg.reaction/R00714;metanetx.reaction/MNXR104541;biocyc/META:SUCCSEMIALDDEHYDROG-RXN;rhea/13213;rhea/13214;rhea/13215;rhea/13216;bigg.reaction/SSALy;sbo/SBO:0000375</t>
  </si>
  <si>
    <t>SUCBZL</t>
  </si>
  <si>
    <t>o-succinylbenzoate-CoA ligase</t>
  </si>
  <si>
    <t>6.2.1.26</t>
  </si>
  <si>
    <t>ATP[c] + Coenzyme A[c] + o-Succinylbenzoate[c] =&gt; AMP[c] + Diphosphate[c] + O-Succinylbenzoyl-CoA[c]</t>
  </si>
  <si>
    <t>GCODGGCH_01120</t>
  </si>
  <si>
    <t>kegg.reaction/R04030;metanetx.reaction/MNXR104612;biocyc/META:O-SUCCINYLBENZOATE-COA-LIG-RXN;rhea/17009;rhea/17010;rhea/17011;rhea/17012;bigg.reaction/SUCBZL;sbo/SBO:0000375</t>
  </si>
  <si>
    <t>SUCH</t>
  </si>
  <si>
    <t>alpha-glucoside glucohydrolase</t>
  </si>
  <si>
    <t xml:space="preserve"> 3.2.1.10; 3.2.1.20; 3.2.1.48;3.2.1.20;3.2.1.26</t>
  </si>
  <si>
    <t>H2O[c] + Sucrose[c] =&gt; D-Fructose[c] + D-Glucose[c]</t>
  </si>
  <si>
    <t>SUCtpp</t>
  </si>
  <si>
    <t>Sucrose transport via permease</t>
  </si>
  <si>
    <t>Sucrose[e] &lt;=&gt; Sucrose[c]</t>
  </si>
  <si>
    <t>SULABC</t>
  </si>
  <si>
    <t>Sulfate transporter via ABC</t>
  </si>
  <si>
    <t>ATP[c] + H2O[c] + Sulfate[e] =&gt; ADP[c] + H+[c] + Phosphate[c] + Sulfate[c]</t>
  </si>
  <si>
    <t>GCODGGCH_01535 or GCODGGCH_01535</t>
  </si>
  <si>
    <t>SULR</t>
  </si>
  <si>
    <t>sulfite reductase (Flavodoxin)</t>
  </si>
  <si>
    <t>1.8.1.2</t>
  </si>
  <si>
    <t>5 H+[c] + 3 Nicotinamide adenine dinucleotide phosphate - reduced[c] + Sulfite[c] =&gt; 3 H2O[c] + Hydrogen sulfide[c] + 3 Nicotinamide adenine dinucleotide phosphate[c]</t>
  </si>
  <si>
    <t>GCODGGCH_01140</t>
  </si>
  <si>
    <t>kegg.reaction/R00858;metanetx.reaction/MNXR104650;biocyc/META:SULFITE-REDUCT-RXN;rhea/13801;rhea/13802;rhea/13803;rhea/13804;bigg.reaction/SULR;sbo/SBO:0000375</t>
  </si>
  <si>
    <t>TDMAT6</t>
  </si>
  <si>
    <t>Tetradecanoyl-[acyl-carrier protein]:malonyl-CoA  C-acyltransferase</t>
  </si>
  <si>
    <t>trans-Tetradec-2-enoyl-[acyl-carrier protein][c] + H+[c] + Nicotinamide adenine dinucleotide - reduced[c] =&gt; Nicotinamide adenine dinucleotide[c] + Tetradecanoyl-[acyl-carrier protein][c]</t>
  </si>
  <si>
    <t>bigg.reaction/TDMAT6;sbo/SBO:0000375</t>
  </si>
  <si>
    <t>TDPDRE</t>
  </si>
  <si>
    <t>dTDP-4-dehydrorhamnose 3,5-epimerase</t>
  </si>
  <si>
    <t>5.1.3.13</t>
  </si>
  <si>
    <t>dTDP-4-dehydro-6-deoxy-D-glucose[c] =&gt; dTDP-4-dehydro-6-deoxy-L-mannose[c]</t>
  </si>
  <si>
    <t>GCODGGCH_00112</t>
  </si>
  <si>
    <t>TDPDRR</t>
  </si>
  <si>
    <t>dTDP-4-dehydrorhamnose reductase</t>
  </si>
  <si>
    <t>1.1.1.133</t>
  </si>
  <si>
    <t>dTDP-6-deoxy-L-mannose[c] + Nicotinamide adenine dinucleotide phosphate[c] &lt;=&gt; dTDP-4-dehydro-6-deoxy-L-mannose[c] + H+[c] + Nicotinamide adenine dinucleotide phosphate - reduced[c]</t>
  </si>
  <si>
    <t>GCODGGCH_00114</t>
  </si>
  <si>
    <t>kegg.reaction/R02777;metanetx.reaction/MNXR104760;biocyc/META:DTDPDEHYRHAMREDUCT-RXN;rhea/21796;rhea/21797;rhea/21798;rhea/21799;bigg.reaction/TDPDRR;sbo/SBO:0000375</t>
  </si>
  <si>
    <t>TDPGDH</t>
  </si>
  <si>
    <t>dTDPglucose 4,6-dehydratase</t>
  </si>
  <si>
    <t>4.2.1.46</t>
  </si>
  <si>
    <t>dTDPglucose[c] =&gt; dTDP-4-dehydro-6-deoxy-D-glucose[c] + H2O[c]</t>
  </si>
  <si>
    <t>GCODGGCH_00113 or GCODGGCH_01630</t>
  </si>
  <si>
    <t>kegg.reaction/R06513;metanetx.reaction/MNXR104761;biocyc/META:DTDPGLUCDEHYDRAT-RXN;rhea/17221;rhea/17222;rhea/17223;rhea/17224;bigg.reaction/TDPGDH;sbo/SBO:0000375</t>
  </si>
  <si>
    <t>THDPS</t>
  </si>
  <si>
    <t>tetrahydropicolinate succinylase</t>
  </si>
  <si>
    <t>2.3.1.117</t>
  </si>
  <si>
    <t>H2O[c] + Succinyl-CoA[c] + 2,3,4,5-Tetrahydrodipicolinate[c] =&gt; Coenzyme A[c] + N-Succinyl-2-L-amino-6-oxoheptanedioate[c]</t>
  </si>
  <si>
    <t>kegg.reaction/R04365;metanetx.reaction/MNXR104806;biocyc/META:TETHYDPICSUCC-RXN;rhea/17325;rhea/17326;rhea/17327;rhea/17328;bigg.reaction/THDPS;sbo/SBO:0000375</t>
  </si>
  <si>
    <t>THFGLUS</t>
  </si>
  <si>
    <t>Tetrahydrofolate:L-glutamate gamma-ligase (ADP-forming)</t>
  </si>
  <si>
    <t>6.3.2.17</t>
  </si>
  <si>
    <t>ATP[c] + L-Glutamate[c] + 5,6,7,8-Tetrahydrofolate[c] &lt;=&gt; ADP[c] + H+[c] + Phosphate[c] + Tetrahydrofolyl-[Glu](2)[c]</t>
  </si>
  <si>
    <t>metanetx.reaction/MNXR104808;bigg.reaction/THFGLUS;sbo/SBO:0000375</t>
  </si>
  <si>
    <t>THMabc</t>
  </si>
  <si>
    <t>thiamine transport via ABC system</t>
  </si>
  <si>
    <t>ATP[c] + H2O[c] + Thiamin[e] =&gt; ADP[c] + H+[c] + Phosphate[c] + Thiamin[c]</t>
  </si>
  <si>
    <t>THRD</t>
  </si>
  <si>
    <t>L-threonine dehydrogenase</t>
  </si>
  <si>
    <t>1.1.1.103</t>
  </si>
  <si>
    <t>Nicotinamide adenine dinucleotide[c] + L-Threonine[c] =&gt; L-2-Amino-3-oxobutanoate[c] + H+[c] + Nicotinamide adenine dinucleotide - reduced[c]</t>
  </si>
  <si>
    <t>THRPDC</t>
  </si>
  <si>
    <t>Threonine-phosphate decarboxylase (EC 4.1.1.81)</t>
  </si>
  <si>
    <t>4.1.1.81</t>
  </si>
  <si>
    <t>H+[c] + L-Threonine phosphate[c] =&gt; D-1-Aminopropan-2-ol O-phosphate[c] + CO2[c]</t>
  </si>
  <si>
    <t>THRTRS</t>
  </si>
  <si>
    <t>Threonyl-tRNA synthetase</t>
  </si>
  <si>
    <t>6.1.1.3</t>
  </si>
  <si>
    <t>ATP[c] + L-Threonine[c] + tRNA(Thr)[c] =&gt; AMP[c] + Diphosphate[c] + L-Threonyl-tRNA(Thr)[c]</t>
  </si>
  <si>
    <t>GCODGGCH_02119</t>
  </si>
  <si>
    <t>THRt3</t>
  </si>
  <si>
    <t>L-threonine transport out via proton antiport</t>
  </si>
  <si>
    <t>H+[e] + L-Threonine[c] =&gt; H+[c] + L-Threonine[e]</t>
  </si>
  <si>
    <t>THZPSN</t>
  </si>
  <si>
    <t>thiazole phosphate synthesis</t>
  </si>
  <si>
    <t>ATP[c] + L-Cysteine[c] + 1-deoxy-D-xylulose 5-phosphate[c] + L-Tyrosine[c] =&gt; 4-Hydroxy-benzyl alcohol[c] + 4-Methyl-5-(2-phosphoethyl)-thiazole[c] + L-Alanine[c] + AMP[c] + CO2[c] + H2O[c] + H+[c] + Diphosphate[c]</t>
  </si>
  <si>
    <t>GCODGGCH_01805</t>
  </si>
  <si>
    <t>THZPSN2</t>
  </si>
  <si>
    <t>MPT synthase sulfurylated small subunit (MoaD-SH)[c] + 1-deoxy-D-xylulose 5-phosphate[c] + Glycine[c] + Nicotinamide adenine dinucleotide phosphate[c] =&gt; 4-Methyl-5-(2-phosphoethyl)-thiazole[c] + MPT synthase small subunit MoaD[c] + CO2[c] + 2 H2O[c] + 2 H+[c] + Nicotinamide adenine dinucleotide phosphate - reduced[c]</t>
  </si>
  <si>
    <t>TMDK1</t>
  </si>
  <si>
    <t>thymidine kinase (ATP:thymidine)</t>
  </si>
  <si>
    <t>ATP[c] + Thymidine[c] =&gt; ADP[c] + dTMP[c] + H+[c]</t>
  </si>
  <si>
    <t>kegg.reaction/R01567;metanetx.reaction/MNXR104885;biocyc/META:THYKI-RXN;rhea/19129;rhea/19130;rhea/19131;rhea/19132;bigg.reaction/TMDK1;sbo/SBO:0000375</t>
  </si>
  <si>
    <t>TMDK2</t>
  </si>
  <si>
    <t>thymidine kinase (GTP:Thymidine)</t>
  </si>
  <si>
    <t>GTP[c] + Thymidine[c] =&gt; dTMP[c] + GDP[c] + H+[c]</t>
  </si>
  <si>
    <t>bigg.reaction/TMDK2;sbo/SBO:0000375</t>
  </si>
  <si>
    <t>TMDPK</t>
  </si>
  <si>
    <t>thiamine diphosphokinase</t>
  </si>
  <si>
    <t>2.7.6.2</t>
  </si>
  <si>
    <t>ATP[c] + Thiamin[c] =&gt; AMP[c] + H+[c] + Thiamine diphosphate[c]</t>
  </si>
  <si>
    <t>GCODGGCH_01451</t>
  </si>
  <si>
    <t>TMDPP</t>
  </si>
  <si>
    <t>pyrimidine-nucleoside phosphorylase (thymine)</t>
  </si>
  <si>
    <t>2.4.2.2; 2.4.2.4</t>
  </si>
  <si>
    <t>2-Deoxy-D-ribose 1-phosphate[c] + Thymine[c] &lt;=&gt; Phosphate[c] + Thymidine[c]</t>
  </si>
  <si>
    <t>TMDS</t>
  </si>
  <si>
    <t>thymidylate synthase</t>
  </si>
  <si>
    <t>2.1.1.45</t>
  </si>
  <si>
    <t>dUMP[c] + 5,10-Methylenetetrahydrofolate[c] =&gt; 7,8-Dihydrofolate[c] + dTMP[c]</t>
  </si>
  <si>
    <t>GCODGGCH_01228</t>
  </si>
  <si>
    <t>kegg.reaction/R02101;metanetx.reaction/MNXR104889;rhea/12104;rhea/12105;rhea/12106;rhea/12107;bigg.reaction/TMDS;sbo/SBO:0000375</t>
  </si>
  <si>
    <t>TMPPP</t>
  </si>
  <si>
    <t>thiamine-phosphate diphosphorylase</t>
  </si>
  <si>
    <t>2.5.1.3</t>
  </si>
  <si>
    <t>2-Methyl-4-amino-5-hydroxymethylpyrimidine diphosphate[c] + 4-Methyl-5-(2-phosphoethyl)-thiazole[c] + H+[c] =&gt; Diphosphate[c] + Thiamin monophosphate[c]</t>
  </si>
  <si>
    <t>GCODGGCH_01334</t>
  </si>
  <si>
    <t>kegg.reaction/R03223;metanetx.reaction/MNXR104908;biocyc/META:THI-P-SYN-RXN;rhea/22328;rhea/22329;rhea/22330;rhea/22331;bigg.reaction/TMPPP;sbo/SBO:0000375</t>
  </si>
  <si>
    <t>TPI</t>
  </si>
  <si>
    <t>triose-phosphate isomerase</t>
  </si>
  <si>
    <t>5.3.1.1</t>
  </si>
  <si>
    <t>Dihydroxyacetone phosphate[c] &lt;=&gt; Glyceraldehyde 3-phosphate[c]</t>
  </si>
  <si>
    <t>GCODGGCH_00442 or GCODGGCH_00487 or GCODGGCH_00442 or GCODGGCH_00487 or GCODGGCH_00442 or GCODGGCH_00487</t>
  </si>
  <si>
    <t>kegg.reaction/R01015;metanetx.reaction/MNXR104918;biocyc/META:TRIOSEPISOMERIZATION-RXN;rhea/18585;rhea/18586;rhea/18587;rhea/18588;bigg.reaction/TPI;sbo/SBO:0000375</t>
  </si>
  <si>
    <t>TRDR</t>
  </si>
  <si>
    <t>thioredoxin reductase (NADPH)</t>
  </si>
  <si>
    <t>1.6.4.5; 1.8.1.9</t>
  </si>
  <si>
    <t>H+[c] + Nicotinamide adenine dinucleotide phosphate - reduced[c] + Oxidized thioredoxin[c] =&gt; Nicotinamide adenine dinucleotide phosphate[c] + Reduced thioredoxin[c]</t>
  </si>
  <si>
    <t>kegg.reaction/R02016;metanetx.reaction/MNXR104766;biocyc/META:THIOREDOXIN-REDUCT-NADPH-RXN;bigg.reaction/TRDR;sbo/SBO:0000375</t>
  </si>
  <si>
    <t>TREP</t>
  </si>
  <si>
    <t>2.4.1.64</t>
  </si>
  <si>
    <t>Phosphate[c] + Trehalose[c] &lt;=&gt; beta-D-Glucose 1-phosphate[c] + D-Glucose[c]</t>
  </si>
  <si>
    <t>GCODGGCH_00029</t>
  </si>
  <si>
    <t>TREt</t>
  </si>
  <si>
    <t>trehalose transport in/out via proton symport</t>
  </si>
  <si>
    <t>H+[e] + Trehalose[e] &lt;=&gt; H+[c] + Trehalose[c]</t>
  </si>
  <si>
    <t>TRPTRS</t>
  </si>
  <si>
    <t>Tryptophanyl-tRNA synthetase</t>
  </si>
  <si>
    <t>6.1.1.2</t>
  </si>
  <si>
    <t>ATP[c] + tRNA(Trp)[c] + L-Tryptophan[c] =&gt; AMP[c] + Diphosphate[c] + L-Tryptophanyl-tRNA(Trp)[c]</t>
  </si>
  <si>
    <t>GCODGGCH_00076</t>
  </si>
  <si>
    <t>TRPt6</t>
  </si>
  <si>
    <t>L-tryptophan transport in/out via proton symport</t>
  </si>
  <si>
    <t>H+[e] + L-Tryptophan[e] &lt;=&gt; H+[c] + L-Tryptophan[c]</t>
  </si>
  <si>
    <t>TYRTRS</t>
  </si>
  <si>
    <t>Tyrosyl-tRNA synthetase</t>
  </si>
  <si>
    <t>6.1.1.1</t>
  </si>
  <si>
    <t>ATP[c] + tRNA(Tyr)[c] + L-Tyrosine[c] =&gt; AMP[c] + Diphosphate[c] + L-Tyrosyl-tRNA(Tyr)[c]</t>
  </si>
  <si>
    <t>TYRt6</t>
  </si>
  <si>
    <t>L-tyrosine transport in/out via proton symport</t>
  </si>
  <si>
    <t>H+[e] + L-Tyrosine[e] &lt;=&gt; H+[c] + L-Tyrosine[c]</t>
  </si>
  <si>
    <t>GCODGGCH_01686 or GCODGGCH_01686</t>
  </si>
  <si>
    <t>UAAGDS</t>
  </si>
  <si>
    <t>UDP-N-acetylmuramoyl-L-alanyl-D-glutamyl-meso-2,6-diaminopimelate synthetase</t>
  </si>
  <si>
    <t>6.3.2.13</t>
  </si>
  <si>
    <t>meso-2,6-Diaminoheptanedioate[c] + ATP[c] + UDP-N-acetylmuramoyl-L-alanyl-D-glutamate[c] =&gt; ADP[c] + H+[c] + Phosphate[c] + UDP-N-acetylmuramoyl-L-alanyl-D-gamma-glutamyl-meso-2,6-diaminopimelate[c]</t>
  </si>
  <si>
    <t>GCODGGCH_00500 or GCODGGCH_02142</t>
  </si>
  <si>
    <t>metanetx.reaction/MNXR105013;bigg.reaction/UAAGDS;sbo/SBO:0000375</t>
  </si>
  <si>
    <t>UAG2E</t>
  </si>
  <si>
    <t>UDP-N-acetylglucosamine 2-epimerase</t>
  </si>
  <si>
    <t>5.1.3.14</t>
  </si>
  <si>
    <t>UDP-N-acetyl-D-glucosamine[c] &lt;=&gt; UDP-N-acetyl-D-mannosamine[c]</t>
  </si>
  <si>
    <t>UAGCVT</t>
  </si>
  <si>
    <t>UDP-N-acetylglucosamine 1-carboxyvinyltransferase</t>
  </si>
  <si>
    <t>2.5.1.7</t>
  </si>
  <si>
    <t>Phosphoenolpyruvate[c] + UDP-N-acetyl-D-glucosamine[c] =&gt; Phosphate[c] + UDP-N-acetyl-3-O-(1-carboxyvinyl)-D-glucosamine[c]</t>
  </si>
  <si>
    <t>GCODGGCH_00238 or GCODGGCH_00238</t>
  </si>
  <si>
    <t>kegg.reaction/R00660;metanetx.reaction/MNXR105032;biocyc/META:UDPNACETYLGLUCOSAMENOLPYRTRANS-RXN;rhea/18681;rhea/18682;rhea/18683;rhea/18684;bigg.reaction/UAGCVT;sbo/SBO:0000375</t>
  </si>
  <si>
    <t>UAGDP</t>
  </si>
  <si>
    <t>UDP-N-acetylglucosamine diphosphorylase</t>
  </si>
  <si>
    <t>2.7.7.23</t>
  </si>
  <si>
    <t>N-Acetyl-D-glucosamine 1-phosphate[c] + H+[c] + UTP[c] =&gt; Diphosphate[c] + UDP-N-acetyl-D-glucosamine[c]</t>
  </si>
  <si>
    <t>metanetx.reaction/MNXR105033;bigg.reaction/UAGDP;sbo/SBO:0000375</t>
  </si>
  <si>
    <t>UAGPT5</t>
  </si>
  <si>
    <t>UDP-N-acetylglucosamine-N-acetylmuramyl-(pentapeptide)pyrophosphoryl-undecaprenol N-acetylglucosamine transferase</t>
  </si>
  <si>
    <t>UDP-N-acetyl-D-glucosamine[c] + Undecaprenyl-diphospho-N-acetylmuramoyl-L-alanyl-D-glutamyl-meso-2,6-diaminopimeloyl-D-alanyl-D-lactate[c] =&gt; H+[c] + Undecaprenyl-diphospho-N-acetylmuramoyl-(N-acetylglucosamine)-L-alanyl-D-glutamyl-meso-2,6-diaminopimeloyl-D-alanyl-D-lactate[c] + UDP[c]</t>
  </si>
  <si>
    <t>UAMAGS</t>
  </si>
  <si>
    <t>UDP-N-acetylmuramoyl-L-alanyl-D-glutamate synthetase</t>
  </si>
  <si>
    <t>6.3.2.9</t>
  </si>
  <si>
    <t>ATP[c] + D-Glutamate[c] + UDP-N-acetylmuramoyl-L-alanine[c] =&gt; ADP[c] + H+[c] + Phosphate[c] + UDP-N-acetylmuramoyl-L-alanyl-D-glutamate[c]</t>
  </si>
  <si>
    <t>GCODGGCH_00707</t>
  </si>
  <si>
    <t>kegg.reaction/R02783;metanetx.reaction/MNXR105038;biocyc/META:UDP-NACMURALA-GLU-LIG-RXN;rhea/16429;rhea/16430;rhea/16431;rhea/16432;bigg.reaction/UAMAGS;sbo/SBO:0000375</t>
  </si>
  <si>
    <t>UAMAS</t>
  </si>
  <si>
    <t>UDP-N-acetylmuramoyl-L-alanine synthetase</t>
  </si>
  <si>
    <t>6.3.2.8</t>
  </si>
  <si>
    <t>L-Alanine[c] + ATP[c] + UDP-N-acetylmuramate[c] =&gt; ADP[c] + H+[c] + Phosphate[c] + UDP-N-acetylmuramoyl-L-alanine[c]</t>
  </si>
  <si>
    <t>GCODGGCH_01529 or GCODGGCH_01529</t>
  </si>
  <si>
    <t>kegg.reaction/R03193;metanetx.reaction/MNXR105039;biocyc/META:UDP-NACMUR-ALA-LIG-RXN;rhea/23372;rhea/23373;rhea/23374;rhea/23375;bigg.reaction/UAMAS;sbo/SBO:0000375</t>
  </si>
  <si>
    <t>UAPGR</t>
  </si>
  <si>
    <t>UDP-N-acetylenolpyruvoylglucosamine reductase</t>
  </si>
  <si>
    <t>1.3.1.98</t>
  </si>
  <si>
    <t>H+[c] + Nicotinamide adenine dinucleotide phosphate - reduced[c] + UDP-N-acetyl-3-O-(1-carboxyvinyl)-D-glucosamine[c] =&gt; Nicotinamide adenine dinucleotide phosphate[c] + UDP-N-acetylmuramate[c]</t>
  </si>
  <si>
    <t>GCODGGCH_00455</t>
  </si>
  <si>
    <t>kegg.reaction/R03192;metanetx.reaction/MNXR105041;biocyc/META:UDPNACETYLMURAMATEDEHYDROG-RXN;rhea/12248;rhea/12249;rhea/12250;rhea/12251;bigg.reaction/UAPGR;sbo/SBO:0000375</t>
  </si>
  <si>
    <t>UDCPDP</t>
  </si>
  <si>
    <t>undecaprenyl-diphosphatase</t>
  </si>
  <si>
    <t>3.6.1.27</t>
  </si>
  <si>
    <t>H2O[c] + Undecaprenyl diphosphate[c] =&gt; H+[c] + Phosphate[c] + Undecaprenyl phosphate[c]</t>
  </si>
  <si>
    <t>OLD_iTN656_AC5u0009GL000275 or GCODGGCH_01772</t>
  </si>
  <si>
    <t>UDCPDPS</t>
  </si>
  <si>
    <t>Undecaprenyl diphosphate synthase</t>
  </si>
  <si>
    <t>2.5.1.-; 2.5.1.31; 2.5.1.M1</t>
  </si>
  <si>
    <t>Farnesyl diphosphate[c] + 8 Isopentenyl diphosphate[c] =&gt; 8 Diphosphate[c] + Undecaprenyl diphosphate[c]</t>
  </si>
  <si>
    <t>GCODGGCH_00952 or GCODGGCH_00814 or GCODGGCH_01466</t>
  </si>
  <si>
    <t>metanetx.reaction/MNXR105043;biocyc/META:RXN-9138;bigg.reaction/UDCPDPS;sbo/SBO:0000375</t>
  </si>
  <si>
    <t>UDCPK</t>
  </si>
  <si>
    <t>undecaprenol kinase</t>
  </si>
  <si>
    <t>2.7.1.66</t>
  </si>
  <si>
    <t>ATP[c] + Undecaprenol[c] =&gt; ADP[c] + H+[c] + Undecaprenyl phosphate[c]</t>
  </si>
  <si>
    <t>GCODGGCH_01284</t>
  </si>
  <si>
    <t>UDPDPS</t>
  </si>
  <si>
    <t>undecaprenyl-diphosphate synthase</t>
  </si>
  <si>
    <t>2.5.1.-; 2.5.1.31</t>
  </si>
  <si>
    <t>all-trans-Decaprenyl diphosphate[c] + Isopentenyl diphosphate[c] =&gt; Diphosphate[c] + Undecaprenyl diphosphate[c]</t>
  </si>
  <si>
    <t>GCODGGCH_00814</t>
  </si>
  <si>
    <t>UDPG4E</t>
  </si>
  <si>
    <t>UDPglucose[c] &lt;=&gt; UDPgalactose[c]</t>
  </si>
  <si>
    <t>kegg.reaction/R00291;metanetx.reaction/MNXR105057;biocyc/META:UDPGLUCEPIM-RXN;rhea/22168;rhea/22169;rhea/22170;rhea/22171;bigg.reaction/UDPG4E;sbo/SBO:0000375</t>
  </si>
  <si>
    <t>UDPGALM</t>
  </si>
  <si>
    <t>UDPgalactopyranose mutase</t>
  </si>
  <si>
    <t>5.4.99.9</t>
  </si>
  <si>
    <t>UDPgalactose[c] =&gt; UDP-D-galacto-1,4-furanose[c]</t>
  </si>
  <si>
    <t>GCODGGCH_01645 or GCODGGCH_01645</t>
  </si>
  <si>
    <t>kegg.reaction/R00505;metanetx.reaction/MNXR105058;biocyc/META:GALPMUT-RXN;rhea/24132;rhea/24133;rhea/24134;rhea/24135;bigg.reaction/UDPGALM;sbo/SBO:0000375</t>
  </si>
  <si>
    <t xml:space="preserve">Galactose metabolism
</t>
  </si>
  <si>
    <t>UGLDDS1</t>
  </si>
  <si>
    <t>UDP-N-acetylmuramoyl-L-alanyl-D-glutamyl-L-lysyl-D-alanyl-D-alanine synthetase (alpha-glutamate)</t>
  </si>
  <si>
    <t>6.3.2.10; 6.3.2.4</t>
  </si>
  <si>
    <t>D-Alanyl-D-alanine[c] + ATP[c] + UDP-N-acetylmuramoyl-L-alanyl-D-glutamyl-L-lysine[c] =&gt; ADP[c] + Phosphate[c] + UDP-N-acetylmuramoyl-L-alanyl-D-glutamyl-L-lysyl-D-alanyl-D-alanine[c]</t>
  </si>
  <si>
    <t>metanetx.reaction/MNXR105087;bigg.reaction/UGLDDS1;sbo/SBO:0000375</t>
  </si>
  <si>
    <t>UGLDDS2</t>
  </si>
  <si>
    <t>UDP-N-acetylmuramoyl-L-alanyl-D-glutamyl-L-lysyl-D-alanyl-D-alanine synthetase (gamma-glutamate)</t>
  </si>
  <si>
    <t>D-Alanyl-D-alanine[c] + ATP[c] + UDP-N-acetylmuramoyl-L-alanyl-gamma-D-glutamyl-L-lysine[c] =&gt; ADP[c] + H+[c] + Phosphate[c] + UDP-N-acetylmuramoyl-L-alanyl-gamma-D-glutamyl-L-lysyl-D-alanyl-D-alanine[c]</t>
  </si>
  <si>
    <t>UGMDDS2</t>
  </si>
  <si>
    <t>UDP-N-acetylmuramoyl-L-alanyl-D-glutamyl-meso-2,6-diaminopimeloyl-D-alanyl-D-lactate synthetase</t>
  </si>
  <si>
    <t>D-Alanyl-D-lactate[c] + ATP[c] + UDP-N-acetylmuramoyl-L-alanyl-D-gamma-glutamyl-meso-2,6-diaminopimelate[c] =&gt; ADP[c] + H+[c] + Phosphate[c] + UDP-N-acetylmuramoyl-L-alanyl-D-glutamyl-meso-2,6-diaminopimeloyl-D-alanyl-D-lactate[c]</t>
  </si>
  <si>
    <t>UMPK</t>
  </si>
  <si>
    <t>uridylate kinase (UMP)</t>
  </si>
  <si>
    <t>2.7.4.14; 2.7.4.22; 2.7.4.4</t>
  </si>
  <si>
    <t>ATP[c] + UMP[c] =&gt; ADP[c] + UDP[c]</t>
  </si>
  <si>
    <t>kegg.reaction/R00158;metanetx.reaction/MNXR105118;biocyc/META:RXN-12002;rhea/24400;rhea/24401;rhea/24402;rhea/24403;bigg.reaction/UMPK;sbo/SBO:0000375</t>
  </si>
  <si>
    <t>UPP3MT</t>
  </si>
  <si>
    <t>uroporphyrinogen methyltransferase</t>
  </si>
  <si>
    <t>2 S-Adenosyl-L-methionine[c] + Uroporphyrinogen III[c] =&gt; 2 S-Adenosyl-L-homocysteine[c] + H+[c] + Sirohydrochlorin[c]</t>
  </si>
  <si>
    <t>UPP3S</t>
  </si>
  <si>
    <t>uroporphyrinogen-III synthase</t>
  </si>
  <si>
    <t>4.2.1.75</t>
  </si>
  <si>
    <t>Hydroxymethylbilane[c] =&gt; H2O[c] + Uroporphyrinogen III[c]</t>
  </si>
  <si>
    <t>UPPRT</t>
  </si>
  <si>
    <t>uracil phosphoribosyltransferase</t>
  </si>
  <si>
    <t>2.4.2.9</t>
  </si>
  <si>
    <t>5-Phospho-alpha-D-ribose 1-diphosphate[c] + Uracil[c] =&gt; Diphosphate[c] + UMP[c]</t>
  </si>
  <si>
    <t>GCODGGCH_00506</t>
  </si>
  <si>
    <t>kegg.reaction/R00966;metanetx.reaction/MNXR105142;biocyc/META:URACIL-PRIBOSYLTRANS-RXN;rhea/13017;rhea/13018;rhea/13019;rhea/13020;bigg.reaction/UPPRT;sbo/SBO:0000375</t>
  </si>
  <si>
    <t>URAt2</t>
  </si>
  <si>
    <t>uracil transport in via proton symport</t>
  </si>
  <si>
    <t>H+[e] + Uracil[e] =&gt; H+[c] + Uracil[c]</t>
  </si>
  <si>
    <t>GCODGGCH_00509</t>
  </si>
  <si>
    <t>metanetx.reaction/MNXR105148;biocyc/META:TRANS-RXN-132;rhea/29239;rhea/29240;rhea/29241;rhea/29242;bigg.reaction/URAt2;sbo/SBO:0000375</t>
  </si>
  <si>
    <t>URIDK2</t>
  </si>
  <si>
    <t>uridylate kinase (dUMP)</t>
  </si>
  <si>
    <t>2.7.4.4; 2.7.4.9;2.7.4.13;2.7.4.9</t>
  </si>
  <si>
    <t>ATP[c] + dUMP[c] =&gt; ADP[c] + dUDP[c]</t>
  </si>
  <si>
    <t>GCODGGCH_00812 or GCODGGCH_01236</t>
  </si>
  <si>
    <t>URIK1</t>
  </si>
  <si>
    <t>uridine kinase (ATP:Uridine)</t>
  </si>
  <si>
    <t>ATP[c] + Uridine[c] =&gt; ADP[c] + H+[c] + UMP[c]</t>
  </si>
  <si>
    <t>kegg.reaction/R00964;metanetx.reaction/MNXR105162;biocyc/META:URIDINEKIN-RXN;rhea/16825;rhea/16826;rhea/16827;rhea/16828;bigg.reaction/URIK1;sbo/SBO:0000375</t>
  </si>
  <si>
    <t>URIK2</t>
  </si>
  <si>
    <t>uridine kinase (GTP:Uridine)</t>
  </si>
  <si>
    <t>2.7.1.48</t>
  </si>
  <si>
    <t>GTP[c] + Uridine[c] =&gt; GDP[c] + H+[c] + UMP[c]</t>
  </si>
  <si>
    <t>kegg.reaction/R00968;metanetx.reaction/MNXR105163;biocyc/META:URKI-RXN;rhea/27650;rhea/27651;rhea/27652;rhea/27653;bigg.reaction/URIK2;sbo/SBO:0000375</t>
  </si>
  <si>
    <t>URIK3</t>
  </si>
  <si>
    <t>uridine kinase (ITP:Uridine)</t>
  </si>
  <si>
    <t>ITP[c] + Uridine[c] =&gt; H+[c] + IDP[c] + UMP[c]</t>
  </si>
  <si>
    <t>kegg.reaction/R00970;metanetx.reaction/MNXR105164;bigg.reaction/URIK3;sbo/SBO:0000375</t>
  </si>
  <si>
    <t>VALTRS</t>
  </si>
  <si>
    <t>Valyl-tRNA synthetase</t>
  </si>
  <si>
    <t>6.1.1.9</t>
  </si>
  <si>
    <t>ATP[c] + tRNA(Val)[c] + L-Valine[c] =&gt; AMP[c] + Diphosphate[c] + L-Valyl-tRNA(Val)[c]</t>
  </si>
  <si>
    <t>GCODGGCH_00604</t>
  </si>
  <si>
    <t>VALt6</t>
  </si>
  <si>
    <t>L-valine transport in/out via proton symport</t>
  </si>
  <si>
    <t>H+[e] + L-Valine[e] &lt;=&gt; H+[c] + L-Valine[c]</t>
  </si>
  <si>
    <t>XANt2</t>
  </si>
  <si>
    <t>xanthine transport in via proton symport</t>
  </si>
  <si>
    <t>H+[e] + Xanthine[e] =&gt; H+[c] + Xanthine[c]</t>
  </si>
  <si>
    <t>GCODGGCH_01972</t>
  </si>
  <si>
    <t>metanetx.reaction/MNXR105227;biocyc/META:RXN-5076;biocyc/META:TRANS-RXN-206;rhea/29663;rhea/29664;rhea/29665;rhea/29666;bigg.reaction/XANt2;sbo/SBO:0000375</t>
  </si>
  <si>
    <t>XPPT</t>
  </si>
  <si>
    <t>xanthine phosphoribosyltransferase</t>
  </si>
  <si>
    <t>2.4.2.22; 2.4.2.8</t>
  </si>
  <si>
    <t>5-Phospho-alpha-D-ribose 1-diphosphate[c] + Xanthine[c] =&gt; Diphosphate[c] + Xanthosine 5'-phosphate[c]</t>
  </si>
  <si>
    <t>GCODGGCH_01716</t>
  </si>
  <si>
    <t>kegg.reaction/R02142;metanetx.reaction/MNXR105243;biocyc/META:XANPRIBOSYLTRAN-RXN;rhea/10800;rhea/10801;rhea/10802;rhea/10803;bigg.reaction/XPPT;sbo/SBO:0000375</t>
  </si>
  <si>
    <t>XYLK</t>
  </si>
  <si>
    <t>xylulokinase</t>
  </si>
  <si>
    <t>2.7.1.17</t>
  </si>
  <si>
    <t>ATP[c] + D-Xylulose[c] =&gt; ADP[c] + H+[c] + D-Xylulose 5-phosphate[c]</t>
  </si>
  <si>
    <t>YUMPS</t>
  </si>
  <si>
    <t>yUMP synthetase</t>
  </si>
  <si>
    <t>alpha-D-Ribose 5-phosphate[c] + Uracil[c] &lt;=&gt; H2O[c] + Pseudouridine 5'-phosphate[c]</t>
  </si>
  <si>
    <t>GCODGGCH_01723 or GCODGGCH_01802 or GCODGGCH_00695 or GCODGGCH_01802 or GCODGGCH_00831 or GCODGGCH_01356 or GCODGGCH_01970</t>
  </si>
  <si>
    <t>metanetx.reaction/MNXR103310;bigg.reaction/YUMPS;sbo/SBO:0000375</t>
  </si>
  <si>
    <t>araphe2</t>
  </si>
  <si>
    <t>aromatic amino acid aminotransferase - phenylalanine</t>
  </si>
  <si>
    <t>(S)-3-Methyl-2-oxopentanoate[c] + L-Phenylalanine[c] &lt;=&gt; L-Isoleucine[c] + Phenylpyruvate[c]</t>
  </si>
  <si>
    <t>bigg.reaction/araphe2;sbo/SBO:0000375</t>
  </si>
  <si>
    <t>aratry2</t>
  </si>
  <si>
    <t>aromatic amino acid aminotransferase - tryptophan</t>
  </si>
  <si>
    <t>2.6.1.6; 2.6.1.42</t>
  </si>
  <si>
    <t>(S)-3-Methyl-2-oxopentanoate[c] + L-Tryptophan[c] &lt;=&gt; L-Isoleucine[c] + Indolepyruvate[c]</t>
  </si>
  <si>
    <t>GCODGGCH_00037 or GCODGGCH_00146 or GCODGGCH_01258 or GCODGGCH_00036 or GCODGGCH_00037 or GCODGGCH_00146 or GCODGGCH_01258 or GCODGGCH_00036 or GCODGGCH_00037 or GCODGGCH_00146 or GCODGGCH_01258 or GCODGGCH_00036 or GCODGGCH_00037 or GCODGGCH_00146 or GCODGGCH_01258 or GCODGGCH_00146</t>
  </si>
  <si>
    <t>bigg.reaction/aratry2;sbo/SBO:0000375</t>
  </si>
  <si>
    <t>aratyr2</t>
  </si>
  <si>
    <t>aromatic amino acid aminotransferase - tyrosine</t>
  </si>
  <si>
    <t>(S)-3-Methyl-2-oxopentanoate[c] + L-Tyrosine[c] &lt;=&gt; 3-(4-Hydroxyphenyl)pyruvate[c] + L-Isoleucine[c]</t>
  </si>
  <si>
    <t>bigg.reaction/aratyr2;sbo/SBO:0000375</t>
  </si>
  <si>
    <t>aratyr4</t>
  </si>
  <si>
    <t>Indolepyruvate[c] + L-Tyrosine[c] &lt;=&gt; 3-(4-Hydroxyphenyl)pyruvate[c] + L-Tryptophan[c]</t>
  </si>
  <si>
    <t>bigg.reaction/aratyr4;sbo/SBO:0000375</t>
  </si>
  <si>
    <t>kaasIII</t>
  </si>
  <si>
    <t>beta-ketoacyl-ACP synthase III</t>
  </si>
  <si>
    <t>2.3.1.180</t>
  </si>
  <si>
    <t>Acetyl-CoA[c] + H+[c] + Malonyl-[acyl-carrier protein][c] =&gt; Acetoacetyl-[acyl-carrier protein][c] + CO2[c] + Coenzyme A[c]</t>
  </si>
  <si>
    <t>GCODGGCH_00371</t>
  </si>
  <si>
    <t>bigg.reaction/kaasIII;sbo/SBO:0000375</t>
  </si>
  <si>
    <t>tr_h2s</t>
  </si>
  <si>
    <t>h2s transport</t>
  </si>
  <si>
    <t>Hydrogen sulfide[e] &lt;=&gt; Hydrogen sulfide[c]</t>
  </si>
  <si>
    <t>tr_o2</t>
  </si>
  <si>
    <t>o2 transport</t>
  </si>
  <si>
    <t>O2[e] &lt;=&gt; O2[c]</t>
  </si>
  <si>
    <t>updated_grRules</t>
  </si>
  <si>
    <t>1AGPEAT1801819Z</t>
  </si>
  <si>
    <t>g13926.t1 or g2579.t1 or g11166.t1 or g17728.t1 or g18436.t1 or g5217.t1 or g9368.t1 or g5217.t1</t>
  </si>
  <si>
    <t>1AGPEAT1801829Z12Z</t>
  </si>
  <si>
    <t>1AGPEAT1801835Z9Z12Z</t>
  </si>
  <si>
    <t>1AGPEAT1801845Z9Z12Z15Z</t>
  </si>
  <si>
    <t>1AGPEAT18111Z1819Z</t>
  </si>
  <si>
    <t>1AGPEAT18111Z1829Z12Z</t>
  </si>
  <si>
    <t>1AGPEAT18111Z1835Z9Z12Z</t>
  </si>
  <si>
    <t>1AGPEAT18111Z1845Z9Z12Z15Z</t>
  </si>
  <si>
    <t>1AGPEAT1819Z1819Z</t>
  </si>
  <si>
    <t>1AGPEAT1819Z1829Z12Z</t>
  </si>
  <si>
    <t>1AGPEAT1819Z1835Z9Z12Z</t>
  </si>
  <si>
    <t>1AGPEAT1819Z1845Z9Z12Z15Z</t>
  </si>
  <si>
    <t>1AGPEAT1829Z12Z1835Z9Z12Z</t>
  </si>
  <si>
    <t>2HGOR</t>
  </si>
  <si>
    <t>g12731.t1 or g7106.t1 or g12732.t1 or g17591.t1 or g4218.t1</t>
  </si>
  <si>
    <t>3OACOAS</t>
  </si>
  <si>
    <t>g7353.t1 or g13298.t1 or g13891.t1 or g5666.t1 or g6113.t1 or g7047.t1</t>
  </si>
  <si>
    <t>3PG_pi_thr</t>
  </si>
  <si>
    <t>g11286.t1 or g14229.t1 or g3810.t1 or g4902.t1 or g6406.t1 or g6756.t1 or g14625.t1 or g7876.t1 or g1968.t1 or g2824.t1 or g3145.t1 or g7463.t1 or g7300.t1</t>
  </si>
  <si>
    <t>5FLURAt</t>
  </si>
  <si>
    <t>g17752.t1 or g17895.t1 or g19187.t1 or g8252.t1 or g9402.t1 or g10542.t1 or g10887.t1 or g16021.t1 or g8169.t1</t>
  </si>
  <si>
    <t>6MPURPRT</t>
  </si>
  <si>
    <t>g3389.t1 or g11856.t1</t>
  </si>
  <si>
    <t>6MPURt</t>
  </si>
  <si>
    <t>A2GALT1</t>
  </si>
  <si>
    <t>g6439.t1 or g6441.t1</t>
  </si>
  <si>
    <t>A2GALT2</t>
  </si>
  <si>
    <t>A2GALT3</t>
  </si>
  <si>
    <t>A2GALT4</t>
  </si>
  <si>
    <t>A2GALT5</t>
  </si>
  <si>
    <t>A2GALT6</t>
  </si>
  <si>
    <t>A3GALT1</t>
  </si>
  <si>
    <t>A3GALT2</t>
  </si>
  <si>
    <t>A3GALT3</t>
  </si>
  <si>
    <t>A3GALT4</t>
  </si>
  <si>
    <t>A3GALT5</t>
  </si>
  <si>
    <t>A4GALT</t>
  </si>
  <si>
    <t>AAL_fum</t>
  </si>
  <si>
    <t>g16049.t1 or g17669.t1</t>
  </si>
  <si>
    <t>AAT</t>
  </si>
  <si>
    <t>g13215.t1 or g16500.t1 or g6898.t1</t>
  </si>
  <si>
    <t>AATC</t>
  </si>
  <si>
    <t>g17271.t1 or g3105.t1 or g5152.t1 or g7213.t1 or g4849.t1 or g7449.t1</t>
  </si>
  <si>
    <t>AATCm</t>
  </si>
  <si>
    <t>AATG</t>
  </si>
  <si>
    <t>AATGm</t>
  </si>
  <si>
    <t>ACACT2</t>
  </si>
  <si>
    <t>g4469.t1 or g6811.t1</t>
  </si>
  <si>
    <t>ACCAHh</t>
  </si>
  <si>
    <t>g8457.t1</t>
  </si>
  <si>
    <t>ACCAHm</t>
  </si>
  <si>
    <t>ACDHi</t>
  </si>
  <si>
    <t>g10968.t1 or g7625.t1 or g15867.t1</t>
  </si>
  <si>
    <t>ACDHmi</t>
  </si>
  <si>
    <t>ACKrh</t>
  </si>
  <si>
    <t>g14099.t1 or g16839.t1 or g2255.t1</t>
  </si>
  <si>
    <t>ACKrm</t>
  </si>
  <si>
    <t>ACOA100OR</t>
  </si>
  <si>
    <t>g16552.t1 or g8193.t1 or g9113.t1 or g11142.t1 or g16239.t1 or g17088.t1 or g14916.t1 or g16318.t1 or g16855.t1 or g15045.t1 or g15409.t1 or g15517.t1 or g4866.t1</t>
  </si>
  <si>
    <t>ACOA120OR</t>
  </si>
  <si>
    <t>ACOA140OR</t>
  </si>
  <si>
    <t>ACOA160OR</t>
  </si>
  <si>
    <t>ACOA40OR</t>
  </si>
  <si>
    <t>ACOA60OR</t>
  </si>
  <si>
    <t>ACOA80OR</t>
  </si>
  <si>
    <t>ACOADAGAT16018111Z160</t>
  </si>
  <si>
    <t>g15436.t1 or g6288.t1 or g13492.t1 or g1998.t1 or g3627.t1 or g8257.t1</t>
  </si>
  <si>
    <t>ACOADAGAT16018111Z180</t>
  </si>
  <si>
    <t>ACOADAGAT16018111Z18111Z</t>
  </si>
  <si>
    <t>ACOADAGAT16018111Z1819Z</t>
  </si>
  <si>
    <t>ACOADAGAT16018111Z1835Z9Z12Z</t>
  </si>
  <si>
    <t>ACOADAGAT16018111Z1845Z9Z12Z15Z</t>
  </si>
  <si>
    <t>ACOADAGAT1601819Z160</t>
  </si>
  <si>
    <t>ACOADAGAT1601819Z180</t>
  </si>
  <si>
    <t>ACOADAGAT1601819Z18111Z</t>
  </si>
  <si>
    <t>ACOADAGAT1601819Z1819Z</t>
  </si>
  <si>
    <t>ACOADAGAT1601819Z1835Z9Z12Z</t>
  </si>
  <si>
    <t>ACOADAGAT1601819Z1845Z9Z12Z15Z</t>
  </si>
  <si>
    <t>ACOADAGAT1801819Z160</t>
  </si>
  <si>
    <t>ACOADAGAT1801819Z180</t>
  </si>
  <si>
    <t>ACOADAGAT1801819Z18111Z</t>
  </si>
  <si>
    <t>ACOADAGAT1801819Z1819Z</t>
  </si>
  <si>
    <t>ACOADAGAT1801819Z1835Z9Z12Z</t>
  </si>
  <si>
    <t>ACOADAGAT1801819Z1845Z9Z12Z15Z</t>
  </si>
  <si>
    <t>ACOADAGAT18111Z18111Z160</t>
  </si>
  <si>
    <t>ACOADAGAT18111Z18111Z180</t>
  </si>
  <si>
    <t>ACOADAGAT18111Z18111Z18111Z</t>
  </si>
  <si>
    <t>ACOADAGAT18111Z18111Z1819Z</t>
  </si>
  <si>
    <t>ACOADAGAT18111Z18111Z1835Z9Z12Z</t>
  </si>
  <si>
    <t>ACOADAGAT18111Z18111Z1845Z9Z12Z15Z</t>
  </si>
  <si>
    <t>ACOADAGAT18111Z1819Z160</t>
  </si>
  <si>
    <t>ACOADAGAT18111Z1819Z180</t>
  </si>
  <si>
    <t>ACOADAGAT18111Z1819Z18111Z</t>
  </si>
  <si>
    <t>ACOADAGAT18111Z1819Z1819Z</t>
  </si>
  <si>
    <t>ACOADAGAT18111Z1819Z1835Z9Z12Z</t>
  </si>
  <si>
    <t>ACOADAGAT18111Z1819Z1845Z9Z12Z15Z</t>
  </si>
  <si>
    <t>ACOADAGAT1819Z18111Z160</t>
  </si>
  <si>
    <t>ACOADAGAT1819Z18111Z180</t>
  </si>
  <si>
    <t>ACOADAGAT1819Z18111Z18111Z</t>
  </si>
  <si>
    <t>ACOADAGAT1819Z18111Z1819Z</t>
  </si>
  <si>
    <t>ACOADAGAT1819Z18111Z1835Z9Z12Z</t>
  </si>
  <si>
    <t>ACOADAGAT1819Z18111Z1845Z9Z12Z15Z</t>
  </si>
  <si>
    <t>ACOADAGAT1819Z1819Z160</t>
  </si>
  <si>
    <t>ACOADAGAT1819Z1819Z180</t>
  </si>
  <si>
    <t>ACOADAGAT1819Z1819Z18111Z</t>
  </si>
  <si>
    <t>ACOADAGAT1819Z1819Z1819Z</t>
  </si>
  <si>
    <t>ACOADAGAT1819Z1819Z1835Z9Z12Z</t>
  </si>
  <si>
    <t>ACOADAGAT1819Z1819Z1845Z9Z12Z15Z</t>
  </si>
  <si>
    <t>ACP1619ZD9DS</t>
  </si>
  <si>
    <t>g14459.t1 and (g10603.t1 or g8280.t1) and (g832.t1 or g1357.t1 or g6355.t1 or g10393.t1 or g6176.t1 or g3664.t1)</t>
  </si>
  <si>
    <t>ACP1819ZD9DS</t>
  </si>
  <si>
    <t>ACSERL</t>
  </si>
  <si>
    <t>g363.t1 or g15488.t1 or g4923.t1 or g5315.t1</t>
  </si>
  <si>
    <t>ACSERLh</t>
  </si>
  <si>
    <t>g15488.t1 or g4923.t1 or g5315.t1</t>
  </si>
  <si>
    <t>ACSERLm</t>
  </si>
  <si>
    <t>ACSERSULL</t>
  </si>
  <si>
    <t>g363.t1 or g15488.t1 or g4923.t1 or g5315.t1 or g12076.t1</t>
  </si>
  <si>
    <t>ACSERSULLh</t>
  </si>
  <si>
    <t>g15488.t1 or g4923.t1 or g5315.t1 or g12076.t1</t>
  </si>
  <si>
    <t>ACSERSULLm</t>
  </si>
  <si>
    <t>ADEC</t>
  </si>
  <si>
    <t>g114.t1 or g9842.t1 or g10153.t1 or g10255.t1 or g11149.t1 or g1168.t1 or g12210.t1 or g12619.t1 or g1306.t1 or g13486.t1 or g14389.t1 or g14500.t1 or g1481.t1 or g1486.t1 or g1505.t1 or g1542.t1 or g1558.t1 or g15690.t1 or g1601.t1 or g1661.t1 or g17378.t1 or g18181.t1 or g2687.t1 or g2897.t1 or g3825.t1 or g3843.t1 or g4060.t1 or g5012.t1 or g5751.t1 or g5950.t1 or g5953.t1 or g5969.t1 or g6430.t1 or g6445.t1 or g678.t1 or g6844.t1 or g7183.t1 or g7693.t1 or g7909.t1 or g8839.t1 or g9019.t1 or g9218.t1 or g9252.t1 or g941.t1 or g9883.t1 or g9961.t1 or g10922.t1 or g15484.t1 or g16243.t1 or g1751.t1 or g2922.t1 or g355.t1 or g4215.t1 or g4765.t1 or g6794.t1 or g8150.t1 or g9078.t1 or g9089.t1 or g9360.t1 or g1551.t1 or g2432.t1 or g316.t1 or g10390.t1 or g10570.t1 or g10785.t1 or g12388.t1 or g12920.t1 or g13088.t1 or g13618.t1 or g178.t1 or g2107.t1 or g2385.t1 or g2464.t1 or g2493.t1 or g2503.t1 or g3023.t1 or g3208.t1 or g3291.t1 or g4114.t1 or g5251.t1 or g6086.t1 or g6636.t1 or g704.t1 or g7641.t1 or g8072.t1 or g8989.t1 or g15971.t1 or g468.t1 or g10294.t1 or g6936.t1</t>
  </si>
  <si>
    <t>ADECn</t>
  </si>
  <si>
    <t>ADPA</t>
  </si>
  <si>
    <t>g3476.t1 or g1631.t1 or g2629.t1 or g3266.t1</t>
  </si>
  <si>
    <t>ADPART</t>
  </si>
  <si>
    <t>g10216.t1 or g10218.t1</t>
  </si>
  <si>
    <t>ADRH</t>
  </si>
  <si>
    <t>g9226.t1</t>
  </si>
  <si>
    <t>AGDI</t>
  </si>
  <si>
    <t>g11501.t1 or g8764.t1</t>
  </si>
  <si>
    <t>AGDIn</t>
  </si>
  <si>
    <t>AGPOP</t>
  </si>
  <si>
    <t>g11873.t1 or g1325.t1 or g1829.t1 or g2634.t1 or g2900.t1 or g7783.t1 or g9273.t1 or g15695.t1 or g17213.t1</t>
  </si>
  <si>
    <t>AGPOPm</t>
  </si>
  <si>
    <t>AGPT</t>
  </si>
  <si>
    <t>g9472.t1 or g1598.t1 or g4791.t1 or g12639.t1 or g16496.t1 or g18118.t1</t>
  </si>
  <si>
    <t>AHAL</t>
  </si>
  <si>
    <t>g12076.t1 and ((g1283.t1 or g716.t1) or g12753.t1)</t>
  </si>
  <si>
    <t>AIAL</t>
  </si>
  <si>
    <t>AKGDHe2r</t>
  </si>
  <si>
    <t>g4948.t1 or g7295.t1</t>
  </si>
  <si>
    <t>AKP1</t>
  </si>
  <si>
    <t>g6675.t1</t>
  </si>
  <si>
    <t>ALAAT</t>
  </si>
  <si>
    <t>ALATLm</t>
  </si>
  <si>
    <t>g14082.t1 or g16509.t1 or g5380.t1 or g8061.t1 or g16309.t1 or g17485.t1</t>
  </si>
  <si>
    <t>ALCDHi</t>
  </si>
  <si>
    <t>g10968.t1 or g15867.t1 or g7625.t1</t>
  </si>
  <si>
    <t>ALCDHmi</t>
  </si>
  <si>
    <t>AMID</t>
  </si>
  <si>
    <t>g13496.t1 or g15693.t1 or g13747.t1 or g17159.t1 or g5872.t1 or g6452.t1</t>
  </si>
  <si>
    <t>AN2PT</t>
  </si>
  <si>
    <t>g4929.t1 or g5556.t1 or g5801.t1</t>
  </si>
  <si>
    <t>AO</t>
  </si>
  <si>
    <t>g5445.t1</t>
  </si>
  <si>
    <t>APN</t>
  </si>
  <si>
    <t>g10590.t1 or g11617.t1 or g11691.t1 or g12291.t1 or g12770.t1 or g13236.t1 or g14462.t1 or g15111.t1 or g15394.t1 or g15597.t1 or g16203.t1 or g17455.t1 or g265.t1 or g3021.t1 or g3178.t1 or g383.t1 or g4173.t1 or g5073.t1 or g621.t1 or g7402.t1 or g7684.t1 or g8232.t1 or g8241.t1 or g8676.t1 or g9154.t1 or g9482.t1 or g9524.t1 or g12744.t1 or g14412.t1 or g4174.t1 or g9062.t1 or g5863.t1 or g17067.t1 or g13702.t1 or g14547.t1 or g3597.t1</t>
  </si>
  <si>
    <t>APNn</t>
  </si>
  <si>
    <t>APOFETNs</t>
  </si>
  <si>
    <t>g16524.t1 or g3016.t1</t>
  </si>
  <si>
    <t>APPRT</t>
  </si>
  <si>
    <t>g3535.t1 or g3389.t1 or g11856.t1</t>
  </si>
  <si>
    <t>APPTh</t>
  </si>
  <si>
    <t>APPTm</t>
  </si>
  <si>
    <t>ARDP</t>
  </si>
  <si>
    <t>g11326.t1 or g1095.t1 or g1096.t1 or g12109.t1 or g5318.t1 or g10461.t1 or g10352.t1 or g13452.t1 or g13210.t1 or g3560.t1</t>
  </si>
  <si>
    <t>g16959.t1 or g3206.t1 or g9128.t1</t>
  </si>
  <si>
    <t>ARPT</t>
  </si>
  <si>
    <t>g10375.t1 or g194.t1 or g690.t1</t>
  </si>
  <si>
    <t>ARSO4SH</t>
  </si>
  <si>
    <t>g12771.t1 or g12832.t1 or g16346.t1 or g17307.t1 or g18357.t1 or g18670.t1 or g5650.t1 or g9247.t1 or g12986.t1 or g1384.t1 or g14295.t1 or g14717.t1 or g16365.t1 or g16689.t1 or g2314.t1 or g4926.t1 or g918.t1 or g15809.t1 or g4642.t1 or g9728.t1 or g3521.t1 or g13331.t1 or g17700.t1 or g2239.t1 or g4513.t1 or g6099.t1 or g6674.t1 or g6676.t1 or g917.t1 or g6102.t1 or g2240.t1 or g15029.t1</t>
  </si>
  <si>
    <t>ASPAT</t>
  </si>
  <si>
    <t>ASPATh</t>
  </si>
  <si>
    <t>ASPATm</t>
  </si>
  <si>
    <t>g1179.t1 or g10022.t1 or g11748.t1 or g16766.t1</t>
  </si>
  <si>
    <t>ASPNA1th</t>
  </si>
  <si>
    <t>g5455.t1</t>
  </si>
  <si>
    <t>ASPNA1tm</t>
  </si>
  <si>
    <t>ASPS</t>
  </si>
  <si>
    <t>g7645.t1</t>
  </si>
  <si>
    <t>ASPSE</t>
  </si>
  <si>
    <t>g5618.t1 or g2198.t1</t>
  </si>
  <si>
    <t>ATCD</t>
  </si>
  <si>
    <t>g2065.t1 or g2753.t1 or g1080.t1 or g1639.t1</t>
  </si>
  <si>
    <t>ATCY</t>
  </si>
  <si>
    <t>g1719.t1 or g6950.t1 or g9972.t1 or g1719.t1 or g9547.t1 or g17342.t1 or g9285.t1</t>
  </si>
  <si>
    <t>ATDCD</t>
  </si>
  <si>
    <t>ATDGD</t>
  </si>
  <si>
    <t>ATDGM</t>
  </si>
  <si>
    <t>g9472.t1 or g1598.t1 or g4791.t1 or g12639.t1 or g1598.t1 or g16496.t1 or g18118.t1</t>
  </si>
  <si>
    <t>ATDTD</t>
  </si>
  <si>
    <t>ATDUD</t>
  </si>
  <si>
    <t>ATGD</t>
  </si>
  <si>
    <t>ATID</t>
  </si>
  <si>
    <t>ATPPH</t>
  </si>
  <si>
    <t>g11727.t1 or g12325.t1 or g12415.t1 or g1631.t1 or g1768.t1 or g3101.t1 or g3476.t1 or g4650.t1 or g9829.t1</t>
  </si>
  <si>
    <t>ATPSh</t>
  </si>
  <si>
    <t>g9206.t1 and g2020.t1 and g9714.t1</t>
  </si>
  <si>
    <t>ATPSm</t>
  </si>
  <si>
    <t>g13772.t1 and g7835.t1 and g8801.t1 and g9043.t1 and g300.t1 and g3168.t1 and g16961.t1 and (g6318.t1 or g2134.t1) and (g4164.t1 or g4165.t1) and g993.t1 and g2979.t1 and g2737.t1 and g13825.t1 and g6362.t1 and g1329.t1 and g12276.t1</t>
  </si>
  <si>
    <t>ATP_3h_th</t>
  </si>
  <si>
    <t>g14831.t1 or g3281.t1 or g9582.t1 or g4363.t1</t>
  </si>
  <si>
    <t>ATP_3h_tm</t>
  </si>
  <si>
    <t>g4051.t1 or g10808.t1 or g5597.t1</t>
  </si>
  <si>
    <t>ATUD</t>
  </si>
  <si>
    <t>AUPT</t>
  </si>
  <si>
    <t>g1719.t1 or g6950.t1 or g9972.t1 or g9547.t1 or g17342.t1 or g9285.t1</t>
  </si>
  <si>
    <t>BATHORHODOPSINI</t>
  </si>
  <si>
    <t>g11278.t1 or g10409.t1 or g4829.t1 or g1406.t1 or g15610.t1 or g16393.t1 or g2784.t1 or g3911.t1 or g8490.t1 or g10255.t1 or g10922.t1 or g11149.t1 or g12210.t1 or g1306.t1 or g13556.t1 or g14500.t1 or g1486.t1 or g1505.t1 or g1542.t1 or g1558.t1 or g15833.t1 or g1601.t1 or g1661.t1 or g17378.t1 or g2432.t1 or g2687.t1 or g2922.t1 or g3825.t1 or g3843.t1 or g4060.t1 or g5012.t1 or g5751.t1 or g5950.t1 or g5953.t1 or g5969.t1 or g6445.t1 or g6844.t1 or g7183.t1 or g7693.t1 or g7909.t1 or g8839.t1 or g9078.t1 or g9089.t1 or g9218.t1 or g9252.t1 or g9360.t1 or g941.t1 or g9961.t1</t>
  </si>
  <si>
    <t>BFFS</t>
  </si>
  <si>
    <t>g388.t1 or g8517.t1 or g8518.t1 or g3539.t1</t>
  </si>
  <si>
    <t>CACOAL</t>
  </si>
  <si>
    <t>g13096.t1 or g13981.t1 or g1878.t1 or g8975.t1 or g8996.t1 or g14028.t1 or g14836.t1 or g4111.t1 or g15224.t1 or g17087.t1 or g17473.t1 or g16105.t1 or g17716.t1 or g16429.t1</t>
  </si>
  <si>
    <t>CADS</t>
  </si>
  <si>
    <t>g4338.t1</t>
  </si>
  <si>
    <t>CALLOSES</t>
  </si>
  <si>
    <t>g1295.t1 or g19052.t1 or g2660.t1 or g801.t1 or g8356.t1 or g900.t1 or g14036.t1 or g15034.t1 or g15239.t1 or g16155.t1 or g16497.t1 or g16571.t1 or g17172.t1 or g18397.t1 or g8741.t1 or g12045.t1</t>
  </si>
  <si>
    <t>CAS</t>
  </si>
  <si>
    <t>g12653.t1 or g13399.t1 or g17834.t1</t>
  </si>
  <si>
    <t>CBFC</t>
  </si>
  <si>
    <t>g2069.t1 and g2577.t1 and g12206.t1</t>
  </si>
  <si>
    <t>CDPPH</t>
  </si>
  <si>
    <t>g3476.t1 or g1631.t1</t>
  </si>
  <si>
    <t>CGDP</t>
  </si>
  <si>
    <t>g14340.t1 or g17598.t1 or g13561.t1 or g15927.t1 or g13512.t1 or g15025.t1 or g15508.t1 or g17876.t1 or g9097.t1</t>
  </si>
  <si>
    <t>CHLAE</t>
  </si>
  <si>
    <t>g8176.t1 and g784.t1 and g3359.t1 and g10278.t1 and g13994.t1 and g9510.t1 and g13929.t1</t>
  </si>
  <si>
    <t>CHLSTD78I</t>
  </si>
  <si>
    <t>g6291.t1</t>
  </si>
  <si>
    <t>CHLSTI</t>
  </si>
  <si>
    <t>CHYA2</t>
  </si>
  <si>
    <t>g10719.t1 or g12152.t1 or g17477.t1 or g8196.t1 or g9170.t1 or g16128.t1 or g16677.t1</t>
  </si>
  <si>
    <t>CITALALDOR</t>
  </si>
  <si>
    <t>g12207.t1 or g12502.t1 or g15698.t1 or g17227.t1</t>
  </si>
  <si>
    <t>CITALDM</t>
  </si>
  <si>
    <t>g10487.t1 or g14727.t1 or g16128.t1 or g7193.t1 or g8206.t1 or g17194.t1</t>
  </si>
  <si>
    <t>CITALMO</t>
  </si>
  <si>
    <t>CMPA</t>
  </si>
  <si>
    <t>g16526.t1 or g2517.t1</t>
  </si>
  <si>
    <t>COA1819ZD9DS</t>
  </si>
  <si>
    <t>g803.t1 or g6693.t1 or g4806.t1 or g4807.t1 or g4808.t1</t>
  </si>
  <si>
    <t>COORr</t>
  </si>
  <si>
    <t>g19207.t1 or g3424.t1 or g6531.t1</t>
  </si>
  <si>
    <t>CRETINOLPMTACT</t>
  </si>
  <si>
    <t>CSLh</t>
  </si>
  <si>
    <t>CSLm</t>
  </si>
  <si>
    <t>CTPH</t>
  </si>
  <si>
    <t>CYOO6m</t>
  </si>
  <si>
    <t>g2054.t1 and g9885.t1 and g2983.t1 and g15119.t1 and g6814.t1 and g9142.t1 and (g771.t1 or g13738.t1)</t>
  </si>
  <si>
    <t>CYOR_q8_m</t>
  </si>
  <si>
    <t>g730.t1 and g3639.t1 and (g771.t1 or g13738.t1)</t>
  </si>
  <si>
    <t>CYRH</t>
  </si>
  <si>
    <t>CYSAT</t>
  </si>
  <si>
    <t>g17271.t1 or g3105.t1 or g5152.t1 or g7213.t1</t>
  </si>
  <si>
    <t>CYSATm</t>
  </si>
  <si>
    <t>CYSDO</t>
  </si>
  <si>
    <t>g2700.t1 or g296.t1</t>
  </si>
  <si>
    <t>CYSS_trdrd</t>
  </si>
  <si>
    <t>(g12753.t1 or g1283.t1 or g716.t1) and (g15488.t1 or g4923.t1 or g5315.t1 or g363.t1)</t>
  </si>
  <si>
    <t>CYSTAm</t>
  </si>
  <si>
    <t>CY_focytb5_c</t>
  </si>
  <si>
    <t>g4808.t1 or g4807.t1 or g803.t1 or g6693.t1 or g4806.t1</t>
  </si>
  <si>
    <t>DAGAH16018111Z</t>
  </si>
  <si>
    <t>g16604.t1 or g16660.t1 or g13960.t1 or g3927.t1 or g3965.t1 or g8551.t1 or g12442.t1 or g15442.t1 or g10049.t1 or g10608.t1 or g10770.t1 or g6600.t1 or g9369.t1 or g2902.t1 or g4297.t1 or g5062.t1 or g11108.t1 or g14465.t1 or g5988.t1 or g15680.t1 or g16626.t1 or g5555.t1</t>
  </si>
  <si>
    <t>DAGAH1601819Z</t>
  </si>
  <si>
    <t>DAGAH1801819Z</t>
  </si>
  <si>
    <t>DAGAH18111Z18111Z</t>
  </si>
  <si>
    <t>DAGAH18111Z1819Z</t>
  </si>
  <si>
    <t>DAGAH1819Z18111Z</t>
  </si>
  <si>
    <t>DAGAH1819Z1819Z</t>
  </si>
  <si>
    <t>DAOTO</t>
  </si>
  <si>
    <t>g1732.t1 and (g11447.t1 or g262.t1) and (g15317.t1 or g3880.t1 or g10811.t1)</t>
  </si>
  <si>
    <t>DAPOP</t>
  </si>
  <si>
    <t>DATCY</t>
  </si>
  <si>
    <t>DATUP</t>
  </si>
  <si>
    <t>DCDT</t>
  </si>
  <si>
    <t>DCTCP</t>
  </si>
  <si>
    <t>DCTUP</t>
  </si>
  <si>
    <t>DGDGD4DS1819Z1634Z7Z10Z</t>
  </si>
  <si>
    <t>g832.t1 or g1357.t1 or g6355.t1 or g10393.t1 or g6176.t1 or g3664.t1</t>
  </si>
  <si>
    <t>DGDGD4DS1829Z12Z1634Z7Z10Z</t>
  </si>
  <si>
    <t>DGDGD4DS1839Z12Z15Z1634Z7Z10Z</t>
  </si>
  <si>
    <t>DGDGD4DS1839Z12Z15Z1644Z7Z10Z13Z</t>
  </si>
  <si>
    <t>DGDGD7DS1819Z1617Z</t>
  </si>
  <si>
    <t>(g7404.t1 or g14235.t1 or g3674.t1 or g4181.t1) and (g832.t1 or g1357.t1 or g6355.t1 or g10393.t1 or g6176.t1 or g3664.t1)</t>
  </si>
  <si>
    <t>DGDGD7DS1829Z12Z1617Z</t>
  </si>
  <si>
    <t>DGDGW3DS1819Z1637Z10Z13Z</t>
  </si>
  <si>
    <t>g6057.t1 and (g832.t1 or g1357.t1 or g6355.t1 or g10393.t1 or g6176.t1 or g3664.t1)</t>
  </si>
  <si>
    <t>DGDGW3DS1829Z12Z1637Z10Z13Z</t>
  </si>
  <si>
    <t>DGDGW3DS1839Z12Z15Z160</t>
  </si>
  <si>
    <t>DGDGW3DS1839Z12Z15Z1627Z10Z</t>
  </si>
  <si>
    <t>DGDGW3DS1839Z12Z15Z1634Z7Z10Z</t>
  </si>
  <si>
    <t>DGDGW3DS1839Z12Z15Z1637Z10Z13Z1</t>
  </si>
  <si>
    <t>DGDGW3DS1839Z12Z15Z1637Z10Z13Z2</t>
  </si>
  <si>
    <t>DGDGW3DS1839Z12Z15Z1644Z7Z10Z13Z</t>
  </si>
  <si>
    <t>DGDGW6DS1819Z1627Z10Z</t>
  </si>
  <si>
    <t>(g7404.t1 or g4181.t1) and (g832.t1 or g1357.t1 or g6355.t1 or g10393.t1 or g6176.t1 or g3664.t1)</t>
  </si>
  <si>
    <t>DGDGW6DS1829Z12Z160</t>
  </si>
  <si>
    <t>DGDGW6DS1829Z12Z1617Z</t>
  </si>
  <si>
    <t>DGDGW6DS1829Z12Z1619Z</t>
  </si>
  <si>
    <t>DGDGW6DS1829Z12Z1627Z10Z1</t>
  </si>
  <si>
    <t>DGDGW6DS1829Z12Z1627Z10Z2</t>
  </si>
  <si>
    <t>DGDGW6DS1829Z12Z1634Z7Z10Z</t>
  </si>
  <si>
    <t>DGDGW6DS1829Z12Z1637Z10Z13Z</t>
  </si>
  <si>
    <t>DGOTO</t>
  </si>
  <si>
    <t>DGTCY</t>
  </si>
  <si>
    <t>DGTSD5DS1601835Z9Z12Z</t>
  </si>
  <si>
    <t>g4389.t1 or g7404.t1 or g2138.t1 or g4181.t1</t>
  </si>
  <si>
    <t>DGTSD5DS18111Z1835Z9Z12Z</t>
  </si>
  <si>
    <t>DGTSD5DS1819Z1835Z9Z12Z</t>
  </si>
  <si>
    <t>DGTSD5DS1829Z12Z1835Z9Z12Z</t>
  </si>
  <si>
    <t>DGTUP</t>
  </si>
  <si>
    <t>DHAP_pi_thr</t>
  </si>
  <si>
    <t>DHLDH</t>
  </si>
  <si>
    <t>g16252.t1 or g3971.t1</t>
  </si>
  <si>
    <t>DMCITALDM</t>
  </si>
  <si>
    <t>DNNH</t>
  </si>
  <si>
    <t>DOLASNT</t>
  </si>
  <si>
    <t>g9890.t1 and g12242.t1 and (g10005.t1 or g6000.t1) and (g13621.t1 or g13761.t1 or g6827.t1 or g981.t1)</t>
  </si>
  <si>
    <t>g4685.t1</t>
  </si>
  <si>
    <t>DTNH</t>
  </si>
  <si>
    <t>DTPH</t>
  </si>
  <si>
    <t>DTTGY</t>
  </si>
  <si>
    <t>DTTUP</t>
  </si>
  <si>
    <t>DUDT</t>
  </si>
  <si>
    <t>DUTCP</t>
  </si>
  <si>
    <t>DUTUP</t>
  </si>
  <si>
    <t>EMGH</t>
  </si>
  <si>
    <t>g1630.t1 or g6439.t1 or g6441.t1 or g6439.t1</t>
  </si>
  <si>
    <t>ETHAK</t>
  </si>
  <si>
    <t>g6151.t1</t>
  </si>
  <si>
    <t>FA160COAabcp</t>
  </si>
  <si>
    <t>g12958.t1 or g16343.t1 or g9926.t1</t>
  </si>
  <si>
    <t>FACOAE160</t>
  </si>
  <si>
    <t>g14203.t1 or g4203.t1 or g2412.t1</t>
  </si>
  <si>
    <t>FACOAE180</t>
  </si>
  <si>
    <t>FACOAE1819Z</t>
  </si>
  <si>
    <t>FACOAE1829Z12Z</t>
  </si>
  <si>
    <t>FACOAE1836Z9Z12Z</t>
  </si>
  <si>
    <t>FACOAE1839Z12Z15Z</t>
  </si>
  <si>
    <t>FACOAL160</t>
  </si>
  <si>
    <t>FACOAL180</t>
  </si>
  <si>
    <t>FACOAL181</t>
  </si>
  <si>
    <t>FACOAL18111Z</t>
  </si>
  <si>
    <t>FAH120</t>
  </si>
  <si>
    <t>g1530.t1 and (g14235.t1 or g3674.t1)</t>
  </si>
  <si>
    <t>FAH140</t>
  </si>
  <si>
    <t>FAH160</t>
  </si>
  <si>
    <t>FAH1819Z</t>
  </si>
  <si>
    <t>FAH1829Z12Z</t>
  </si>
  <si>
    <t>FBA3hi</t>
  </si>
  <si>
    <t>g13804.t1 or g6380.t1 or g8451.t1 or g8720.t1</t>
  </si>
  <si>
    <t>FBAf</t>
  </si>
  <si>
    <t>FBAh</t>
  </si>
  <si>
    <t>FBAm</t>
  </si>
  <si>
    <t>g10950.t1</t>
  </si>
  <si>
    <t>FE2TFENR</t>
  </si>
  <si>
    <t>FE2th</t>
  </si>
  <si>
    <t>g3004.t1 or g4967.t1 or g4968.t1 or g5031.t1 or g12754.t1 or g1689.t1 or g7352.t1</t>
  </si>
  <si>
    <t>FERO</t>
  </si>
  <si>
    <t>g3262.t1 or g6930.t1</t>
  </si>
  <si>
    <t>FKYNH</t>
  </si>
  <si>
    <t>g6679.t1 or g6680.t1</t>
  </si>
  <si>
    <t>FORthi</t>
  </si>
  <si>
    <t>g11640.t1 or g14026.t1 or g16582.t1 or g3173.t1</t>
  </si>
  <si>
    <t>FORti</t>
  </si>
  <si>
    <t>g8391.t1 or g9727.t1 or g11640.t1 or g16582.t1</t>
  </si>
  <si>
    <t>FORtmi</t>
  </si>
  <si>
    <t>FORtxi</t>
  </si>
  <si>
    <t>FPGPL</t>
  </si>
  <si>
    <t>G1P_pi_th</t>
  </si>
  <si>
    <t>g12311.t1 or g14226.t1 or g18146.t1 or g7678.t1 or g7826.t1 or g9913.t1 or g5019.t1 or g5151.t1 or g9162.t1</t>
  </si>
  <si>
    <t>G3PD2</t>
  </si>
  <si>
    <t>g5019.t1 or g5151.t1 or g9162.t1</t>
  </si>
  <si>
    <t>G3P_pi_thr</t>
  </si>
  <si>
    <t>G6PA_pi_th</t>
  </si>
  <si>
    <t>g5830.t1 or g4974.t1 or g7763.t1 or g9055.t1</t>
  </si>
  <si>
    <t>G6PIh</t>
  </si>
  <si>
    <t>GALh</t>
  </si>
  <si>
    <t>g11295.t1 or g19178.t1 or g6541.t1</t>
  </si>
  <si>
    <t>GAPDHh</t>
  </si>
  <si>
    <t>g11609.t1 or g1271.t1 or g3379.t1</t>
  </si>
  <si>
    <t>GCPN</t>
  </si>
  <si>
    <t>g10590.t1 or g11617.t1 or g11691.t1 or g12291.t1 or g12770.t1 or g13236.t1 or g14462.t1 or g15111.t1 or g15394.t1 or g15597.t1 or g16203.t1 or g17455.t1 or g265.t1 or g3021.t1 or g3178.t1 or g383.t1 or g4173.t1 or g5073.t1 or g621.t1 or g7402.t1 or g7684.t1 or g8232.t1 or g8241.t1 or g8676.t1 or g9154.t1 or g9482.t1 or g9524.t1 or g4174.t1 or g12744.t1 or g14412.t1 or g14044.t1 or g9062.t1 or g5863.t1</t>
  </si>
  <si>
    <t>GCPNn</t>
  </si>
  <si>
    <t>GDHm</t>
  </si>
  <si>
    <t>g12584.t1 or g27.t1 or g7111.t1</t>
  </si>
  <si>
    <t>GDPA</t>
  </si>
  <si>
    <t>GDR</t>
  </si>
  <si>
    <t>g395.t1 or g8672.t1 or g8875.t1</t>
  </si>
  <si>
    <t>GDR_nadp</t>
  </si>
  <si>
    <t>GDR_nadp_h</t>
  </si>
  <si>
    <t>GDR_nadp_m</t>
  </si>
  <si>
    <t>GDRh</t>
  </si>
  <si>
    <t>GDRm</t>
  </si>
  <si>
    <t>GGGH</t>
  </si>
  <si>
    <t>g1630.t1 or g6439.t1 or g6441.t1</t>
  </si>
  <si>
    <t>GHMT</t>
  </si>
  <si>
    <t>g2317.t1 or g369.t1 or g6853.t1</t>
  </si>
  <si>
    <t>GLNTL</t>
  </si>
  <si>
    <t>g11130.t1 or g5632.t1</t>
  </si>
  <si>
    <t>GLPThi</t>
  </si>
  <si>
    <t>g3981.t1 or g5160.t1 or g9005.t1</t>
  </si>
  <si>
    <t>GLUNA1th</t>
  </si>
  <si>
    <t>GLUNA1tm</t>
  </si>
  <si>
    <t>GLUS_ferr</t>
  </si>
  <si>
    <t>(g212.t1 or g482.t1) and (g832.t1 or g1357.t1 or g6355.t1 or g10393.t1 or g6176.t1 or g3664.t1)</t>
  </si>
  <si>
    <t>GLYOXm</t>
  </si>
  <si>
    <t>g10403.t1 or g6287.t1 or g15866.t1 or g6290.t1</t>
  </si>
  <si>
    <t>GLYTA</t>
  </si>
  <si>
    <t>g13016.t1 or g13215.t1 or g16500.t1 or g6898.t1</t>
  </si>
  <si>
    <t>GLYth</t>
  </si>
  <si>
    <t>g10194.t1 or g5849.t1 or g13671.t1</t>
  </si>
  <si>
    <t>GLYtm</t>
  </si>
  <si>
    <t>GLYtx</t>
  </si>
  <si>
    <t>GPAR</t>
  </si>
  <si>
    <t>g13649.t1 or g13650.t1 or g14785.t1 or g17622.t1 or g2659.t1 or g5222.t1 or g14054.t1 or g12918.t1</t>
  </si>
  <si>
    <t>GRGT</t>
  </si>
  <si>
    <t>GTCY</t>
  </si>
  <si>
    <t>GTHP</t>
  </si>
  <si>
    <t>g1180.t1 or g1712.t1 or g3280.t1 or g3514.t1 or g9866.t1</t>
  </si>
  <si>
    <t>GTPA</t>
  </si>
  <si>
    <t>GTPDH</t>
  </si>
  <si>
    <t>g2669.t1 or g3088.t1</t>
  </si>
  <si>
    <t>GTPOP</t>
  </si>
  <si>
    <t>GTPOPm</t>
  </si>
  <si>
    <t>GTUP</t>
  </si>
  <si>
    <t>GUAC</t>
  </si>
  <si>
    <t>g114.t1 or g10153.t1 or g11149.t1 or g13486.t1 or g1601.t1 or g16243.t1 or g2687.t1 or g4060.t1 or g6794.t1 or g6844.t1 or g7183.t1 or g7683.t1 or g9019.t1 or g9089.t1 or g9218.t1 or g9961.t1 or g1306.t1 or g14500.t1 or g1481.t1 or g1486.t1 or g1505.t1 or g1542.t1 or g15484.t1 or g1558.t1 or g1661.t1 or g17378.t1 or g1751.t1 or g2897.t1 or g2922.t1 or g355.t1 or g3825.t1 or g3843.t1 or g4215.t1 or g4765.t1 or g5012.t1 or g5751.t1 or g5950.t1 or g5953.t1 or g5969.t1 or g6430.t1 or g6445.t1 or g678.t1 or g7183.t1 or g7693.t1 or g7909.t1 or g8150.t1 or g9078.t1 or g9252.t1 or g9360.t1 or g941.t1 or g9883.t1 or g10255.t1 or g10922.t1 or g12210.t1 or g1168.t1 or g12619.t1 or g14389.t1 or g15690.t1 or g2432.t1 or g4215.t1 or g4215.t1 or g4114.t1 or g8989.t1 or g704.t1 or g8072.t1 or g5251.t1 or g6086.t1 or g6636.t1 or g13618.t1 or g12388.t1 or g10785.t1 or g10570.t1 or g10390.t1 or g3241.t1 or g15971.t1 or g468.t1 or g7639.t1 or g3241.t1 or g1551.t1 or g14076.t1 or g2107.t1 or g2385.t1 or g2464.t1 or g2493.t1 or g2503.t1 or g3023.t1 or g3208.t1 or g3291.t1 or g4174.t1 or g5863.t1</t>
  </si>
  <si>
    <t>GUACn</t>
  </si>
  <si>
    <t>HATPase</t>
  </si>
  <si>
    <t>g16736.t1 or g3327.t1 or g9602.t1 or g10538.t1 or g16185.t1</t>
  </si>
  <si>
    <t>HCHLDAOR</t>
  </si>
  <si>
    <t>g10745.t1 or g14570.t1</t>
  </si>
  <si>
    <t>g6484.t1 or g9959.t1 or g15480.t1 or g9080.t1</t>
  </si>
  <si>
    <t>HCO3Em</t>
  </si>
  <si>
    <t>g2315.t1 or g2499.t1 or g7464.t1 or g10189.t1 or g3377.t1</t>
  </si>
  <si>
    <t>HEMELh</t>
  </si>
  <si>
    <t>g4118.t1 or g9282.t1</t>
  </si>
  <si>
    <t>HEMELm</t>
  </si>
  <si>
    <t>HISt</t>
  </si>
  <si>
    <t>HISth</t>
  </si>
  <si>
    <t>HPPD</t>
  </si>
  <si>
    <t>g15844.t1 or g3034.t1</t>
  </si>
  <si>
    <t>HPRT</t>
  </si>
  <si>
    <t>HSDH</t>
  </si>
  <si>
    <t>g10022.t1 or g11748.t1 or g16766.t1</t>
  </si>
  <si>
    <t>HYDA</t>
  </si>
  <si>
    <t>g12031.t1 or g5716.t1</t>
  </si>
  <si>
    <t>HYDAh</t>
  </si>
  <si>
    <t>(g12031.t1 or g5716.t1) and (g832.t1 or g1357.t1 or g6355.t1 or g10393.t1 or g6176.t1 or g3664.t1)</t>
  </si>
  <si>
    <t>HYDAm</t>
  </si>
  <si>
    <t>(g12031.t1 or g5716.t1) and g12561.t1</t>
  </si>
  <si>
    <t>IDPh</t>
  </si>
  <si>
    <t>g5077.t1 or g9159.t1 or g10997.t1</t>
  </si>
  <si>
    <t>IDPm</t>
  </si>
  <si>
    <t>ILETL</t>
  </si>
  <si>
    <t>g8045.t1 or g8723.t1 or g8934.t1</t>
  </si>
  <si>
    <t>IPMS</t>
  </si>
  <si>
    <t>g14847.t1 or g17093.t1</t>
  </si>
  <si>
    <t>IPPSh</t>
  </si>
  <si>
    <t>ITCY</t>
  </si>
  <si>
    <t>ITPA</t>
  </si>
  <si>
    <t>ITPP</t>
  </si>
  <si>
    <t>g9956.t1</t>
  </si>
  <si>
    <t>ITUP</t>
  </si>
  <si>
    <t>KAS14</t>
  </si>
  <si>
    <t>g14459.t1 and (g2731.t1 or g7353.t1 or g11259.t1 or g17265.t1 or g4357.t1 or g9540.t1)</t>
  </si>
  <si>
    <t>LALDD1</t>
  </si>
  <si>
    <t>g16315.t1 or g15064.t1 or g9573.t1</t>
  </si>
  <si>
    <t>LCGH</t>
  </si>
  <si>
    <t>g12547.t1 or g12805.t1 or g18233.t1 or g2182.t1 or g7181.t1 or g7182.t1 or g15998.t1 or g16996.t1 or g5505.t1</t>
  </si>
  <si>
    <t>LCYD</t>
  </si>
  <si>
    <t>g7657.t1</t>
  </si>
  <si>
    <t>LCYE</t>
  </si>
  <si>
    <t>LGTHL</t>
  </si>
  <si>
    <t>g5878.t1 or g3751.t1 or g6029.t1</t>
  </si>
  <si>
    <t>LIDODM</t>
  </si>
  <si>
    <t>LIDOMO</t>
  </si>
  <si>
    <t>LLDH_ferr_x</t>
  </si>
  <si>
    <t>g4833.t1</t>
  </si>
  <si>
    <t>LNLCCOAL</t>
  </si>
  <si>
    <t>LNLCCOAOR</t>
  </si>
  <si>
    <t>LNLNCACOAL</t>
  </si>
  <si>
    <t>LNLNCGCOAL</t>
  </si>
  <si>
    <t>LUMIRHODOPSINI</t>
  </si>
  <si>
    <t>LYSTLm</t>
  </si>
  <si>
    <t>g1464.t1 or g16444.t1 or g17212.t1 or g8899.t1</t>
  </si>
  <si>
    <t>MAGAH160</t>
  </si>
  <si>
    <t>g2583.t1 or g7545.t1</t>
  </si>
  <si>
    <t>MAGAH180</t>
  </si>
  <si>
    <t>MAGAH18111Z</t>
  </si>
  <si>
    <t>MAGAH1819Z</t>
  </si>
  <si>
    <t>MALGLUth</t>
  </si>
  <si>
    <t>g12660.t1 or g17410.t1 or g18774.t1</t>
  </si>
  <si>
    <t>g14459.t1 and (g11755.t1 or g3312.t1 or g7158.t1 or g7353.t1)</t>
  </si>
  <si>
    <t>MCOATAm</t>
  </si>
  <si>
    <t>MDHC_nadp_hr</t>
  </si>
  <si>
    <t>g10416.t1 or g10884.t1 or g12203.t1 or g17024.t1 or g17464.t1 or g7458.t1 or g8120.t1 or g11268.t1 or g4494.t1</t>
  </si>
  <si>
    <t>METARHODOPSINH</t>
  </si>
  <si>
    <t>METHFth</t>
  </si>
  <si>
    <t>g10597.t1 or g13153.t1 or g13269.t1 or g2010.t1 or g3778.t1 or g4559.t1</t>
  </si>
  <si>
    <t>METTF</t>
  </si>
  <si>
    <t>g5800.t1 or g6323.t1</t>
  </si>
  <si>
    <t>METth</t>
  </si>
  <si>
    <t>MGDGD4DS1819Z1644Z7Z10Z13Z</t>
  </si>
  <si>
    <t>MGDGD4DS1829Z12Z1634Z7Z10Z</t>
  </si>
  <si>
    <t>MGDGD4DS1829Z12Z1644Z7Z10Z13Z</t>
  </si>
  <si>
    <t>MGDGD4DS1839Z12Z15Z1634Z7Z10Z</t>
  </si>
  <si>
    <t>MGDGD4DS1839Z12Z15Z1644Z7Z10Z13Z</t>
  </si>
  <si>
    <t>MGDGD7DS1819Z1617Z</t>
  </si>
  <si>
    <t>(g7404.t1 or g14235.t1 or g3674.t1) and (g832.t1 or g1357.t1 or g6355.t1 or g10393.t1 or g6176.t1 or g3664.t1</t>
  </si>
  <si>
    <t>MGDGD7DS1829Z12Z1617Z</t>
  </si>
  <si>
    <t>MGHA</t>
  </si>
  <si>
    <t>MGHB</t>
  </si>
  <si>
    <t>g3219.t1 or g11749.t1 or g6100.t1 or g6809.t1</t>
  </si>
  <si>
    <t>MI3PP</t>
  </si>
  <si>
    <t>MI4PP</t>
  </si>
  <si>
    <t>MIHKPP</t>
  </si>
  <si>
    <t>g9991.t1</t>
  </si>
  <si>
    <t>MITKP</t>
  </si>
  <si>
    <t>MLGH</t>
  </si>
  <si>
    <t>MM1</t>
  </si>
  <si>
    <t>g2600.t1 or g5299.t1</t>
  </si>
  <si>
    <t>MM3</t>
  </si>
  <si>
    <t>MMAOR</t>
  </si>
  <si>
    <t>g10050.t1 or g14973.t1 or g16223.t1 or g6524.t1</t>
  </si>
  <si>
    <t>MPMECY1</t>
  </si>
  <si>
    <t>g3793.t1 or g6934.t1</t>
  </si>
  <si>
    <t>MPMECY2</t>
  </si>
  <si>
    <t>MPMECY3</t>
  </si>
  <si>
    <t>MPML</t>
  </si>
  <si>
    <t>(g6177.t1 or g8117.t1) and (g12591.t1 or g15637.t1 or g9420.t1 or g2617.t1) and (g10833.t1 or g6177.t1 or g8117.t1)</t>
  </si>
  <si>
    <t>MPQMT</t>
  </si>
  <si>
    <t>g15208.t1</t>
  </si>
  <si>
    <t>MSBQMT</t>
  </si>
  <si>
    <t>MTGH</t>
  </si>
  <si>
    <t>MTHFCx</t>
  </si>
  <si>
    <t>g2574.t1 or g4563.t1 or g15556.t1</t>
  </si>
  <si>
    <t>NA1ATPasem</t>
  </si>
  <si>
    <t>g13772.t1 and (g2134.t1 or g6318.t1)</t>
  </si>
  <si>
    <t>NADHOR</t>
  </si>
  <si>
    <t>g6244.t1 and g8988.t1 and g5708.t1 and g985.t1 and g5183.t1 and g4445.t1 and g8749.t1 and g7631.t1 and g4018.t1 and g6241.t1 and g8184.t1 and g2017.t1 and g370.t1 and g2622.t1 and g7445.t1 and (g2315.t1 or g2499.t1 or g7464.t1) and g8036.t1 and g2651.t1</t>
  </si>
  <si>
    <t>NADHOR_2h</t>
  </si>
  <si>
    <t>g11552.t1 or g14043.t1 or g7110.t1</t>
  </si>
  <si>
    <t>NARP</t>
  </si>
  <si>
    <t>g13391.t1 or g13392.t1 or g7011.t1 or g9898.t1</t>
  </si>
  <si>
    <t>NDPK</t>
  </si>
  <si>
    <t>NH4t</t>
  </si>
  <si>
    <t>g111.t1 or g16375.t1 or g17872.t1 or g3212.t1 or g5860.t1 or g6591.t1 or g6804.t1 or g11223.t1 or g7221.t1 or g17131.t1 or g9521.t1 or g15993.t1</t>
  </si>
  <si>
    <t>NH4th</t>
  </si>
  <si>
    <t>NH4tm</t>
  </si>
  <si>
    <t>NH4tn</t>
  </si>
  <si>
    <t>NH4tx</t>
  </si>
  <si>
    <t>NO2R</t>
  </si>
  <si>
    <t>(g15088.t1 or g9427.t1) and (g832.t1 or g1357.t1 or g6355.t1 or g10393.t1 or g6176.t1 or g3664.t1)</t>
  </si>
  <si>
    <t>NO2t</t>
  </si>
  <si>
    <t>g14460.t1 or g2915.t1 or g3170.t1 or g905.t1</t>
  </si>
  <si>
    <t>NO2th</t>
  </si>
  <si>
    <t>NO3t</t>
  </si>
  <si>
    <t>NRPH</t>
  </si>
  <si>
    <t>OAGMIG</t>
  </si>
  <si>
    <t>OGMEACPS</t>
  </si>
  <si>
    <t>g2731.t1 or g7353.t1 or g11259.t1 or g17265.t1 or g4357.t1 or g9540.t1</t>
  </si>
  <si>
    <t>OPMEACPS</t>
  </si>
  <si>
    <t>ORDC</t>
  </si>
  <si>
    <t>g10261.t1 or g107.t1 or g13005.t1</t>
  </si>
  <si>
    <t>ORDCh</t>
  </si>
  <si>
    <t>ORNtm</t>
  </si>
  <si>
    <t>g5977.t1</t>
  </si>
  <si>
    <t>PACOAL</t>
  </si>
  <si>
    <t>PAIL18111Z160t</t>
  </si>
  <si>
    <t>g11156.t1 or g17121.t1 or g2620.t1 or g2621.t1 or g4187.t1</t>
  </si>
  <si>
    <t>PAIL1819Z160t</t>
  </si>
  <si>
    <t>PAO</t>
  </si>
  <si>
    <t>PCHLDR</t>
  </si>
  <si>
    <t>g11700.t1</t>
  </si>
  <si>
    <t>PCPPTh</t>
  </si>
  <si>
    <t>g12032.t1 or g14140.t1 or g15331.t1 or g15926.t1 or g17018.t1</t>
  </si>
  <si>
    <t>PCPPTm</t>
  </si>
  <si>
    <t>PDHe2r</t>
  </si>
  <si>
    <t>g14056.t1 or g4948.t1</t>
  </si>
  <si>
    <t>PDHe3mr</t>
  </si>
  <si>
    <t>PDXPP</t>
  </si>
  <si>
    <t>g11298.t1 or g2732.t1 or g9588.t1</t>
  </si>
  <si>
    <t>PE1801819Zt</t>
  </si>
  <si>
    <t>PE1801829Z12Zt</t>
  </si>
  <si>
    <t>PE1801835Z9Z12Zt</t>
  </si>
  <si>
    <t>PE1801845Z9Z12Z15Zt</t>
  </si>
  <si>
    <t>PE18111Z1819Zt</t>
  </si>
  <si>
    <t>PE18111Z1829Z12Zt</t>
  </si>
  <si>
    <t>PE18111Z1835Z9Z12Zt</t>
  </si>
  <si>
    <t>PE18111Z1845Z9Z12Z15Zt</t>
  </si>
  <si>
    <t>PE1819Z1819Zt</t>
  </si>
  <si>
    <t>PE1819Z1829Z12Zt</t>
  </si>
  <si>
    <t>PE1819Z1835Z9Z12Zt</t>
  </si>
  <si>
    <t>PE1819Z1845Z9Z12Z15Zt</t>
  </si>
  <si>
    <t>PE1829Z12Z1835Z9Z12Zt</t>
  </si>
  <si>
    <t>PED5DS1801835Z9Z12Z</t>
  </si>
  <si>
    <t>g4389.t1 or g7404.t1 or g2138.t1</t>
  </si>
  <si>
    <t>PED5DS18111Z1835Z9Z12Z</t>
  </si>
  <si>
    <t>PED5DS1819Z1835Z9Z12Z</t>
  </si>
  <si>
    <t>PEPPIth</t>
  </si>
  <si>
    <t>g1968.t1 or g2824.t1 or g3145.t1 or g4902.t1 or g7463.t1 or g11218.t1 or g17711.t1 or g9187.t1</t>
  </si>
  <si>
    <t>PFK26</t>
  </si>
  <si>
    <t>g11266.t1 or g11657.t1</t>
  </si>
  <si>
    <t>PFKh</t>
  </si>
  <si>
    <t>g12414.t1 or g3635.t1 or g8664.t1</t>
  </si>
  <si>
    <t>PG18111Z160t</t>
  </si>
  <si>
    <t>PG1819Z160t</t>
  </si>
  <si>
    <t>PGD3TDS18111Z1613E</t>
  </si>
  <si>
    <t>PGD3TDS1819Z1613E</t>
  </si>
  <si>
    <t>PGD3TDS1829Z12Z1613E</t>
  </si>
  <si>
    <t>PGD3TDS1839Z12Z15Z1613E</t>
  </si>
  <si>
    <t>PGIA</t>
  </si>
  <si>
    <t>g5830.t1</t>
  </si>
  <si>
    <t>PGIAh</t>
  </si>
  <si>
    <t>PGIB</t>
  </si>
  <si>
    <t>PGIBh</t>
  </si>
  <si>
    <t>PGLYDH</t>
  </si>
  <si>
    <t>PGP18111Z160t</t>
  </si>
  <si>
    <t>PGP1819Z160t</t>
  </si>
  <si>
    <t>PGPS18111Z160</t>
  </si>
  <si>
    <t>g11429.t1 or g4562.t1 or g3782.t1</t>
  </si>
  <si>
    <t>PGPS18111Z160h</t>
  </si>
  <si>
    <t>PGPS1819Z160</t>
  </si>
  <si>
    <t>PGPS1819Z160h</t>
  </si>
  <si>
    <t>PGW3DS1839Z12Z15Z160</t>
  </si>
  <si>
    <t>PGW6DS1829Z12Z160</t>
  </si>
  <si>
    <t>g7404.t1 and (g832.t1 or g1357.t1 or g6355.t1 or g10393.t1 or g6176.t1 or g3664.t1)</t>
  </si>
  <si>
    <t>PHYTOLK</t>
  </si>
  <si>
    <t>g14168.t1 or g6643.t1</t>
  </si>
  <si>
    <t>PINA1th</t>
  </si>
  <si>
    <t>g11079.t1 or g1132.t1 or g14442.t1 or g14443.t1 or g1513.t1 or g1514.t1 or g16728.t1 or g17048.t1 or g17171.t1 or g17708.t1 or g18218.t1 or g18624.t1 or g7400.t1 or g7401.t1 or g9020.t1</t>
  </si>
  <si>
    <t>PINA1tm</t>
  </si>
  <si>
    <t>PIt</t>
  </si>
  <si>
    <t>g12551.t1 or g3986.t1 or g4818.t1 or g5261.t1 or g5262.t1</t>
  </si>
  <si>
    <t>PItf</t>
  </si>
  <si>
    <t>PItm</t>
  </si>
  <si>
    <t>PItx</t>
  </si>
  <si>
    <t>PLPSA21801819Z</t>
  </si>
  <si>
    <t>g10618.t1 or g11072.t1 or g11688.t1 or g11826.t1 or g127.t1 or g2440.t1 or g6011.t1 or g633.t1 or g6951.t1</t>
  </si>
  <si>
    <t>PLPSA21801829Z12Z</t>
  </si>
  <si>
    <t>PLPSA21801835Z9Z12Z</t>
  </si>
  <si>
    <t>PLPSA21801845Z9Z12Z15Z</t>
  </si>
  <si>
    <t>PLPSA218111Z1819Z</t>
  </si>
  <si>
    <t>PLPSA218111Z1829Z12Z</t>
  </si>
  <si>
    <t>PLPSA218111Z1835Z9Z12Z</t>
  </si>
  <si>
    <t>PLPSA218111Z1845Z9Z12Z15Z</t>
  </si>
  <si>
    <t>PLPSA21819Z1819Z</t>
  </si>
  <si>
    <t>PLPSA21819Z1829Z12Z</t>
  </si>
  <si>
    <t>PLPSA21819Z1835Z9Z12Z</t>
  </si>
  <si>
    <t>PLPSA21819Z1845Z9Z12Z15Z</t>
  </si>
  <si>
    <t>PLPSA21829Z12Z1835Z9Z12Z</t>
  </si>
  <si>
    <t>POAT</t>
  </si>
  <si>
    <t>g4420.t1 or g7444.t1 or g17271.t1 or g3105.t1 or g5152.t1 or g7213.t1 or g4849.t1 or g7449.t1</t>
  </si>
  <si>
    <t>POATh</t>
  </si>
  <si>
    <t>POATm</t>
  </si>
  <si>
    <t>PPC</t>
  </si>
  <si>
    <t>g10230.t1 or g14598.t1 or g14615.t1 or g14835.t1 or g15226.t1 or g2773.t1 or g432.t1</t>
  </si>
  <si>
    <t>PPDKh</t>
  </si>
  <si>
    <t>g11598.t1 or g13916.t1 or g5401.t1</t>
  </si>
  <si>
    <t>PPRGL</t>
  </si>
  <si>
    <t>g10021.t1 or g3975.t1</t>
  </si>
  <si>
    <t>PPRGLh</t>
  </si>
  <si>
    <t>PROAKGOX1</t>
  </si>
  <si>
    <t>g16388.t1 or g6372.t1 or g695.t1 or g7088.t1 or g7089.t1 or g8984.t1 or g9046.t1 or g9047.t1 or g12281.t1 or g13090.t1 or g15138.t1 or g5960.t1 or g825.t1 or g8303.t1 or g9353.t1 or g13721.t1</t>
  </si>
  <si>
    <t>PROOR</t>
  </si>
  <si>
    <t>g12769.t1 or g14356.t1 or g17261.t1 or g6528.t1</t>
  </si>
  <si>
    <t>PROTL</t>
  </si>
  <si>
    <t>g15865.t1 or g8760.t1 or g9649.t1</t>
  </si>
  <si>
    <t>PSIIblue</t>
  </si>
  <si>
    <t>g10258.t1 and (g13060.t1 or g15121.t1 or g15663.t1 or g2045.t1 or g8971.t1) and (g10462.t1 or g12425.t1 or g13060.t1 or g14190.t1 or g15121.t1 or g15663.t1 or g15714.t1 or g7126.t1 or g7372.t1 or g8848.t1 or g8971.t1 or g906.t1 or g9677.t1) and (g10462.t1 or g1067.t1 or g12425.t1 or g13060.t1 or g15121.t1 or g15663.t1 or g2045.t1 or g7126.t1 or g7372.t1 or g8848.t1 or g8971.t1 or g906.t1 or g9677.t1) and (g10462.t1 or g1067.t1 or g12425.t1 or g13060.t1 or g14682.t1 or g15121.t1 or g15663.t1 or g2045.t1 or g7126.t1 or g7372.t1 or g8848.t1 or g8971.t1 or g906.t1 or g9677.t1) and g4010.t1 and g13201.t1 and g2165.t1 and g11070.t1 and g255.t1 and g2445.t1 and g5974.t1 and g1378.t1 and g1379.t1 and g12545.t1 and g168.t1 and g11961.t1 and g8506.t1 and g14199.t1 and g13769.t1 and g7953.t1 and g3472.t1</t>
  </si>
  <si>
    <t>PSIIred</t>
  </si>
  <si>
    <t>PSIblue</t>
  </si>
  <si>
    <t>(g10462.t1 or g1067.t1 or g12425.t1 or g12759.t1 or g13060.t1 or g14190.t1 or g14682.t1 or g15121.t1 or g15663.t1 or g15714.t1 or g5642.t1 or g6707.t1 or g7126.t1 or g7372.t1 or g8848.t1 or g8971.t1 or g9336.t1 or g9677.t1 or g9686.t1) and g2577.t1 and (g1357.t1 or g6176.t1 or g6355.t1 or g832.t1) and g10892.t1 and g13929.t1 and OLD_iCre_Cre10.g420350.t1.2 and g9510.t1 and g784.t1 and g6830.t1 and g13994.t1 and g3359.t1 and g8176.t1 and g10278.t1 and g2560.t1 and g13565.t1</t>
  </si>
  <si>
    <t>PSIred</t>
  </si>
  <si>
    <t>PSP</t>
  </si>
  <si>
    <t>g14226.t1 or g18146.t1 or g7678.t1 or g7826.t1</t>
  </si>
  <si>
    <t>PSPPS</t>
  </si>
  <si>
    <t>g3837.t1</t>
  </si>
  <si>
    <t>PTArh</t>
  </si>
  <si>
    <t>PTArm</t>
  </si>
  <si>
    <t>PTOR</t>
  </si>
  <si>
    <t>PYAMPP</t>
  </si>
  <si>
    <t>g7925.t1</t>
  </si>
  <si>
    <t>PYDXDH</t>
  </si>
  <si>
    <t>PYDXNK</t>
  </si>
  <si>
    <t>PYDXPP</t>
  </si>
  <si>
    <t>PYKf</t>
  </si>
  <si>
    <t>PYKm</t>
  </si>
  <si>
    <t>PYRShi</t>
  </si>
  <si>
    <t>(g13324.t1 or g9217.t1) and (g832.t1 or g1357.t1 or g6355.t1 or g10393.t1 or g6176.t1 or g3664.t1)</t>
  </si>
  <si>
    <t>RBCh</t>
  </si>
  <si>
    <t>g8275.t1 or g8275.t1</t>
  </si>
  <si>
    <t>RBPCh</t>
  </si>
  <si>
    <t>RETINOLACACT</t>
  </si>
  <si>
    <t>RETINOLSAT</t>
  </si>
  <si>
    <t>g9007.t1 or g9777.t1 or g4441.t1 or g16751.t1</t>
  </si>
  <si>
    <t>RFH</t>
  </si>
  <si>
    <t>RHODOPSINI</t>
  </si>
  <si>
    <t>RHODOPSINRT</t>
  </si>
  <si>
    <t>RSPN</t>
  </si>
  <si>
    <t>SAGH</t>
  </si>
  <si>
    <t>SAT</t>
  </si>
  <si>
    <t>g13844.t1 or g9488.t1</t>
  </si>
  <si>
    <t>SATm</t>
  </si>
  <si>
    <t>SECYSTL</t>
  </si>
  <si>
    <t>g11137.t1 or g1380.t1 or g19275.t1 or g331.t1 or g1097.t1</t>
  </si>
  <si>
    <t>SELTORc</t>
  </si>
  <si>
    <t>(g11854.t1 or g14357.t1 or g4587.t1) and g4338.t1</t>
  </si>
  <si>
    <t>SERTL</t>
  </si>
  <si>
    <t>SERth</t>
  </si>
  <si>
    <t>SERtm</t>
  </si>
  <si>
    <t>SFH</t>
  </si>
  <si>
    <t>SO4NA1t</t>
  </si>
  <si>
    <t>g1462.t1 and (g1343.t1 or g1344.t1 or g495.t1)</t>
  </si>
  <si>
    <t>SPHGNAT</t>
  </si>
  <si>
    <t>g3165.t1 or g11977.t1 or g14635.t1 or g5565.t1 or g213.t1 or g3507.t1 or g6764.t1</t>
  </si>
  <si>
    <t>SPHINGSAT</t>
  </si>
  <si>
    <t>SPP</t>
  </si>
  <si>
    <t>g16561.t1 or g849.t1 or g12749.t1 or g16561.t1 or g17933.t1</t>
  </si>
  <si>
    <t>SQDGW3DS1839Z12Z15Z160</t>
  </si>
  <si>
    <t>SQDGW6DS1829Z12Z160</t>
  </si>
  <si>
    <t>SS</t>
  </si>
  <si>
    <t>STARCH300DEGR2A</t>
  </si>
  <si>
    <t>g2461.t1 and (g2392.t1 or g4711.t1) and (g12488.t1 or g14350.t1 or g15951.t1 or g16965.t1 or g17341.t1 or g14941.t1 or g8334.t1 or g9615.t1) and (g2196.t1 or g501.t1 or g5368.t1) and (g12966.t1 or g335.t1 or g40.t1)</t>
  </si>
  <si>
    <t>STARCH300DEGR2B</t>
  </si>
  <si>
    <t>STARCH300DEGRA</t>
  </si>
  <si>
    <t>STARCH300DEGRB</t>
  </si>
  <si>
    <t>STARCH300S</t>
  </si>
  <si>
    <t>(g11048.t1 or g15325.t1 or g15719.t1 or g17335.t1 or g44.t1) and ( g11975.t1 or g12400.t1 or g12941.t1 or g18161.t1 or g18445.t1 or g4843.t1 or g5104.t1 or g8039.t1 or g11255.t1 or g5475.t1 or g12038.t1 or g5548.t1 or g17644.t1 or g5937.t1 or g157.t1 or g17070.t1 or g16160.t1 )</t>
  </si>
  <si>
    <t>SUAT</t>
  </si>
  <si>
    <t>g10286.t1 or g12.t1</t>
  </si>
  <si>
    <t>SULR_ferr</t>
  </si>
  <si>
    <t>g11854.t1 or g14357.t1 or g4587.t1 or g11654.t1</t>
  </si>
  <si>
    <t>SYGH</t>
  </si>
  <si>
    <t>TAGAH16018111Z160</t>
  </si>
  <si>
    <t>TAGAH16018111Z180</t>
  </si>
  <si>
    <t>TAGAH16018111Z18111Z</t>
  </si>
  <si>
    <t>TAGAH16018111Z1819Z</t>
  </si>
  <si>
    <t>TAGAH16018111Z1835Z9Z12Z</t>
  </si>
  <si>
    <t>TAGAH16018111Z1845Z9Z12Z15Z</t>
  </si>
  <si>
    <t>TAGAH1601819Z160</t>
  </si>
  <si>
    <t>TAGAH1601819Z180</t>
  </si>
  <si>
    <t>TAGAH1601819Z18111Z</t>
  </si>
  <si>
    <t>TAGAH1601819Z1819Z</t>
  </si>
  <si>
    <t>TAGAH1601819Z1835Z9Z12Z</t>
  </si>
  <si>
    <t>TAGAH1601819Z1845Z9Z12Z15Z</t>
  </si>
  <si>
    <t>TAGAH1801819Z160</t>
  </si>
  <si>
    <t>TAGAH1801819Z180</t>
  </si>
  <si>
    <t>TAGAH1801819Z18111Z</t>
  </si>
  <si>
    <t>TAGAH1801819Z1819Z</t>
  </si>
  <si>
    <t>TAGAH1801819Z1835Z9Z12Z</t>
  </si>
  <si>
    <t>TAGAH1801819Z1845Z9Z12Z15Z</t>
  </si>
  <si>
    <t>TAGAH18111Z18111Z160</t>
  </si>
  <si>
    <t>TAGAH18111Z18111Z180</t>
  </si>
  <si>
    <t>TAGAH18111Z18111Z18111Z</t>
  </si>
  <si>
    <t>TAGAH18111Z18111Z1819Z</t>
  </si>
  <si>
    <t>TAGAH18111Z18111Z1835Z9Z12Z</t>
  </si>
  <si>
    <t>TAGAH18111Z18111Z1845Z9Z12Z15Z</t>
  </si>
  <si>
    <t>TAGAH18111Z1819Z160</t>
  </si>
  <si>
    <t>TAGAH18111Z1819Z180</t>
  </si>
  <si>
    <t>TAGAH18111Z1819Z18111Z</t>
  </si>
  <si>
    <t>TAGAH18111Z1819Z1819Z</t>
  </si>
  <si>
    <t>TAGAH18111Z1819Z1835Z9Z12Z</t>
  </si>
  <si>
    <t>TAGAH18111Z1819Z1845Z9Z12Z15Z</t>
  </si>
  <si>
    <t>TAGAH1819Z18111Z160</t>
  </si>
  <si>
    <t>TAGAH1819Z18111Z180</t>
  </si>
  <si>
    <t>TAGAH1819Z18111Z18111Z</t>
  </si>
  <si>
    <t>TAGAH1819Z18111Z1819Z</t>
  </si>
  <si>
    <t>TAGAH1819Z18111Z1835Z9Z12Z</t>
  </si>
  <si>
    <t>TAGAH1819Z18111Z1845Z9Z12Z15Z</t>
  </si>
  <si>
    <t>TAGAH1819Z1819Z160</t>
  </si>
  <si>
    <t>TAGAH1819Z1819Z180</t>
  </si>
  <si>
    <t>TAGAH1819Z1819Z18111Z</t>
  </si>
  <si>
    <t>TAGAH1819Z1819Z1819Z</t>
  </si>
  <si>
    <t>TAGAH1819Z1819Z1835Z9Z12Z</t>
  </si>
  <si>
    <t>TAGAH1819Z1819Z1845Z9Z12Z15Z</t>
  </si>
  <si>
    <t>TAh</t>
  </si>
  <si>
    <t>g4786.t1 or g12213.t1 or g12881.t1</t>
  </si>
  <si>
    <t>TDSR</t>
  </si>
  <si>
    <t>(g15317.t1 or g3880.t1 or g10811.t1) and (g12703.t1 or g12741.t1 or g128.t1 or g3211.t1)</t>
  </si>
  <si>
    <t>TDSRh</t>
  </si>
  <si>
    <t>(g12703.t1 or g12741.t1 or g128.t1 or g3211.t1 or g16137.t1) and (g12753.t1 or g1283.t1 or g716.t1 or g12741.t1 or g128.t1 or g16137.t1 or g3211.t1)</t>
  </si>
  <si>
    <t>TEGAMO</t>
  </si>
  <si>
    <t>TEGAt</t>
  </si>
  <si>
    <t>TGUAPRT</t>
  </si>
  <si>
    <t>TGUAt</t>
  </si>
  <si>
    <t>THP</t>
  </si>
  <si>
    <t>g673.t1 or g12838.t1 or g13551.t1 or g13996.t1 or g10598.t1 or g16931.t1</t>
  </si>
  <si>
    <t>THRTL</t>
  </si>
  <si>
    <t>g15813.t1 or g9911.t1 or g1262.t1</t>
  </si>
  <si>
    <t>THRth</t>
  </si>
  <si>
    <t>THRtm</t>
  </si>
  <si>
    <t>TRETINOLPMTACT</t>
  </si>
  <si>
    <t>TRP23OR</t>
  </si>
  <si>
    <t>g12324.t1 or g14523.t1 or g17668.t1 or g6704.t1</t>
  </si>
  <si>
    <t>TYRTAh</t>
  </si>
  <si>
    <t>g4420.t1 or g7444.t1 or g17271.t1 or g3105.t1 or g5152.t1 or g7213.t1</t>
  </si>
  <si>
    <t>TYRTAm</t>
  </si>
  <si>
    <t>UDPGLCURH</t>
  </si>
  <si>
    <t>g15679.t1 or g16197.t1</t>
  </si>
  <si>
    <t>UG6PGT</t>
  </si>
  <si>
    <t>g12838.t1 or g13551.t1 or g13996.t1 or g11368.t1 or g16931.t1 or g10598.t1</t>
  </si>
  <si>
    <t>UG6PGTn</t>
  </si>
  <si>
    <t>UGDH</t>
  </si>
  <si>
    <t>g10076.t1 or g12834.t1 or g187.t1</t>
  </si>
  <si>
    <t>UPH</t>
  </si>
  <si>
    <t>UPPDC1</t>
  </si>
  <si>
    <t>g4072.t1 or g6295.t1 or g9632.t1</t>
  </si>
  <si>
    <t>UPPDC2</t>
  </si>
  <si>
    <t>URATEt</t>
  </si>
  <si>
    <t>g17752.t1 or g17895.t1 or g19187.t1 or g8252.t1 or g9402.t1</t>
  </si>
  <si>
    <t>URATEtm</t>
  </si>
  <si>
    <t>URCB</t>
  </si>
  <si>
    <t>g13746.t1 or g14146.t1 or g14209.t1 or g8748.t1</t>
  </si>
  <si>
    <t>URCBm</t>
  </si>
  <si>
    <t>UREAt</t>
  </si>
  <si>
    <t>g3155.t1 or g6594.t1 or g6595.t1</t>
  </si>
  <si>
    <t>UREAtm</t>
  </si>
  <si>
    <t>URIH</t>
  </si>
  <si>
    <t>g5204.t1 or g10751.t1</t>
  </si>
  <si>
    <t>UTCY</t>
  </si>
  <si>
    <t>UTPH</t>
  </si>
  <si>
    <t>UTUP</t>
  </si>
  <si>
    <t>VALTL</t>
  </si>
  <si>
    <t>g13814.t1 or g16367.t1 or g17514.t1 or g6786.t1 or g7913.t1</t>
  </si>
  <si>
    <t>VALTLh</t>
  </si>
  <si>
    <t>VALth</t>
  </si>
  <si>
    <t>VALtm</t>
  </si>
  <si>
    <t>XPPRT</t>
  </si>
  <si>
    <t>XTSNRH</t>
  </si>
  <si>
    <t>ZHY</t>
  </si>
  <si>
    <t>ori_MetID</t>
  </si>
  <si>
    <t>updated_MetName</t>
  </si>
  <si>
    <t>Chlorophyll a'[u]</t>
  </si>
  <si>
    <t>Chlorophyll a</t>
  </si>
  <si>
    <t>Rxn</t>
  </si>
  <si>
    <t>updatedEC-NUMBER</t>
  </si>
  <si>
    <t>10FTHFGLULL</t>
  </si>
  <si>
    <t>10FTHFGLULLm</t>
  </si>
  <si>
    <t>13HODEOR</t>
  </si>
  <si>
    <t>2DHPFALDL</t>
  </si>
  <si>
    <t>2.1.2.11;4.1.2.12</t>
  </si>
  <si>
    <t>34HPPYRI</t>
  </si>
  <si>
    <t>5.3.2.1;5.3.2.6</t>
  </si>
  <si>
    <t>3DSPHR</t>
  </si>
  <si>
    <t>1.1.1.102</t>
  </si>
  <si>
    <t>3HAD100</t>
  </si>
  <si>
    <t>2.3.1.-;2.3.1.85;2.3.1.86;4.2.1.58;4.2.1.59;4.2.1.60;4.2.1.61</t>
  </si>
  <si>
    <t>3HAD120</t>
  </si>
  <si>
    <t>3HAD140</t>
  </si>
  <si>
    <t>2.3.1.-;2.3.1.85;2.3.1.86;4.2.1.59;4.2.1.61</t>
  </si>
  <si>
    <t>3HAD160</t>
  </si>
  <si>
    <t>3HAD180</t>
  </si>
  <si>
    <t>2.3.1.-;4.2.1.-;4.2.1.61</t>
  </si>
  <si>
    <t>3HAD181</t>
  </si>
  <si>
    <t>3HAD40</t>
  </si>
  <si>
    <t>3HAD60</t>
  </si>
  <si>
    <t>2.3.1.-;2.3.1.85;2.3.1.86;4.2.1.58;4.2.1.59</t>
  </si>
  <si>
    <t>3HAD80</t>
  </si>
  <si>
    <t>2.3.1.-;2.3.1.85;2.3.1.86;4.2.1.58;4.2.1.59;4.2.1.61</t>
  </si>
  <si>
    <t>3OACOAR</t>
  </si>
  <si>
    <t>1.1.1.330</t>
  </si>
  <si>
    <t>2.3.1.199</t>
  </si>
  <si>
    <t>3OAR100</t>
  </si>
  <si>
    <t>1.1.1.100;2.3.1.-;2.3.1.85;2.3.1.86</t>
  </si>
  <si>
    <t>3OAR120</t>
  </si>
  <si>
    <t>3OAR140</t>
  </si>
  <si>
    <t>3OAR160</t>
  </si>
  <si>
    <t>3OAR180</t>
  </si>
  <si>
    <t>3OAR181</t>
  </si>
  <si>
    <t>3OAR40</t>
  </si>
  <si>
    <t>3OAR60</t>
  </si>
  <si>
    <t>3OAR80</t>
  </si>
  <si>
    <t>3OAS100</t>
  </si>
  <si>
    <t>3OAS120</t>
  </si>
  <si>
    <t>3OAS140</t>
  </si>
  <si>
    <t>3OAS160</t>
  </si>
  <si>
    <t>3OAS180</t>
  </si>
  <si>
    <t>3OAS181</t>
  </si>
  <si>
    <t>3OAS60</t>
  </si>
  <si>
    <t>3OAS80</t>
  </si>
  <si>
    <t>3SPYRSPh</t>
  </si>
  <si>
    <t>3.13.1</t>
  </si>
  <si>
    <t>3SPYRSPm</t>
  </si>
  <si>
    <t>56DH5FLURAAMH</t>
  </si>
  <si>
    <t>3.5.2.2</t>
  </si>
  <si>
    <t>5FLURAOR</t>
  </si>
  <si>
    <t>1.3.1.2</t>
  </si>
  <si>
    <t>5FLURAPRT</t>
  </si>
  <si>
    <t>6TINS5MPOR</t>
  </si>
  <si>
    <t>6TXAN5MPAML</t>
  </si>
  <si>
    <t>A1E</t>
  </si>
  <si>
    <t>AAAT</t>
  </si>
  <si>
    <t>2.3.1.1</t>
  </si>
  <si>
    <t>AABHH</t>
  </si>
  <si>
    <t>3.4.13.18;3.4.13.20;3.4.13.3</t>
  </si>
  <si>
    <t>AACPS1</t>
  </si>
  <si>
    <t>6.2.1.20</t>
  </si>
  <si>
    <t>AACPS3</t>
  </si>
  <si>
    <t>AACPS6</t>
  </si>
  <si>
    <t>AAPT</t>
  </si>
  <si>
    <t>2.7.1.46</t>
  </si>
  <si>
    <t>AASP</t>
  </si>
  <si>
    <t>AASPh</t>
  </si>
  <si>
    <t>AASPm</t>
  </si>
  <si>
    <t>2.6.1.2</t>
  </si>
  <si>
    <t>AATHA</t>
  </si>
  <si>
    <t>3.2.1.20;3.2.1.28</t>
  </si>
  <si>
    <t>AATHB</t>
  </si>
  <si>
    <t>3.2.1.28</t>
  </si>
  <si>
    <t>ABFPT</t>
  </si>
  <si>
    <t>2.7.1.1;2.7.1.4</t>
  </si>
  <si>
    <t>ABFPTh</t>
  </si>
  <si>
    <t>ABOR</t>
  </si>
  <si>
    <t>1.2.1;1.2.1.3</t>
  </si>
  <si>
    <t>ACACT</t>
  </si>
  <si>
    <t>ACACT1</t>
  </si>
  <si>
    <t>2.3.1.16;2.3.1.9</t>
  </si>
  <si>
    <t>ACACT2m</t>
  </si>
  <si>
    <t>ACACT3</t>
  </si>
  <si>
    <t>ACACT3m</t>
  </si>
  <si>
    <t>ACACT4</t>
  </si>
  <si>
    <t>ACACT4m</t>
  </si>
  <si>
    <t>ACACT5</t>
  </si>
  <si>
    <t>ACACT5m</t>
  </si>
  <si>
    <t>ACACT6</t>
  </si>
  <si>
    <t>ACACT6m</t>
  </si>
  <si>
    <t>ACACT7</t>
  </si>
  <si>
    <t>2.3.1.155;2.3.1.16;2.3.1.9</t>
  </si>
  <si>
    <t>ACACT7m</t>
  </si>
  <si>
    <t>ACALDh</t>
  </si>
  <si>
    <t>ACAS_2ahbut</t>
  </si>
  <si>
    <t>3.5.99.7</t>
  </si>
  <si>
    <t>ACCAT</t>
  </si>
  <si>
    <t>ACCOACm</t>
  </si>
  <si>
    <t>ACCOAhi</t>
  </si>
  <si>
    <t>ACDO</t>
  </si>
  <si>
    <t>1.13.11.54</t>
  </si>
  <si>
    <t>ACDO_co</t>
  </si>
  <si>
    <t>1.13.11.53</t>
  </si>
  <si>
    <t>ACGAM6PSi</t>
  </si>
  <si>
    <t>ACGAMPM</t>
  </si>
  <si>
    <t>5.4.2.3</t>
  </si>
  <si>
    <t>ACHMSSELCYSL</t>
  </si>
  <si>
    <t>ACHMSSELCYSLh</t>
  </si>
  <si>
    <t>2.7.2.1;2.7.2.15</t>
  </si>
  <si>
    <t>1.3.99.3</t>
  </si>
  <si>
    <t>1.3.3.6;1.3.8.7;1.3.8.8;1.3.99.-;1.3.99.3</t>
  </si>
  <si>
    <t>1.3.3.6;1.3.8.7;1.3.8.8;1.3.8.9;1.3.99.-;1.3.99.3</t>
  </si>
  <si>
    <t>1.3.3.6;1.3.8.1;1.3.8.7;1.3.99.-;1.3.99.3</t>
  </si>
  <si>
    <t>ACOAR2m</t>
  </si>
  <si>
    <t>1.3.1.8</t>
  </si>
  <si>
    <t>ACOAR3m</t>
  </si>
  <si>
    <t>1.3.1.38;1.3.1.8</t>
  </si>
  <si>
    <t>ACOAR4m</t>
  </si>
  <si>
    <t>ACOAR5m</t>
  </si>
  <si>
    <t>ACOAR6m</t>
  </si>
  <si>
    <t>ACOAR7m</t>
  </si>
  <si>
    <t>ACOATA</t>
  </si>
  <si>
    <t>2.3.1.-;2.3.1.179;2.3.1.180;2.3.1.38;2.3.1.41;2.3.1.85;2.3.1.86</t>
  </si>
  <si>
    <t>ACONT</t>
  </si>
  <si>
    <t>4.2.1.3</t>
  </si>
  <si>
    <t>ACONTm</t>
  </si>
  <si>
    <t>ACONTx</t>
  </si>
  <si>
    <t>ACP</t>
  </si>
  <si>
    <t>ACPCS</t>
  </si>
  <si>
    <t>4.4.1.14</t>
  </si>
  <si>
    <t>ACPS1</t>
  </si>
  <si>
    <t>ACPS1h</t>
  </si>
  <si>
    <t>ACPS1m</t>
  </si>
  <si>
    <t>ACPh</t>
  </si>
  <si>
    <t>ACRS</t>
  </si>
  <si>
    <t>3.1.3.77;5.3.2.5</t>
  </si>
  <si>
    <t>ACRSP</t>
  </si>
  <si>
    <t>3.1.3.77;3.1.3.87</t>
  </si>
  <si>
    <t>ACS</t>
  </si>
  <si>
    <t>6.2.1.1</t>
  </si>
  <si>
    <t>2.5.1.47</t>
  </si>
  <si>
    <t>ADATT</t>
  </si>
  <si>
    <t>2.7.7.53</t>
  </si>
  <si>
    <t>ADCL</t>
  </si>
  <si>
    <t>4.1.3.38</t>
  </si>
  <si>
    <t>ADCPT</t>
  </si>
  <si>
    <t>ADCS</t>
  </si>
  <si>
    <t>2.6.1.85</t>
  </si>
  <si>
    <t>4.6.1.1</t>
  </si>
  <si>
    <t>ADEDA</t>
  </si>
  <si>
    <t>ADNDA</t>
  </si>
  <si>
    <t>ADNK</t>
  </si>
  <si>
    <t>2.7.1.20;2.7.1.74</t>
  </si>
  <si>
    <t>ADNKm</t>
  </si>
  <si>
    <t>3.1.3;3.1.3.2;3.6.1.15;3.6.1.5;3.6.1.53;3.6.1.9</t>
  </si>
  <si>
    <t>2.4.2.17</t>
  </si>
  <si>
    <t>3.2.2.1;3.2.2.7;3.2.2.8</t>
  </si>
  <si>
    <t>ADSH</t>
  </si>
  <si>
    <t>3.3.1.1</t>
  </si>
  <si>
    <t>ADSHm</t>
  </si>
  <si>
    <t>ADSSh</t>
  </si>
  <si>
    <t>AF1PT</t>
  </si>
  <si>
    <t>2.7.1.3</t>
  </si>
  <si>
    <t>AFAT</t>
  </si>
  <si>
    <t>AFLBURPPAAMH</t>
  </si>
  <si>
    <t>3.5.1.6</t>
  </si>
  <si>
    <t>AGAKI</t>
  </si>
  <si>
    <t>5.3.1.7</t>
  </si>
  <si>
    <t>AGAT</t>
  </si>
  <si>
    <t>2.6.1.44</t>
  </si>
  <si>
    <t>AGATx</t>
  </si>
  <si>
    <t>3.5.3.12</t>
  </si>
  <si>
    <t>AGGPR</t>
  </si>
  <si>
    <t>AGK</t>
  </si>
  <si>
    <t>AGMIS</t>
  </si>
  <si>
    <t>2.4.1.82</t>
  </si>
  <si>
    <t>AGPAT160h</t>
  </si>
  <si>
    <t>AHHST</t>
  </si>
  <si>
    <t>AHSL</t>
  </si>
  <si>
    <t>2.3.1.61</t>
  </si>
  <si>
    <t>AKGDHmi</t>
  </si>
  <si>
    <t>1.2.4.2</t>
  </si>
  <si>
    <t>ALATL</t>
  </si>
  <si>
    <t>1.1.1.21;1.1.1.72</t>
  </si>
  <si>
    <t>ALCD19y</t>
  </si>
  <si>
    <t>1.1.1.2;1.1.1.21;1.1.1.372;1.1.1.72</t>
  </si>
  <si>
    <t>ALCDH_nadp_hi</t>
  </si>
  <si>
    <t>1.1.1.1;1.1.1.184;1.1.1.2;1.1.1.21;1.1.1.71</t>
  </si>
  <si>
    <t>ALCDH_nadp_i</t>
  </si>
  <si>
    <t>1.1.1.1;1.1.1.71</t>
  </si>
  <si>
    <t>ALDDH</t>
  </si>
  <si>
    <t>1.2.1.3;1.2.1.5</t>
  </si>
  <si>
    <t>ALDDHm</t>
  </si>
  <si>
    <t>ALDH</t>
  </si>
  <si>
    <t>ALDH_im4ac</t>
  </si>
  <si>
    <t>ALPH</t>
  </si>
  <si>
    <t>3.5.1.54</t>
  </si>
  <si>
    <t>ALPHm</t>
  </si>
  <si>
    <t>AM6PT</t>
  </si>
  <si>
    <t>2.7.1.1;2.7.1.7</t>
  </si>
  <si>
    <t>AM6PTh</t>
  </si>
  <si>
    <t>AMAOTr</t>
  </si>
  <si>
    <t>2.6.1.62</t>
  </si>
  <si>
    <t>AMCL</t>
  </si>
  <si>
    <t>4.1.1.50</t>
  </si>
  <si>
    <t>AMI3TP</t>
  </si>
  <si>
    <t>2.7.1.159</t>
  </si>
  <si>
    <t>3.5.1.4</t>
  </si>
  <si>
    <t>AMO</t>
  </si>
  <si>
    <t>1.4.3.21;1.4.3.4;1.4.3.6</t>
  </si>
  <si>
    <t>AMP5N</t>
  </si>
  <si>
    <t>AMPD</t>
  </si>
  <si>
    <t>3.5.4.17;3.5.4.6</t>
  </si>
  <si>
    <t>ANNA</t>
  </si>
  <si>
    <t>2.7.7.1;2.7.7.18</t>
  </si>
  <si>
    <t>ANNAT</t>
  </si>
  <si>
    <t>ANNATn</t>
  </si>
  <si>
    <t>ANNAn</t>
  </si>
  <si>
    <t>ANTPPT</t>
  </si>
  <si>
    <t>2.4.2.18</t>
  </si>
  <si>
    <t>ANXANASCOR</t>
  </si>
  <si>
    <t>1.23.5.1</t>
  </si>
  <si>
    <t>ANXANOR</t>
  </si>
  <si>
    <t>1.14.13.90</t>
  </si>
  <si>
    <t>1.4.3.22;1.4.3.6</t>
  </si>
  <si>
    <t>AOBUTDxs</t>
  </si>
  <si>
    <t>AODAA</t>
  </si>
  <si>
    <t>3.5.1.14;3.5.1.16</t>
  </si>
  <si>
    <t>AOOA</t>
  </si>
  <si>
    <t>2.6.1.9</t>
  </si>
  <si>
    <t>AOOAh</t>
  </si>
  <si>
    <t>AOTA</t>
  </si>
  <si>
    <t>AOTAm</t>
  </si>
  <si>
    <t>AOXSr2</t>
  </si>
  <si>
    <t>2.3.1.47</t>
  </si>
  <si>
    <t>APAPT</t>
  </si>
  <si>
    <t>2.5.1.16</t>
  </si>
  <si>
    <t>APAPTm</t>
  </si>
  <si>
    <t>APATT</t>
  </si>
  <si>
    <t>APCPT</t>
  </si>
  <si>
    <t>APLh</t>
  </si>
  <si>
    <t>APLm</t>
  </si>
  <si>
    <t>3.1.4.17;3.1.4.53</t>
  </si>
  <si>
    <t>APNPT</t>
  </si>
  <si>
    <t>2.7.1.33;2.7.1.34</t>
  </si>
  <si>
    <t>APPAT</t>
  </si>
  <si>
    <t>2.4.2.7;2.4.2.8</t>
  </si>
  <si>
    <t>APPT</t>
  </si>
  <si>
    <t>APhi</t>
  </si>
  <si>
    <t>ARDC</t>
  </si>
  <si>
    <t>4.1.1.19</t>
  </si>
  <si>
    <t>ARGD</t>
  </si>
  <si>
    <t>ARGDh</t>
  </si>
  <si>
    <t>ARGT</t>
  </si>
  <si>
    <t>ARZS</t>
  </si>
  <si>
    <t>ASADH</t>
  </si>
  <si>
    <t>ASAPT</t>
  </si>
  <si>
    <t>2.5.1.16;2.5.1.22</t>
  </si>
  <si>
    <t>ASCBOR</t>
  </si>
  <si>
    <t>1.10.3.3</t>
  </si>
  <si>
    <t>ASNTL</t>
  </si>
  <si>
    <t>ASNTLm</t>
  </si>
  <si>
    <t>ASPCTm</t>
  </si>
  <si>
    <t>ASPO</t>
  </si>
  <si>
    <t>1.4.3.16;1.4.3.2</t>
  </si>
  <si>
    <t>ASPO2m</t>
  </si>
  <si>
    <t>1.4.1.21</t>
  </si>
  <si>
    <t>ASPOm</t>
  </si>
  <si>
    <t>3.5.1.1;3.5.1.38;3.5.5.4</t>
  </si>
  <si>
    <t>ASPTL</t>
  </si>
  <si>
    <t>6.1.1.12;6.1.1.23</t>
  </si>
  <si>
    <t>ASPTLm</t>
  </si>
  <si>
    <t>ATAH</t>
  </si>
  <si>
    <t>3.5.3.4</t>
  </si>
  <si>
    <t>ATAH_co2</t>
  </si>
  <si>
    <t>3.5.3.9</t>
  </si>
  <si>
    <t>ATAM</t>
  </si>
  <si>
    <t>ATAMh</t>
  </si>
  <si>
    <t>ATAMm</t>
  </si>
  <si>
    <t>ATCDm</t>
  </si>
  <si>
    <t>ATCM</t>
  </si>
  <si>
    <t>2.7.4.14;2.7.4.25</t>
  </si>
  <si>
    <t>2.7.1.213;2.7.1.48</t>
  </si>
  <si>
    <t>ATDAM</t>
  </si>
  <si>
    <t>2.7.4.11;2.7.4.13;2.7.4.3</t>
  </si>
  <si>
    <t>ATDAMh</t>
  </si>
  <si>
    <t>ATDAMm</t>
  </si>
  <si>
    <t>ATDCDm</t>
  </si>
  <si>
    <t>ATDCM</t>
  </si>
  <si>
    <t>2.7.4.13;2.7.4.14;2.7.4.25</t>
  </si>
  <si>
    <t>ATDGDm</t>
  </si>
  <si>
    <t>2.7.4.12;2.7.4.13;2.7.4.8</t>
  </si>
  <si>
    <t>ATDTDm</t>
  </si>
  <si>
    <t>ATDTM</t>
  </si>
  <si>
    <t>2.7.4.12;2.7.4.13;2.7.4.9</t>
  </si>
  <si>
    <t>ATDUDm</t>
  </si>
  <si>
    <t>ATGDm</t>
  </si>
  <si>
    <t>ATIDm</t>
  </si>
  <si>
    <t>ATNAH</t>
  </si>
  <si>
    <t>3.5.2.5</t>
  </si>
  <si>
    <t>ATNS</t>
  </si>
  <si>
    <t>4.1.3.27</t>
  </si>
  <si>
    <t>ATNS_nh4</t>
  </si>
  <si>
    <t>ATPCS</t>
  </si>
  <si>
    <t>2.3.3.8;4.1.3.6</t>
  </si>
  <si>
    <t>3.6.1.15;3.6.1.3;3.6.1.5;3.6.1.8;3.6.3.1;3.6.3.10;3.6.3.11;3.6.3.12;3.6.3.14;3.6.3.15;3.6.3.16;3.6.3.17;3.6.3.18;3.6.3.19;3.6.3.2;3.6.3.20;3.6.3.21;3.6.3.22;3.6.3.23;3.6.3.24;3.6.3.25;3.6.3.26;3.6.3.27;3.6.3.28;3.6.3.29;3.6.3.3;3.6.3.30;3.6.3.31;3.6.3.32;3.6.3.33;3.6.3.34;3.6.3.35;3.6.3.36;3.6.3.37;3.6.3.38;3.6.3.39;3.6.3.4;3.6.3.40;3.6.3.41;3.6.3.42;3.6.3.43;3.6.3.44;3.6.3.46;3.6.3.47;3.6.3.48;3.6.3.49;3.6.3.5;3.6.3.50;3.6.3.51;3.6.3.52;3.6.3.53;3.6.3.54;3.6.3.6;3.6.3.7;3.6.3.8;3.6.3.9;3.6.4.1;3.6.4.10;3.6.4.11;3.6.4.12;3.6.4.13;3.6.4.2;3.6.4.3;3.6.4.4;3.6.4.5;3.6.4.6;3.6.4.7;3.6.4.8;3.6.4.9</t>
  </si>
  <si>
    <t>ATPPHm</t>
  </si>
  <si>
    <t>3.6.3.14</t>
  </si>
  <si>
    <t>ATUDm</t>
  </si>
  <si>
    <t>AUNOR</t>
  </si>
  <si>
    <t>AUS</t>
  </si>
  <si>
    <t>3.1.3.-;3.1.3.104</t>
  </si>
  <si>
    <t>BADP</t>
  </si>
  <si>
    <t>3.4.13.20;3.4.13.5</t>
  </si>
  <si>
    <t>BCACT</t>
  </si>
  <si>
    <t>2.8.3.8</t>
  </si>
  <si>
    <t>BCOR</t>
  </si>
  <si>
    <t>1.3.1.44;1.3.1.9;1.3.99.2</t>
  </si>
  <si>
    <t>BCTA_glu</t>
  </si>
  <si>
    <t>2.6.1.42;2.6.1.6;2.6.1.67</t>
  </si>
  <si>
    <t>BCTA_glu_h</t>
  </si>
  <si>
    <t>BCTA_val</t>
  </si>
  <si>
    <t>2.6.1.42;2.6.1.6</t>
  </si>
  <si>
    <t>BCTA_val_h</t>
  </si>
  <si>
    <t>BCTA_val_m</t>
  </si>
  <si>
    <t>BCTAh</t>
  </si>
  <si>
    <t>2.6.1.42</t>
  </si>
  <si>
    <t>BFBP</t>
  </si>
  <si>
    <t>BFBPh</t>
  </si>
  <si>
    <t>3.2.1.26</t>
  </si>
  <si>
    <t>BILIRED</t>
  </si>
  <si>
    <t>1.3.1.24</t>
  </si>
  <si>
    <t>BNOR</t>
  </si>
  <si>
    <t>1.2.1.10;1.2.1.57;1.2.1.87</t>
  </si>
  <si>
    <t>BNORh</t>
  </si>
  <si>
    <t>BPNT</t>
  </si>
  <si>
    <t>3.1.3.7;3.1.3.97</t>
  </si>
  <si>
    <t>BPNT2</t>
  </si>
  <si>
    <t>BTNC</t>
  </si>
  <si>
    <t>6.3.4.14;6.4.1.1</t>
  </si>
  <si>
    <t>BTNCm</t>
  </si>
  <si>
    <t>BTP</t>
  </si>
  <si>
    <t>3.6.1.29</t>
  </si>
  <si>
    <t>BTPS</t>
  </si>
  <si>
    <t>BTS</t>
  </si>
  <si>
    <t>1.1.1;1.1.1.-</t>
  </si>
  <si>
    <t>BTS_nadph</t>
  </si>
  <si>
    <t>1.1.1;1.1.1.-;1.1.1.1;1.1.1.188;1.1.1.2;1.1.1.21</t>
  </si>
  <si>
    <t>BUPN</t>
  </si>
  <si>
    <t>CADMO</t>
  </si>
  <si>
    <t>1.14.13.13</t>
  </si>
  <si>
    <t>CAROMO</t>
  </si>
  <si>
    <t>1.13.11.63;1.14.99.36</t>
  </si>
  <si>
    <t>5.4.99.8</t>
  </si>
  <si>
    <t>CAT</t>
  </si>
  <si>
    <t>1.11.1.21;1.11.1.6</t>
  </si>
  <si>
    <t>CBL</t>
  </si>
  <si>
    <t>4.4.1.8</t>
  </si>
  <si>
    <t>CDDA</t>
  </si>
  <si>
    <t>3.6.1.5;3.6.1.6</t>
  </si>
  <si>
    <t>CHLASE</t>
  </si>
  <si>
    <t>3.1.1.14</t>
  </si>
  <si>
    <t>CHLASG</t>
  </si>
  <si>
    <t>2.5.1;2.5.1.62</t>
  </si>
  <si>
    <t>CHLASP</t>
  </si>
  <si>
    <t>2.5.1.62</t>
  </si>
  <si>
    <t>CHLBSP</t>
  </si>
  <si>
    <t>5.3.3.5</t>
  </si>
  <si>
    <t>CHLSTR</t>
  </si>
  <si>
    <t>1.3.1.72</t>
  </si>
  <si>
    <t>CHRM</t>
  </si>
  <si>
    <t>5.4.99.5</t>
  </si>
  <si>
    <t>CHRS</t>
  </si>
  <si>
    <t>4.2.3.5</t>
  </si>
  <si>
    <t>CHYA1</t>
  </si>
  <si>
    <t>1.14.99</t>
  </si>
  <si>
    <t>1.2.3.1</t>
  </si>
  <si>
    <t>CMK</t>
  </si>
  <si>
    <t>CMP</t>
  </si>
  <si>
    <t>3.1.3.5;3.1.3.91</t>
  </si>
  <si>
    <t>3.5.1.53</t>
  </si>
  <si>
    <t>CMS</t>
  </si>
  <si>
    <t>2.7.7.60</t>
  </si>
  <si>
    <t>1.14.19.1</t>
  </si>
  <si>
    <t>CPPPGO</t>
  </si>
  <si>
    <t>1.3.3.3</t>
  </si>
  <si>
    <t>CPS</t>
  </si>
  <si>
    <t>6.3.4.16</t>
  </si>
  <si>
    <t>CRETINOLOR1</t>
  </si>
  <si>
    <t>1.1.1.315</t>
  </si>
  <si>
    <t>CRETINOLOR2</t>
  </si>
  <si>
    <t>2.3.1.76</t>
  </si>
  <si>
    <t>CS</t>
  </si>
  <si>
    <t>2.3.3.1;2.3.3.16;2.3.3.3</t>
  </si>
  <si>
    <t>CSDA</t>
  </si>
  <si>
    <t>CSm</t>
  </si>
  <si>
    <t>CSx</t>
  </si>
  <si>
    <t>CTINBL</t>
  </si>
  <si>
    <t>4.4.1.1;4.4.1.8;4.4.1.k</t>
  </si>
  <si>
    <t>3.6.1.15;3.6.1.5</t>
  </si>
  <si>
    <t>CXHY</t>
  </si>
  <si>
    <t>1.14.99.45</t>
  </si>
  <si>
    <t>CYARTMT</t>
  </si>
  <si>
    <t>2.1.1.142;2.1.1.41</t>
  </si>
  <si>
    <t>CYEUOLCYCI</t>
  </si>
  <si>
    <t>5.5.1.9</t>
  </si>
  <si>
    <t>3.2.2.3;3.2.2.8</t>
  </si>
  <si>
    <t>2.6.1.1;2.6.1.3</t>
  </si>
  <si>
    <t>CYSCL</t>
  </si>
  <si>
    <t>1.13.11.20</t>
  </si>
  <si>
    <t>2.5.1.47;2.5.1.65</t>
  </si>
  <si>
    <t>2.5.1.47;2.5.1.49;4.2.99.8</t>
  </si>
  <si>
    <t>CYSTBL</t>
  </si>
  <si>
    <t>4.4.1.1;4.4.1.28;4.4.1.8</t>
  </si>
  <si>
    <t>CYSTL</t>
  </si>
  <si>
    <t>CYTP450R</t>
  </si>
  <si>
    <t>1.6.2.4</t>
  </si>
  <si>
    <t>CYTP450Rh</t>
  </si>
  <si>
    <t>DAGK160h</t>
  </si>
  <si>
    <t>DAMPH</t>
  </si>
  <si>
    <t>3.1.3.5;3.1.3.89</t>
  </si>
  <si>
    <t>DAPEP</t>
  </si>
  <si>
    <t>DBTS</t>
  </si>
  <si>
    <t>6.3.3.3</t>
  </si>
  <si>
    <t>DCAH</t>
  </si>
  <si>
    <t>DCMAH</t>
  </si>
  <si>
    <t>3.5.4.12</t>
  </si>
  <si>
    <t>DCMP</t>
  </si>
  <si>
    <t>DDMCITALOR</t>
  </si>
  <si>
    <t>1.4.3.4</t>
  </si>
  <si>
    <t>DDSMSTOLR</t>
  </si>
  <si>
    <t>DGTD</t>
  </si>
  <si>
    <t>3.6.1.-;3.6.1.19;3.6.1.9</t>
  </si>
  <si>
    <t>DHAD</t>
  </si>
  <si>
    <t>4.2.1.9</t>
  </si>
  <si>
    <t>DHAD_3mob</t>
  </si>
  <si>
    <t>DHAD_3mob_h</t>
  </si>
  <si>
    <t>DHADh</t>
  </si>
  <si>
    <t>DHAPT</t>
  </si>
  <si>
    <t>2.7.1.121</t>
  </si>
  <si>
    <t>DHDH</t>
  </si>
  <si>
    <t>DHFOR</t>
  </si>
  <si>
    <t>DHFR2i</t>
  </si>
  <si>
    <t>DHFRi</t>
  </si>
  <si>
    <t>6.3.2.12;6.3.2.17</t>
  </si>
  <si>
    <t>DHPD</t>
  </si>
  <si>
    <t>DHPR</t>
  </si>
  <si>
    <t>1.5.1.34</t>
  </si>
  <si>
    <t>DHQS</t>
  </si>
  <si>
    <t>4.2.3.4</t>
  </si>
  <si>
    <t>DHR</t>
  </si>
  <si>
    <t>DHRO</t>
  </si>
  <si>
    <t>DHROm</t>
  </si>
  <si>
    <t>DHRT_2mbcoa</t>
  </si>
  <si>
    <t>2.3.1.168</t>
  </si>
  <si>
    <t>DHRT_ibcoa</t>
  </si>
  <si>
    <t>DHRT_ivcoa</t>
  </si>
  <si>
    <t>DLDLBT</t>
  </si>
  <si>
    <t>2.5.1.78;2.5.1.9</t>
  </si>
  <si>
    <t>DMCITALOR</t>
  </si>
  <si>
    <t>DMHL</t>
  </si>
  <si>
    <t>DMORh</t>
  </si>
  <si>
    <t>1.1.1.383;1.1.1.86</t>
  </si>
  <si>
    <t>DMORm</t>
  </si>
  <si>
    <t>DMPH</t>
  </si>
  <si>
    <t>DMT</t>
  </si>
  <si>
    <t>2.1.1.37</t>
  </si>
  <si>
    <t>DNGAL</t>
  </si>
  <si>
    <t>6.3.5.1</t>
  </si>
  <si>
    <t>DNGALh</t>
  </si>
  <si>
    <t>3.6.1;3.6.1.-</t>
  </si>
  <si>
    <t>3.6.1.22;3.6.1.9</t>
  </si>
  <si>
    <t>3.6.1.67</t>
  </si>
  <si>
    <t>DOLDPP</t>
  </si>
  <si>
    <t>3.6.1.43</t>
  </si>
  <si>
    <t>DPHS</t>
  </si>
  <si>
    <t>2.5.1.54</t>
  </si>
  <si>
    <t>DQDH</t>
  </si>
  <si>
    <t>4.2.1.10</t>
  </si>
  <si>
    <t>DSMSTOLR</t>
  </si>
  <si>
    <t>3.6.1.39;3.6.1.5</t>
  </si>
  <si>
    <t>3.6.1;3.6.1.5</t>
  </si>
  <si>
    <t>2.7.1.145;2.7.1.21</t>
  </si>
  <si>
    <t>DUTNH</t>
  </si>
  <si>
    <t>3.6.1.-;3.6.1.23;3.6.1.9</t>
  </si>
  <si>
    <t>DVCHLDR</t>
  </si>
  <si>
    <t>1.3.1.75</t>
  </si>
  <si>
    <t>DXRI</t>
  </si>
  <si>
    <t>1.1.1.267</t>
  </si>
  <si>
    <t>DXS</t>
  </si>
  <si>
    <t>EAR100x</t>
  </si>
  <si>
    <t>EAR100y</t>
  </si>
  <si>
    <t>EAR120x</t>
  </si>
  <si>
    <t>EAR120y</t>
  </si>
  <si>
    <t>EAR140x</t>
  </si>
  <si>
    <t>EAR140y</t>
  </si>
  <si>
    <t>EAR160x</t>
  </si>
  <si>
    <t>EAR160y</t>
  </si>
  <si>
    <t>EAR180x</t>
  </si>
  <si>
    <t>EAR181x</t>
  </si>
  <si>
    <t>EAR181y</t>
  </si>
  <si>
    <t>EAR40x</t>
  </si>
  <si>
    <t>EAR40y</t>
  </si>
  <si>
    <t>EAR60x</t>
  </si>
  <si>
    <t>EAR60y</t>
  </si>
  <si>
    <t>EAR80x</t>
  </si>
  <si>
    <t>EAR80y</t>
  </si>
  <si>
    <t>ECH_3hibutcoa</t>
  </si>
  <si>
    <t>4.2.1.17</t>
  </si>
  <si>
    <t>ECH_3hivcoa</t>
  </si>
  <si>
    <t>ECH_3hmbcoa</t>
  </si>
  <si>
    <t>ECOAH1</t>
  </si>
  <si>
    <t>4.2.1.150;4.2.1.17;4.2.1.55</t>
  </si>
  <si>
    <t>ECOAH2</t>
  </si>
  <si>
    <t>4.2.1.17;4.2.1.74</t>
  </si>
  <si>
    <t>ECOAH2m</t>
  </si>
  <si>
    <t>ECOAH3</t>
  </si>
  <si>
    <t>ECOAH3m</t>
  </si>
  <si>
    <t>ECOAH4</t>
  </si>
  <si>
    <t>ECOAH4m</t>
  </si>
  <si>
    <t>ECOAH5</t>
  </si>
  <si>
    <t>ECOAH5m</t>
  </si>
  <si>
    <t>ECOAH6</t>
  </si>
  <si>
    <t>ECOAH6m</t>
  </si>
  <si>
    <t>ECOAH7</t>
  </si>
  <si>
    <t>ECOAH7m</t>
  </si>
  <si>
    <t>ECOAH8</t>
  </si>
  <si>
    <t>4.2.1.134;4.2.1.17</t>
  </si>
  <si>
    <t>ECOAR</t>
  </si>
  <si>
    <t>1.3.1;1.3.1.38;1.3.1.93</t>
  </si>
  <si>
    <t>EGMEACPR</t>
  </si>
  <si>
    <t>ENOf</t>
  </si>
  <si>
    <t>ENOm</t>
  </si>
  <si>
    <t>EPMEACPR</t>
  </si>
  <si>
    <t>2.7.1.82</t>
  </si>
  <si>
    <t>FA100ACPHi</t>
  </si>
  <si>
    <t>FA120ACPHi</t>
  </si>
  <si>
    <t>FA140ACPHi</t>
  </si>
  <si>
    <t>3.1.2.14</t>
  </si>
  <si>
    <t>FA160ACPHi</t>
  </si>
  <si>
    <t>FA161ACPHi</t>
  </si>
  <si>
    <t>FA180ACPHi</t>
  </si>
  <si>
    <t>FA181ACPHi</t>
  </si>
  <si>
    <t>FA80ACPHi</t>
  </si>
  <si>
    <t>FAA</t>
  </si>
  <si>
    <t>3.7.1.2</t>
  </si>
  <si>
    <t>3.1.2.2;3.1.2.22</t>
  </si>
  <si>
    <t>3.1.2.2</t>
  </si>
  <si>
    <t>3.1.2;3.1.2.2</t>
  </si>
  <si>
    <t>6.2.1.3</t>
  </si>
  <si>
    <t>4.1.2;4.1.2.13</t>
  </si>
  <si>
    <t>FBPPH</t>
  </si>
  <si>
    <t>3.1.3.46</t>
  </si>
  <si>
    <t>1.16.3.1</t>
  </si>
  <si>
    <t>FEROt</t>
  </si>
  <si>
    <t>FGFTh</t>
  </si>
  <si>
    <t>FGFTm</t>
  </si>
  <si>
    <t>3.5.1.9</t>
  </si>
  <si>
    <t>FNORh</t>
  </si>
  <si>
    <t>1.18.1.2</t>
  </si>
  <si>
    <t>FOLD3</t>
  </si>
  <si>
    <t>FOLR2</t>
  </si>
  <si>
    <t>FORA</t>
  </si>
  <si>
    <t>3.5.1.49</t>
  </si>
  <si>
    <t>FORAMDx</t>
  </si>
  <si>
    <t>FPAIF</t>
  </si>
  <si>
    <t>FPGFT</t>
  </si>
  <si>
    <t>FPGFTh</t>
  </si>
  <si>
    <t>FPGFTm</t>
  </si>
  <si>
    <t>FPPS</t>
  </si>
  <si>
    <t>FPPSh</t>
  </si>
  <si>
    <t>FTAL</t>
  </si>
  <si>
    <t>4.3.1.4</t>
  </si>
  <si>
    <t>FTCL</t>
  </si>
  <si>
    <t>FTHDF</t>
  </si>
  <si>
    <t>3.5.1.10</t>
  </si>
  <si>
    <t>FTHFO</t>
  </si>
  <si>
    <t>1.5.1.6</t>
  </si>
  <si>
    <t>FUMm</t>
  </si>
  <si>
    <t>G3PAT160</t>
  </si>
  <si>
    <t>G3PAT160h</t>
  </si>
  <si>
    <t>G3PAT180</t>
  </si>
  <si>
    <t>G3PAT180h</t>
  </si>
  <si>
    <t>G3PAT181</t>
  </si>
  <si>
    <t>G3PAT181h</t>
  </si>
  <si>
    <t>1.1.1.8;1.1.1.94</t>
  </si>
  <si>
    <t>G3PL</t>
  </si>
  <si>
    <t>4.1.2.8;4.2.1.20</t>
  </si>
  <si>
    <t>G5DH</t>
  </si>
  <si>
    <t>G5DHm</t>
  </si>
  <si>
    <t>G5DHx</t>
  </si>
  <si>
    <t>G6PADH</t>
  </si>
  <si>
    <t>1.1.1.49</t>
  </si>
  <si>
    <t>G6PADHh</t>
  </si>
  <si>
    <t>G6PBDH</t>
  </si>
  <si>
    <t>1.1.1.363;1.1.1.49</t>
  </si>
  <si>
    <t>G6PBDHh</t>
  </si>
  <si>
    <t>5.1.3.15;5.3.1.9</t>
  </si>
  <si>
    <t>GACT</t>
  </si>
  <si>
    <t>GAL</t>
  </si>
  <si>
    <t>GALK</t>
  </si>
  <si>
    <t>GALKh</t>
  </si>
  <si>
    <t>GALO</t>
  </si>
  <si>
    <t>1.1.3.9</t>
  </si>
  <si>
    <t>GALOR</t>
  </si>
  <si>
    <t>1.1.1.21</t>
  </si>
  <si>
    <t>GALm</t>
  </si>
  <si>
    <t>GAM</t>
  </si>
  <si>
    <t>1.4.1.13;1.4.7.1;3.5.1.2;3.5.1.38;4.3.3.6;6.3.4.2;6.3.5.2;6.3.5.4;6.3.5.5</t>
  </si>
  <si>
    <t>GAMPG</t>
  </si>
  <si>
    <t>2.7.7.13</t>
  </si>
  <si>
    <t>GAPDH_nadp_hi</t>
  </si>
  <si>
    <t>1.2.1.13;1.2.1.59</t>
  </si>
  <si>
    <t>GAPDHf</t>
  </si>
  <si>
    <t>1.2.1.12;1.2.1.59</t>
  </si>
  <si>
    <t>GAPDHi</t>
  </si>
  <si>
    <t>GAPDHm</t>
  </si>
  <si>
    <t>GBDP</t>
  </si>
  <si>
    <t>GCL</t>
  </si>
  <si>
    <t>3.1.4.17;3.1.4.35</t>
  </si>
  <si>
    <t>GDH</t>
  </si>
  <si>
    <t>1.4.1.2;1.4.1.3;1.4.1.4</t>
  </si>
  <si>
    <t>GDH_nadp</t>
  </si>
  <si>
    <t>1.4.1.13;1.4.1.3;1.4.1.4</t>
  </si>
  <si>
    <t>3.6.1.42;3.6.1.5;3.6.1.6</t>
  </si>
  <si>
    <t>GDTP</t>
  </si>
  <si>
    <t>3.6.1.11;3.6.1.40</t>
  </si>
  <si>
    <t>GGCHLDAR</t>
  </si>
  <si>
    <t>1.3.1.83</t>
  </si>
  <si>
    <t>GGDR</t>
  </si>
  <si>
    <t>GGPS</t>
  </si>
  <si>
    <t>2.4.1.213</t>
  </si>
  <si>
    <t>6.1.1.18</t>
  </si>
  <si>
    <t>GLUKA</t>
  </si>
  <si>
    <t>2.7.1.1;2.7.1.2</t>
  </si>
  <si>
    <t>GLUKAh</t>
  </si>
  <si>
    <t>GLUS</t>
  </si>
  <si>
    <t>1.4.1.14</t>
  </si>
  <si>
    <t>1.4.7.1</t>
  </si>
  <si>
    <t>GLUS_nadph</t>
  </si>
  <si>
    <t>1.4.1.13</t>
  </si>
  <si>
    <t>GLUTL</t>
  </si>
  <si>
    <t>6.1.1;6.1.1.17;6.1.1.24</t>
  </si>
  <si>
    <t>GLYALDOR</t>
  </si>
  <si>
    <t>GLYATx</t>
  </si>
  <si>
    <t>2.3.1.29;2.3.1.37</t>
  </si>
  <si>
    <t>GLYCLTD</t>
  </si>
  <si>
    <t>1.1.1.26;1.1.1.29;1.1.1.79</t>
  </si>
  <si>
    <t>GLYCOR_nadp</t>
  </si>
  <si>
    <t>1.1.1;1.1.1.79;1.1.1.81</t>
  </si>
  <si>
    <t>GLYDH</t>
  </si>
  <si>
    <t>1.1.1.26;1.1.1.29;1.1.1.81</t>
  </si>
  <si>
    <t>GLYDHD</t>
  </si>
  <si>
    <t>1.4.4.2</t>
  </si>
  <si>
    <t>3.1.2.6</t>
  </si>
  <si>
    <t>GLYPT</t>
  </si>
  <si>
    <t>GLYS</t>
  </si>
  <si>
    <t>1.4.4.2;1.8.1.4;2.1.2.10</t>
  </si>
  <si>
    <t>2.6.1.4;2.6.1.44</t>
  </si>
  <si>
    <t>GLYTL</t>
  </si>
  <si>
    <t>GLYTLm</t>
  </si>
  <si>
    <t>GMP5N</t>
  </si>
  <si>
    <t>GMPS</t>
  </si>
  <si>
    <t>GMPS_glu</t>
  </si>
  <si>
    <t>GMPS_glu_m</t>
  </si>
  <si>
    <t>GMPSm</t>
  </si>
  <si>
    <t>GNKh</t>
  </si>
  <si>
    <t>2.4.2.22;2.4.2.7;2.4.2.8</t>
  </si>
  <si>
    <t>3.1.4.2;3.1.4.46</t>
  </si>
  <si>
    <t>GPPS</t>
  </si>
  <si>
    <t>GPPSh</t>
  </si>
  <si>
    <t>2.4.1.67</t>
  </si>
  <si>
    <t>GTHAMPOR</t>
  </si>
  <si>
    <t>1.8.4.9</t>
  </si>
  <si>
    <t>GTHAMPORh</t>
  </si>
  <si>
    <t>GTHAMPORm</t>
  </si>
  <si>
    <t>GTHDHu</t>
  </si>
  <si>
    <t>1.8.5.1</t>
  </si>
  <si>
    <t>1.11.1.9</t>
  </si>
  <si>
    <t>GTHPDSOR</t>
  </si>
  <si>
    <t>1.8.4.2</t>
  </si>
  <si>
    <t>3.6.1.15;3.6.1.5;3.6.5.1;3.6.5.2;3.6.5.3;3.6.5.4;3.6.5.5;3.6.5.6</t>
  </si>
  <si>
    <t>4.6.1.1;4.6.1.2</t>
  </si>
  <si>
    <t>GUAD</t>
  </si>
  <si>
    <t>3.5.4.3</t>
  </si>
  <si>
    <t>1.1.1.35</t>
  </si>
  <si>
    <t>HACD2</t>
  </si>
  <si>
    <t>1.1.1.211;1.1.1.35</t>
  </si>
  <si>
    <t>HACD2m</t>
  </si>
  <si>
    <t>HACD3</t>
  </si>
  <si>
    <t>HACD3m</t>
  </si>
  <si>
    <t>HACD4</t>
  </si>
  <si>
    <t>HACD4m</t>
  </si>
  <si>
    <t>HACD5</t>
  </si>
  <si>
    <t>HACD5m</t>
  </si>
  <si>
    <t>HACD6</t>
  </si>
  <si>
    <t>HACD6m</t>
  </si>
  <si>
    <t>HACD7</t>
  </si>
  <si>
    <t>HACD7m</t>
  </si>
  <si>
    <t>HBCHL</t>
  </si>
  <si>
    <t>HBCHLR</t>
  </si>
  <si>
    <t>4.2.1.55</t>
  </si>
  <si>
    <t>HBCHLm</t>
  </si>
  <si>
    <t>HBCO</t>
  </si>
  <si>
    <t>HBCO_nadp</t>
  </si>
  <si>
    <t>1.1.1.157;1.1.1.35</t>
  </si>
  <si>
    <t>HBCO_nadp_m</t>
  </si>
  <si>
    <t>HBCOm</t>
  </si>
  <si>
    <t>HBNOm</t>
  </si>
  <si>
    <t>1.1.1.30</t>
  </si>
  <si>
    <t>HBNOx</t>
  </si>
  <si>
    <t>HCGAL</t>
  </si>
  <si>
    <t>HCGALm</t>
  </si>
  <si>
    <t>HCO3Ehi</t>
  </si>
  <si>
    <t>HDAO10x</t>
  </si>
  <si>
    <t>1.1.3.15</t>
  </si>
  <si>
    <t>HDC</t>
  </si>
  <si>
    <t>4.1.1.22;4.1.1.28</t>
  </si>
  <si>
    <t>HDH</t>
  </si>
  <si>
    <t>1.1.1.23</t>
  </si>
  <si>
    <t>HDHh</t>
  </si>
  <si>
    <t>HDS</t>
  </si>
  <si>
    <t>1.17.4.3</t>
  </si>
  <si>
    <t>HEMEASm</t>
  </si>
  <si>
    <t>4.4.1.17</t>
  </si>
  <si>
    <t>HEMEOSm</t>
  </si>
  <si>
    <t>HGDO</t>
  </si>
  <si>
    <t>1.13.11.5</t>
  </si>
  <si>
    <t>HIBH</t>
  </si>
  <si>
    <t>3.1.2.4</t>
  </si>
  <si>
    <t>HICH</t>
  </si>
  <si>
    <t>HISD</t>
  </si>
  <si>
    <t>4.3.1.3</t>
  </si>
  <si>
    <t>HISTL</t>
  </si>
  <si>
    <t>HIUH</t>
  </si>
  <si>
    <t>3.5.2.17</t>
  </si>
  <si>
    <t>HMGL</t>
  </si>
  <si>
    <t>4.1.3.4</t>
  </si>
  <si>
    <t>HMNO</t>
  </si>
  <si>
    <t>1.1.1.31;1.1.1.35</t>
  </si>
  <si>
    <t>HMNOS</t>
  </si>
  <si>
    <t>1.1.1.178;1.1.1.35</t>
  </si>
  <si>
    <t>HOXG</t>
  </si>
  <si>
    <t>1.14.99.3</t>
  </si>
  <si>
    <t>HOXGh</t>
  </si>
  <si>
    <t>HOXPRm</t>
  </si>
  <si>
    <t>1.1.1;1.1.1.60</t>
  </si>
  <si>
    <t>HP</t>
  </si>
  <si>
    <t>HPCOR</t>
  </si>
  <si>
    <t>HPHL</t>
  </si>
  <si>
    <t>4.2.1.116;4.2.1.17</t>
  </si>
  <si>
    <t>HPHLm</t>
  </si>
  <si>
    <t>1.13.11.27</t>
  </si>
  <si>
    <t>HPT</t>
  </si>
  <si>
    <t>2.5.1.115</t>
  </si>
  <si>
    <t>HPh</t>
  </si>
  <si>
    <t>HSK</t>
  </si>
  <si>
    <t>1.12.7.2;1.12.99.-</t>
  </si>
  <si>
    <t>I5NT</t>
  </si>
  <si>
    <t>3.1.3.5;3.1.3.99</t>
  </si>
  <si>
    <t>IAGT</t>
  </si>
  <si>
    <t>2.4.1.123</t>
  </si>
  <si>
    <t>IBPH</t>
  </si>
  <si>
    <t>3.1.3.66</t>
  </si>
  <si>
    <t>IBPHn</t>
  </si>
  <si>
    <t>ICDH</t>
  </si>
  <si>
    <t>ICDHhr</t>
  </si>
  <si>
    <t>ICDHm</t>
  </si>
  <si>
    <t>1.1.1.286;1.1.1.41</t>
  </si>
  <si>
    <t>ICH</t>
  </si>
  <si>
    <t>2.1.2.3;3.5.4.10</t>
  </si>
  <si>
    <t>ICL</t>
  </si>
  <si>
    <t>4.1.3.1</t>
  </si>
  <si>
    <t>IDI</t>
  </si>
  <si>
    <t>IDIh</t>
  </si>
  <si>
    <t>IDPA</t>
  </si>
  <si>
    <t>3.6.1.5;3.6.1.6;3.6.1.64</t>
  </si>
  <si>
    <t>IDS1</t>
  </si>
  <si>
    <t>1.17.1.2</t>
  </si>
  <si>
    <t>IDS2</t>
  </si>
  <si>
    <t>IGPD</t>
  </si>
  <si>
    <t>4.2.1.19</t>
  </si>
  <si>
    <t>IGPDh</t>
  </si>
  <si>
    <t>IGPS</t>
  </si>
  <si>
    <t>4.1.1.48</t>
  </si>
  <si>
    <t>ILETLm</t>
  </si>
  <si>
    <t>IMDH</t>
  </si>
  <si>
    <t>1.1.1.85</t>
  </si>
  <si>
    <t>IMDHT</t>
  </si>
  <si>
    <t>4.2.1.33</t>
  </si>
  <si>
    <t>IMDHT_3c2hmp</t>
  </si>
  <si>
    <t>IMGPS</t>
  </si>
  <si>
    <t>2.4.2.-;4.1.3.-;4.3.2.M2</t>
  </si>
  <si>
    <t>IMGPSh</t>
  </si>
  <si>
    <t>IMPD</t>
  </si>
  <si>
    <t>IMPDm</t>
  </si>
  <si>
    <t>2.3.3.13</t>
  </si>
  <si>
    <t>ISRH</t>
  </si>
  <si>
    <t>3.2.2.1;3.2.2.2;3.2.2.8</t>
  </si>
  <si>
    <t>ITPH</t>
  </si>
  <si>
    <t>3.1.3.57</t>
  </si>
  <si>
    <t>3.6.1.-;3.6.1.8;3.6.1.9</t>
  </si>
  <si>
    <t>IVCDH</t>
  </si>
  <si>
    <t>1.3.8.4;1.3.8.7;1.3.99.10</t>
  </si>
  <si>
    <t>KARI</t>
  </si>
  <si>
    <t>1.1.1.86;5.4.99.3</t>
  </si>
  <si>
    <t>KARI_23dhmb</t>
  </si>
  <si>
    <t>KARI_23dhmp</t>
  </si>
  <si>
    <t>KARI_3hmoa</t>
  </si>
  <si>
    <t>2.3.1.-;2.3.1.179;2.3.1.180;2.3.1.41;2.3.1.85;2.3.1.86</t>
  </si>
  <si>
    <t>LALDD2</t>
  </si>
  <si>
    <t>1.1.1.78;1.1.1.79</t>
  </si>
  <si>
    <t>3.2.1.108;3.2.1.23</t>
  </si>
  <si>
    <t>LCYA</t>
  </si>
  <si>
    <t>5.5.1.19</t>
  </si>
  <si>
    <t>LCYB</t>
  </si>
  <si>
    <t>5.5.1.18</t>
  </si>
  <si>
    <t>LCYG</t>
  </si>
  <si>
    <t>LDHm</t>
  </si>
  <si>
    <t>LEUTL</t>
  </si>
  <si>
    <t>4.4.1.5</t>
  </si>
  <si>
    <t>LIDOAMH</t>
  </si>
  <si>
    <t>3.1.1.1</t>
  </si>
  <si>
    <t>1.14.13.-;1.14.14.1</t>
  </si>
  <si>
    <t>LLDHh</t>
  </si>
  <si>
    <t>LLDHm</t>
  </si>
  <si>
    <t>LLOX13</t>
  </si>
  <si>
    <t>1.13.11.12;1.13.11.33</t>
  </si>
  <si>
    <t>LS</t>
  </si>
  <si>
    <t>5.4.99.7</t>
  </si>
  <si>
    <t>LTHSTRLOR</t>
  </si>
  <si>
    <t>1.14.21.6</t>
  </si>
  <si>
    <t>LYSTL</t>
  </si>
  <si>
    <t>M5TAP</t>
  </si>
  <si>
    <t>2.4.2.28</t>
  </si>
  <si>
    <t>M5TRK</t>
  </si>
  <si>
    <t>2.7.1.100</t>
  </si>
  <si>
    <t>M5TRPH</t>
  </si>
  <si>
    <t>4.2.1.109</t>
  </si>
  <si>
    <t>M5TRPI</t>
  </si>
  <si>
    <t>5.3.1.23</t>
  </si>
  <si>
    <t>MAAI</t>
  </si>
  <si>
    <t>5.2.1.2</t>
  </si>
  <si>
    <t>MAAIn</t>
  </si>
  <si>
    <t>MALSh</t>
  </si>
  <si>
    <t>2.3.3.9</t>
  </si>
  <si>
    <t>MALSm</t>
  </si>
  <si>
    <t>MALSx</t>
  </si>
  <si>
    <t>MAT</t>
  </si>
  <si>
    <t>MATm</t>
  </si>
  <si>
    <t>MCDC</t>
  </si>
  <si>
    <t>4.1.1.9</t>
  </si>
  <si>
    <t>MCDH</t>
  </si>
  <si>
    <t>1.3.8;1.3.99.3</t>
  </si>
  <si>
    <t>MCDH_2mb2coa</t>
  </si>
  <si>
    <t>2.3.1.-;2.3.1.0;2.3.1.39;2.3.1.85;2.3.1.86</t>
  </si>
  <si>
    <t>MCS</t>
  </si>
  <si>
    <t>4.6.1.12</t>
  </si>
  <si>
    <t>MCTC</t>
  </si>
  <si>
    <t>6.4.1.4</t>
  </si>
  <si>
    <t>1.1.1.40</t>
  </si>
  <si>
    <t>MDHCm</t>
  </si>
  <si>
    <t>1.1.1.38;1.1.1.39</t>
  </si>
  <si>
    <t>MDH_nadp_fi</t>
  </si>
  <si>
    <t>1.1.1.299;1.1.1.82</t>
  </si>
  <si>
    <t>MDH_nadp_hi</t>
  </si>
  <si>
    <t>MDHf</t>
  </si>
  <si>
    <t>1.1.1.299;1.1.1.37</t>
  </si>
  <si>
    <t>MDHh</t>
  </si>
  <si>
    <t>MDHm</t>
  </si>
  <si>
    <t>MDHx</t>
  </si>
  <si>
    <t>MDUMT</t>
  </si>
  <si>
    <t>MEGLYXYLAMH</t>
  </si>
  <si>
    <t>MERGTROLR</t>
  </si>
  <si>
    <t>1.3.1.70</t>
  </si>
  <si>
    <t>METSm</t>
  </si>
  <si>
    <t>2.1.1.13</t>
  </si>
  <si>
    <t>METTL</t>
  </si>
  <si>
    <t>MGC</t>
  </si>
  <si>
    <t>4.2.1.18</t>
  </si>
  <si>
    <t>MHGS</t>
  </si>
  <si>
    <t>MI3PSB</t>
  </si>
  <si>
    <t>5.5.1.4</t>
  </si>
  <si>
    <t>MIBP</t>
  </si>
  <si>
    <t>3.1.3.26;3.1.3.62</t>
  </si>
  <si>
    <t>MIOOR</t>
  </si>
  <si>
    <t>1.13.99.1</t>
  </si>
  <si>
    <t>1.4.3.21;1.4.3.6</t>
  </si>
  <si>
    <t>MMSD</t>
  </si>
  <si>
    <t>1.2.1;1.2.1.18;1.2.1.27</t>
  </si>
  <si>
    <t>MMSDH</t>
  </si>
  <si>
    <t>1.2.1.27</t>
  </si>
  <si>
    <t>MOD</t>
  </si>
  <si>
    <t>1.2.4.4</t>
  </si>
  <si>
    <t>MOD_3mhtpp</t>
  </si>
  <si>
    <t>MOD_3mop</t>
  </si>
  <si>
    <t>MOD_4mop</t>
  </si>
  <si>
    <t>MOPC</t>
  </si>
  <si>
    <t>MOTA</t>
  </si>
  <si>
    <t>2.6.1.5;2.6.1.57</t>
  </si>
  <si>
    <t>MPAKI</t>
  </si>
  <si>
    <t>1.14.13.81</t>
  </si>
  <si>
    <t>6.6.1.1</t>
  </si>
  <si>
    <t>MPPM</t>
  </si>
  <si>
    <t>2.1.1.295</t>
  </si>
  <si>
    <t>MS</t>
  </si>
  <si>
    <t>MTAM</t>
  </si>
  <si>
    <t>MTAM_nh4</t>
  </si>
  <si>
    <t>3.2.2.16;3.2.2.9</t>
  </si>
  <si>
    <t>1.5.1.15;3.5.4.9</t>
  </si>
  <si>
    <t>MTHFO</t>
  </si>
  <si>
    <t>1.5.1.20</t>
  </si>
  <si>
    <t>MTHFO_nadp</t>
  </si>
  <si>
    <t>MTMOHT</t>
  </si>
  <si>
    <t>2.1.2.11</t>
  </si>
  <si>
    <t>N2PH</t>
  </si>
  <si>
    <t>3.1.3.-;3.1.3.1;3.1.3.2</t>
  </si>
  <si>
    <t>NA1ATPaseh</t>
  </si>
  <si>
    <t>3.6.3.15;3.6.3.7</t>
  </si>
  <si>
    <t>NAAH</t>
  </si>
  <si>
    <t>6.3.1.5;6.3.5.1</t>
  </si>
  <si>
    <t>NAPT</t>
  </si>
  <si>
    <t>2.4.2.12</t>
  </si>
  <si>
    <t>3.1.3.-;3.1.3.5</t>
  </si>
  <si>
    <t>NDPKm</t>
  </si>
  <si>
    <t>NEOXANS</t>
  </si>
  <si>
    <t>5.3.99.9</t>
  </si>
  <si>
    <t>NITR</t>
  </si>
  <si>
    <t>1.7.1.1;1.7.1.2</t>
  </si>
  <si>
    <t>NNDPR</t>
  </si>
  <si>
    <t>2.4.2.19</t>
  </si>
  <si>
    <t>NNOR</t>
  </si>
  <si>
    <t>1.6.1.1;1.6.1.2;1.6.1.3</t>
  </si>
  <si>
    <t>NNPRT</t>
  </si>
  <si>
    <t>1.7.7.1</t>
  </si>
  <si>
    <t>NODOx</t>
  </si>
  <si>
    <t>1.14.12.17</t>
  </si>
  <si>
    <t>NODOy</t>
  </si>
  <si>
    <t>NOS</t>
  </si>
  <si>
    <t>1.14.13.39</t>
  </si>
  <si>
    <t>NOS1</t>
  </si>
  <si>
    <t>NOS2</t>
  </si>
  <si>
    <t>NPH</t>
  </si>
  <si>
    <t>NRS</t>
  </si>
  <si>
    <t>2.7.1.173</t>
  </si>
  <si>
    <t>NTDP</t>
  </si>
  <si>
    <t>NTPD</t>
  </si>
  <si>
    <t>3.6.1.-;3.6.1.66</t>
  </si>
  <si>
    <t>OBFOOLOR</t>
  </si>
  <si>
    <t>1.14.13.70</t>
  </si>
  <si>
    <t>OCT</t>
  </si>
  <si>
    <t>OCTh</t>
  </si>
  <si>
    <t>OCTm</t>
  </si>
  <si>
    <t>OGMEACPD</t>
  </si>
  <si>
    <t>OIVD3m</t>
  </si>
  <si>
    <t>1.2.1;1.2.1.25</t>
  </si>
  <si>
    <t>OPAH</t>
  </si>
  <si>
    <t>3.5.2.9</t>
  </si>
  <si>
    <t>OPMEACPD</t>
  </si>
  <si>
    <t>4.1.1.17</t>
  </si>
  <si>
    <t>ORNTArm</t>
  </si>
  <si>
    <t>ORPDC</t>
  </si>
  <si>
    <t>ORPRT</t>
  </si>
  <si>
    <t>P5CR</t>
  </si>
  <si>
    <t>P5CRm</t>
  </si>
  <si>
    <t>PAPA160h</t>
  </si>
  <si>
    <t>3.1.3.4</t>
  </si>
  <si>
    <t>PBAL</t>
  </si>
  <si>
    <t>6.3.2.1</t>
  </si>
  <si>
    <t>PBALm</t>
  </si>
  <si>
    <t>PCFPTh</t>
  </si>
  <si>
    <t>2.3.1;2.3.1.54</t>
  </si>
  <si>
    <t>PCFPTm</t>
  </si>
  <si>
    <t>PCNO</t>
  </si>
  <si>
    <t>1.3.1.-;1.3.1.84</t>
  </si>
  <si>
    <t>2.3.1.222;2.3.1.8</t>
  </si>
  <si>
    <t>PCr</t>
  </si>
  <si>
    <t>6.4.1.1</t>
  </si>
  <si>
    <t>PDCh</t>
  </si>
  <si>
    <t>4.1.1.1</t>
  </si>
  <si>
    <t>PDCm</t>
  </si>
  <si>
    <t>PDHam1hi</t>
  </si>
  <si>
    <t>1.2.4.1;2.2.1.6;4.1.1.1</t>
  </si>
  <si>
    <t>PDHam1mi</t>
  </si>
  <si>
    <t>PDHam2hi</t>
  </si>
  <si>
    <t>1.2.4.1</t>
  </si>
  <si>
    <t>PDHam2mi</t>
  </si>
  <si>
    <t>PDHe2hr</t>
  </si>
  <si>
    <t>2.3.1.12;2.3.1.168</t>
  </si>
  <si>
    <t>PDHe3hr</t>
  </si>
  <si>
    <t>1.8.1;1.8.1.4</t>
  </si>
  <si>
    <t>PDX5POi</t>
  </si>
  <si>
    <t>1.4.3.5</t>
  </si>
  <si>
    <t>PETHCT</t>
  </si>
  <si>
    <t>2.7.7.14</t>
  </si>
  <si>
    <t>2.7.1.105</t>
  </si>
  <si>
    <t>PFLACTm</t>
  </si>
  <si>
    <t>2.3.1.54</t>
  </si>
  <si>
    <t>PFLh</t>
  </si>
  <si>
    <t>PGCM</t>
  </si>
  <si>
    <t>5.4.2.2;5.4.2.5</t>
  </si>
  <si>
    <t>PGDH</t>
  </si>
  <si>
    <t>1.1.1.351;1.1.1.44</t>
  </si>
  <si>
    <t>PGDHh</t>
  </si>
  <si>
    <t>PGKf</t>
  </si>
  <si>
    <t>PGKh</t>
  </si>
  <si>
    <t>PGKm</t>
  </si>
  <si>
    <t>PGLYCPh</t>
  </si>
  <si>
    <t>PGLYCPx</t>
  </si>
  <si>
    <t>1.1.1.95</t>
  </si>
  <si>
    <t>PGLh</t>
  </si>
  <si>
    <t>5.4.2.1;5.4.2.11;5.4.2.12</t>
  </si>
  <si>
    <t>PGMTh</t>
  </si>
  <si>
    <t>PGMf</t>
  </si>
  <si>
    <t>PGMm</t>
  </si>
  <si>
    <t>PHETL</t>
  </si>
  <si>
    <t>PHETLm</t>
  </si>
  <si>
    <t>PHOMSELCYSL</t>
  </si>
  <si>
    <t>2.5.1</t>
  </si>
  <si>
    <t>PHOMSELCYSLh</t>
  </si>
  <si>
    <t>PMEACPE</t>
  </si>
  <si>
    <t>3.1.1.85</t>
  </si>
  <si>
    <t>PNORm</t>
  </si>
  <si>
    <t>PNORn</t>
  </si>
  <si>
    <t>2.6.1.1;2.6.1.5;2.6.1.57;2.6.1.9</t>
  </si>
  <si>
    <t>PPACOAL</t>
  </si>
  <si>
    <t>6.2.1.17</t>
  </si>
  <si>
    <t>PPACOALh</t>
  </si>
  <si>
    <t>PPACOALm</t>
  </si>
  <si>
    <t>PPATDh</t>
  </si>
  <si>
    <t>PPATDm</t>
  </si>
  <si>
    <t>PPBNGD</t>
  </si>
  <si>
    <t>2.5.1.61;4.3.1.8</t>
  </si>
  <si>
    <t>4.1.1.31</t>
  </si>
  <si>
    <t>PPCKm</t>
  </si>
  <si>
    <t>PPCL</t>
  </si>
  <si>
    <t>6.3.2;6.3.2.5</t>
  </si>
  <si>
    <t>PPCL_CTP</t>
  </si>
  <si>
    <t>PPCOAOm</t>
  </si>
  <si>
    <t>1.3.8.7</t>
  </si>
  <si>
    <t>PPDH</t>
  </si>
  <si>
    <t>4.2.1.51;4.2.1.91</t>
  </si>
  <si>
    <t>2.7.9.1</t>
  </si>
  <si>
    <t>5.4.2;5.4.2.2;5.4.2.7</t>
  </si>
  <si>
    <t>PPMh</t>
  </si>
  <si>
    <t>PPOR</t>
  </si>
  <si>
    <t>PPPGO</t>
  </si>
  <si>
    <t>1.3.3.4</t>
  </si>
  <si>
    <t>PRACH</t>
  </si>
  <si>
    <t>3.5.4.19</t>
  </si>
  <si>
    <t>PRACHh</t>
  </si>
  <si>
    <t>PRADP</t>
  </si>
  <si>
    <t>3.6.1.31</t>
  </si>
  <si>
    <t>PRADPh</t>
  </si>
  <si>
    <t>PRAI</t>
  </si>
  <si>
    <t>5.3.1.24</t>
  </si>
  <si>
    <t>PRAIC</t>
  </si>
  <si>
    <t>PRAICh</t>
  </si>
  <si>
    <t>PRAISh</t>
  </si>
  <si>
    <t>PRDPAR</t>
  </si>
  <si>
    <t>PRDPARh</t>
  </si>
  <si>
    <t>PRFGCL</t>
  </si>
  <si>
    <t>PRFGCLh</t>
  </si>
  <si>
    <t>PRFGSh</t>
  </si>
  <si>
    <t>PRICI</t>
  </si>
  <si>
    <t>5.3.1.16</t>
  </si>
  <si>
    <t>PRICIh</t>
  </si>
  <si>
    <t>1.14.11;1.14.11.2</t>
  </si>
  <si>
    <t>PRUK</t>
  </si>
  <si>
    <t>2.7.1.19</t>
  </si>
  <si>
    <t>PSAT</t>
  </si>
  <si>
    <t>2.6.1.52</t>
  </si>
  <si>
    <t>PSCIT</t>
  </si>
  <si>
    <t>2.5.1.19</t>
  </si>
  <si>
    <t>3.1.3.3</t>
  </si>
  <si>
    <t>PSPHS</t>
  </si>
  <si>
    <t>1.14.13.169</t>
  </si>
  <si>
    <t>2.5.1.103;2.5.1.21;2.5.1.96</t>
  </si>
  <si>
    <t>1.4.3.10;1.4.3.22;1.4.3.6</t>
  </si>
  <si>
    <t>PYAM5PO</t>
  </si>
  <si>
    <t>1.2.3.8</t>
  </si>
  <si>
    <t>PYDXNO</t>
  </si>
  <si>
    <t>1.1.3.12;1.4.3.5</t>
  </si>
  <si>
    <t>PYDXO</t>
  </si>
  <si>
    <t>PYDXOR</t>
  </si>
  <si>
    <t>1.1.1.65</t>
  </si>
  <si>
    <t>PYDXS</t>
  </si>
  <si>
    <t>4.3.3.6</t>
  </si>
  <si>
    <t>PYRDC</t>
  </si>
  <si>
    <t>1.2.7.1;1.2.7.11</t>
  </si>
  <si>
    <t>QULNS</t>
  </si>
  <si>
    <t>2.5.1.72</t>
  </si>
  <si>
    <t>R5PDP</t>
  </si>
  <si>
    <t>R5PPH</t>
  </si>
  <si>
    <t>3.1.3.102;3.1.3.2</t>
  </si>
  <si>
    <t>1.13.11;4.1.1.39</t>
  </si>
  <si>
    <t>4.1.1.39</t>
  </si>
  <si>
    <t>RGH</t>
  </si>
  <si>
    <t>3.2.1;3.2.1.22</t>
  </si>
  <si>
    <t>RIBFS</t>
  </si>
  <si>
    <t>RPDPK</t>
  </si>
  <si>
    <t>RPEh</t>
  </si>
  <si>
    <t>RPIh</t>
  </si>
  <si>
    <t>3.2.2.1;3.2.2.8</t>
  </si>
  <si>
    <t>3.2.1.20;3.2.1.26;3.2.1.48</t>
  </si>
  <si>
    <t>SBP</t>
  </si>
  <si>
    <t>3.1.3.11;3.1.3.37</t>
  </si>
  <si>
    <t>SBTRh</t>
  </si>
  <si>
    <t>1.1.1.2;1.1.1.21</t>
  </si>
  <si>
    <t>SEAHCYSHYD</t>
  </si>
  <si>
    <t>SELCYSTL</t>
  </si>
  <si>
    <t>SELCYSTLh</t>
  </si>
  <si>
    <t>1.8.7.1</t>
  </si>
  <si>
    <t>SELTORm</t>
  </si>
  <si>
    <t>SERDC</t>
  </si>
  <si>
    <t>4.1.1</t>
  </si>
  <si>
    <t>SERH</t>
  </si>
  <si>
    <t>4.2.1.20</t>
  </si>
  <si>
    <t>SERPT</t>
  </si>
  <si>
    <t>2.3.1.50</t>
  </si>
  <si>
    <t>SERR</t>
  </si>
  <si>
    <t>5.1.1.10;5.1.1.18</t>
  </si>
  <si>
    <t>SGAT</t>
  </si>
  <si>
    <t>2.6.1.45</t>
  </si>
  <si>
    <t>SGHA</t>
  </si>
  <si>
    <t>SGOR</t>
  </si>
  <si>
    <t>1.3.99.-</t>
  </si>
  <si>
    <t>SGPL11</t>
  </si>
  <si>
    <t>4.1.2.27</t>
  </si>
  <si>
    <t>SHCHF</t>
  </si>
  <si>
    <t>SHSL1h</t>
  </si>
  <si>
    <t>SHSL2h</t>
  </si>
  <si>
    <t>2.5.1.-;2.5.1.48</t>
  </si>
  <si>
    <t>SHSL4h</t>
  </si>
  <si>
    <t>2.5.1.48;4.2.99.9;4.3.1</t>
  </si>
  <si>
    <t>SKDH</t>
  </si>
  <si>
    <t>1.1.1.25;1.1.1.282</t>
  </si>
  <si>
    <t>SKK</t>
  </si>
  <si>
    <t>2.7.1.71</t>
  </si>
  <si>
    <t>SLCBK1</t>
  </si>
  <si>
    <t>2.7.1.91</t>
  </si>
  <si>
    <t>SLCS</t>
  </si>
  <si>
    <t>2.9.1.1</t>
  </si>
  <si>
    <t>SLDK</t>
  </si>
  <si>
    <t>2.7.9.3</t>
  </si>
  <si>
    <t>SMO</t>
  </si>
  <si>
    <t>1.14.13.132;1.14.14.17;1.14.99.7</t>
  </si>
  <si>
    <t>SPHK21</t>
  </si>
  <si>
    <t>3.1.3.24</t>
  </si>
  <si>
    <t>SPTA</t>
  </si>
  <si>
    <t>2.6.1.51</t>
  </si>
  <si>
    <t>1.3.1.96;2.5.1.21</t>
  </si>
  <si>
    <t>SSNOh</t>
  </si>
  <si>
    <t>1.2.1.16;1.2.1.24</t>
  </si>
  <si>
    <t>SSNOm</t>
  </si>
  <si>
    <t>2.7.7.4</t>
  </si>
  <si>
    <t>SUCDHh</t>
  </si>
  <si>
    <t>SUCDHm</t>
  </si>
  <si>
    <t>SUCHMSSELCYSL</t>
  </si>
  <si>
    <t>SUCHMSSELCYSLh</t>
  </si>
  <si>
    <t>SUCL_gdp_m</t>
  </si>
  <si>
    <t>6.2.1.4</t>
  </si>
  <si>
    <t>SUCLm</t>
  </si>
  <si>
    <t>6.2.1.5</t>
  </si>
  <si>
    <t>SULO</t>
  </si>
  <si>
    <t>1.8.3.1</t>
  </si>
  <si>
    <t>SULOm</t>
  </si>
  <si>
    <t>SULRi</t>
  </si>
  <si>
    <t>3.2.1.22;3.2.1.26</t>
  </si>
  <si>
    <t>TAL</t>
  </si>
  <si>
    <t>4.3.1.19</t>
  </si>
  <si>
    <t>2.2.1.2</t>
  </si>
  <si>
    <t>TCYD</t>
  </si>
  <si>
    <t>5.5.1.24</t>
  </si>
  <si>
    <t>TCYG</t>
  </si>
  <si>
    <t>1.6.4.5;1.8.1.9</t>
  </si>
  <si>
    <t>TFENFEOR</t>
  </si>
  <si>
    <t>1.16.1.2</t>
  </si>
  <si>
    <t>THFGLUH</t>
  </si>
  <si>
    <t>3.4.17.11</t>
  </si>
  <si>
    <t>THFGLUSm</t>
  </si>
  <si>
    <t>THFOR1</t>
  </si>
  <si>
    <t>THFOR2</t>
  </si>
  <si>
    <t>3.1.3.12</t>
  </si>
  <si>
    <t>THRA</t>
  </si>
  <si>
    <t>4.1.2.48;4.1.2.5</t>
  </si>
  <si>
    <t>THRAL</t>
  </si>
  <si>
    <t>4.3.1.15;4.3.1.17;4.3.1.19</t>
  </si>
  <si>
    <t>THRS</t>
  </si>
  <si>
    <t>THRTLm</t>
  </si>
  <si>
    <t>TKT1h</t>
  </si>
  <si>
    <t>2.2.1.1</t>
  </si>
  <si>
    <t>TKT2h</t>
  </si>
  <si>
    <t>TMTD</t>
  </si>
  <si>
    <t>2.1.1.95</t>
  </si>
  <si>
    <t>TMTG</t>
  </si>
  <si>
    <t>TPH</t>
  </si>
  <si>
    <t>3.1.3.35;3.1.3.5;3.1.3.89</t>
  </si>
  <si>
    <t>TPIh</t>
  </si>
  <si>
    <t>TRETINOLOR1</t>
  </si>
  <si>
    <t>1.1.1.1;1.1.1.105</t>
  </si>
  <si>
    <t>TRETINOLOR2</t>
  </si>
  <si>
    <t>1.1.1.-;1.1.1.300</t>
  </si>
  <si>
    <t>1.13.11.11;1.13.11.52</t>
  </si>
  <si>
    <t>TRPS2h</t>
  </si>
  <si>
    <t>4.2.1.122;4.2.1.20</t>
  </si>
  <si>
    <t>TRPTL</t>
  </si>
  <si>
    <t>TSULth</t>
  </si>
  <si>
    <t>3.6.3.25</t>
  </si>
  <si>
    <t>TSULtm</t>
  </si>
  <si>
    <t>TTCGGDPS</t>
  </si>
  <si>
    <t>TYRTA</t>
  </si>
  <si>
    <t>TYRTL</t>
  </si>
  <si>
    <t>UA4E</t>
  </si>
  <si>
    <t>5.1.3.5</t>
  </si>
  <si>
    <t>UDPACGLP</t>
  </si>
  <si>
    <t>UDPDOLPT</t>
  </si>
  <si>
    <t>2.4.1.117</t>
  </si>
  <si>
    <t>UDPGALOR</t>
  </si>
  <si>
    <t>2.4.1.17;3.2.1</t>
  </si>
  <si>
    <t>UDPGP</t>
  </si>
  <si>
    <t>3.6.1.45;3.6.1.8;3.6.1.9</t>
  </si>
  <si>
    <t>UDPSQS</t>
  </si>
  <si>
    <t>3.13.1.1</t>
  </si>
  <si>
    <t>UFAGT</t>
  </si>
  <si>
    <t>2.4.1.14</t>
  </si>
  <si>
    <t>UG1PUT</t>
  </si>
  <si>
    <t>2.7.7.64;2.7.7.9</t>
  </si>
  <si>
    <t>UG4E</t>
  </si>
  <si>
    <t>2.4.1.15</t>
  </si>
  <si>
    <t>UGAH</t>
  </si>
  <si>
    <t>UGDC</t>
  </si>
  <si>
    <t>4.1.1.35</t>
  </si>
  <si>
    <t>1.1.1.22</t>
  </si>
  <si>
    <t>UGE</t>
  </si>
  <si>
    <t>5.1.3.6</t>
  </si>
  <si>
    <t>2.7.4.14;2.7.4.22;2.7.4.4</t>
  </si>
  <si>
    <t>UMPP</t>
  </si>
  <si>
    <t>UMPU</t>
  </si>
  <si>
    <t>2.7.7.37</t>
  </si>
  <si>
    <t>3.1.3.2;3.6.1.5;3.6.1.6;3.6.1.9</t>
  </si>
  <si>
    <t>4.1.1.37</t>
  </si>
  <si>
    <t>UPRT</t>
  </si>
  <si>
    <t>6.3.4.6</t>
  </si>
  <si>
    <t>URCN</t>
  </si>
  <si>
    <t>4.2.1.49</t>
  </si>
  <si>
    <t>URO</t>
  </si>
  <si>
    <t>1.7.3.3</t>
  </si>
  <si>
    <t>UTAL</t>
  </si>
  <si>
    <t>UTGAL</t>
  </si>
  <si>
    <t>3.1.3.2;3.6.1.15;3.6.1.39;3.6.1.5</t>
  </si>
  <si>
    <t>UTPPH</t>
  </si>
  <si>
    <t>3.6.1.8;3.6.1.9</t>
  </si>
  <si>
    <t>VIOXANOR</t>
  </si>
  <si>
    <t>X5NT</t>
  </si>
  <si>
    <t>XANDH</t>
  </si>
  <si>
    <t>1.17.1.4</t>
  </si>
  <si>
    <t>XNDH</t>
  </si>
  <si>
    <t>2.4.2.22;2.4.2.8</t>
  </si>
  <si>
    <t>ZAXANOR</t>
  </si>
  <si>
    <t>ZYMSTR</t>
  </si>
  <si>
    <t>subSystem</t>
  </si>
  <si>
    <t>34HPPOR</t>
  </si>
  <si>
    <t>4-hydroxyphenylpyruvate dioxygenase</t>
  </si>
  <si>
    <t>34hpp[c] + o2[c] =&gt; co2[c] + hgentis[c]</t>
  </si>
  <si>
    <t>g19458.t1 or g3034.t1</t>
  </si>
  <si>
    <t>Acetyl-CoA C-acetyltransferase</t>
  </si>
  <si>
    <t>2.0 accoa[c] &lt;=&gt; aacoa[c] + coa[c]</t>
  </si>
  <si>
    <t>g19590.t1 or g4469.t1</t>
  </si>
  <si>
    <t>ACCOAL</t>
  </si>
  <si>
    <t>acetate---CoA ligase (ADP-forming)</t>
  </si>
  <si>
    <t>atp[c] + coa[c] + ppa[c] =&gt; adp[c] + pi[c] + ppcoa[c]</t>
  </si>
  <si>
    <t>6.2.1.13</t>
  </si>
  <si>
    <t>g13773.t1</t>
  </si>
  <si>
    <t>Acetylglutamate kinase</t>
  </si>
  <si>
    <t>acglu[c] + atp[c] =&gt; acg5p[c] + adp[c]</t>
  </si>
  <si>
    <t>g8012.t1</t>
  </si>
  <si>
    <t>ACITL</t>
  </si>
  <si>
    <t>ATP-Citrate lyase</t>
  </si>
  <si>
    <t>atp[c] + cit[c] + coa[c] =&gt; accoa[c] + adp[c] + oaa[c] + pi[c]</t>
  </si>
  <si>
    <t>g9256.t1 or g9640.t1</t>
  </si>
  <si>
    <t>Citrate cycle (TCA cycle)</t>
  </si>
  <si>
    <t>ACODA</t>
  </si>
  <si>
    <t>Acetylornithine deacetylase</t>
  </si>
  <si>
    <t>acorn[c] + h2o[c] =&gt; ac[c] + orn[c]</t>
  </si>
  <si>
    <t>g2099.t1 or g5321.t1 or g786.t1</t>
  </si>
  <si>
    <t>ACP1_FMN</t>
  </si>
  <si>
    <t>FMN hydrolase</t>
  </si>
  <si>
    <t>fmn[c] + h2o[c] =&gt; pi[c] + ribflv[c]</t>
  </si>
  <si>
    <t>g14377.t1 or g17774.t1 or g6247.t1 or g9013.t1</t>
  </si>
  <si>
    <t>ACPS</t>
  </si>
  <si>
    <t>Acyl Carrier Protein Synthase</t>
  </si>
  <si>
    <t>coa[c] + h2o[c] =&gt; 2.0 h[c] + pan4p[c] + pap[c]</t>
  </si>
  <si>
    <t>g3080.t1</t>
  </si>
  <si>
    <t>ACS2</t>
  </si>
  <si>
    <t>Acetyl-CoA synthase (propionate)</t>
  </si>
  <si>
    <t>atp[c] + coa[c] + ppa[c] =&gt; amp[c] + ppcoa[c] + ppi[c]</t>
  </si>
  <si>
    <t>g13773.t1 or g5432.t1</t>
  </si>
  <si>
    <t>ACt2r</t>
  </si>
  <si>
    <t>Acetate reversible transport via proton symport</t>
  </si>
  <si>
    <t>ac[e] + h[e] =&gt; ac[c] + h[c]</t>
  </si>
  <si>
    <t>-</t>
  </si>
  <si>
    <t>g12008.t1</t>
  </si>
  <si>
    <t>Transport, extracellular</t>
  </si>
  <si>
    <t>adn[c] + h2o[c] + h[c] =&gt; ins[c] + nh4[c]</t>
  </si>
  <si>
    <t>g12097.t1 or g12117.t1 or g12476.t1</t>
  </si>
  <si>
    <t>ADADir</t>
  </si>
  <si>
    <t>atp[c] + dcyt[c] =&gt; adp[c] + dcmp[c] + h[c]</t>
  </si>
  <si>
    <t>2.7.1.145;2.7.1.213;2.7.1.74</t>
  </si>
  <si>
    <t>g9285.t1</t>
  </si>
  <si>
    <t>ADD</t>
  </si>
  <si>
    <t>Adenine deaminase</t>
  </si>
  <si>
    <t>ade[c] + h2o[c] + h[c] =&gt; hxan[c] + nh4[c]</t>
  </si>
  <si>
    <t>3.5.4.2</t>
  </si>
  <si>
    <t>g12117.t1</t>
  </si>
  <si>
    <t>Adenylate kinase</t>
  </si>
  <si>
    <t>amp[c] + atp[c] &lt;=&gt; 2.0 adp[c]</t>
  </si>
  <si>
    <t>g10401.t1 or g10589.t1 or g10959.t1 or g12639.t1 or g17645.t1 or g1835.t1 or g19002.t1 or g19776.t1 or g2224.t1 or g538.t1 or g7558.t1 or g8983.t1</t>
  </si>
  <si>
    <t>ADK3</t>
  </si>
  <si>
    <t>amp[c] + gtp[c] &lt;=&gt; adp[c] + gdp[c]</t>
  </si>
  <si>
    <t>2.7.4.10;2.7.4.4</t>
  </si>
  <si>
    <t>g10401.t1 or g12639.t1 or g17645.t1 or g538.t1 or g9472.t1</t>
  </si>
  <si>
    <t>ADK4</t>
  </si>
  <si>
    <t>amp[c] + itp[c] &lt;=&gt; adp[c] + idp[c]</t>
  </si>
  <si>
    <t>g10401.t1 or g17645.t1</t>
  </si>
  <si>
    <t>ADKd</t>
  </si>
  <si>
    <t>Adenylate kinase (d form)</t>
  </si>
  <si>
    <t>damp[c] + datp[c] &lt;=&gt; 2.0 dadp[c]</t>
  </si>
  <si>
    <t>g12639.t1 or g17645.t1</t>
  </si>
  <si>
    <t>ADMDC</t>
  </si>
  <si>
    <t>Adenosylmethionine decarboxylase</t>
  </si>
  <si>
    <t>amet[c] + h[c] =&gt; ametam[c] + co2[c]</t>
  </si>
  <si>
    <t>g8905.t1</t>
  </si>
  <si>
    <t>ADNCYC</t>
  </si>
  <si>
    <t>Adenylate cyclase</t>
  </si>
  <si>
    <t>atp[c] =&gt; camp[c] + ppi[c]</t>
  </si>
  <si>
    <t>g114.t1 or g15634.t1 or g2897.t1 or g310.t1 or g3291.t1 or g4114.t1 or g5552.t1 or g59.t1 or g7639.t1 or g8989.t1 or g9842.t1</t>
  </si>
  <si>
    <t>ADNK1</t>
  </si>
  <si>
    <t>adn[c] + atp[c] =&gt; adp[c] + amp[c] + h[c]</t>
  </si>
  <si>
    <t>g10401.t1 or g17645.t1 or g5187.t1</t>
  </si>
  <si>
    <t>adprib[c] + h2o[c] =&gt; amp[c] + 2.0 h[c] + r5p[c]</t>
  </si>
  <si>
    <t>g1096.t1 or g11326.t1 or g13653.t1</t>
  </si>
  <si>
    <t>Adenine phosphoribosyltransferase</t>
  </si>
  <si>
    <t>ade[c] + prpp[c] =&gt; amp[c] + ppi[c]</t>
  </si>
  <si>
    <t>g3535.t1</t>
  </si>
  <si>
    <t>ADSK</t>
  </si>
  <si>
    <t>aps[c] + atp[c] =&gt; adp[c] + h[c] + paps[c]</t>
  </si>
  <si>
    <t>g4997.t1 or g5955.t1 or g7762.t1</t>
  </si>
  <si>
    <t>Adenylsuccinate lyase</t>
  </si>
  <si>
    <t>dcamp[c] &lt;=&gt; amp[c] + fum[c]</t>
  </si>
  <si>
    <t>g17669.t1</t>
  </si>
  <si>
    <t>Adenylosuccinate lyase</t>
  </si>
  <si>
    <t>25aics[c] &lt;=&gt; aicar[c] + fum[c]</t>
  </si>
  <si>
    <t>acg5sa[c] + nadp[c] + pi[c] &lt;=&gt; acg5p[c] + h[c] + nadph[c]</t>
  </si>
  <si>
    <t>g4804.t1 or g8866.t1</t>
  </si>
  <si>
    <t>Phosphoribosylaminoimidazolecarboxamide formyltransferase</t>
  </si>
  <si>
    <t>10fthf[c] + aicar[c] &lt;=&gt; fprica[c] + thf[c]</t>
  </si>
  <si>
    <t>g13713.t1 or g18143.t1 or g19303.t1</t>
  </si>
  <si>
    <t>AIRCr</t>
  </si>
  <si>
    <t>air[c] + co2[c] &lt;=&gt; 5aizc[c] + h[c]</t>
  </si>
  <si>
    <t>g16676.t1 or g5720.t1</t>
  </si>
  <si>
    <t>ALCD1</t>
  </si>
  <si>
    <t>Alcohol dehydrogenase (methanol)</t>
  </si>
  <si>
    <t>meoh[c] + nad[c] &lt;=&gt; fald[c] + h[c] + nadh[c]</t>
  </si>
  <si>
    <t>1.1.1.244</t>
  </si>
  <si>
    <t>g16315.t1 or g16316.t1 or g7901.t1</t>
  </si>
  <si>
    <t>Methane metabolism</t>
  </si>
  <si>
    <t>ALCD2ir</t>
  </si>
  <si>
    <t xml:space="preserve">Alcohol dehydrogenase  reverse rxn  acetaldehyde   ethanol </t>
  </si>
  <si>
    <t>acald[c] + h[c] + nadh[c] &lt;=&gt; etoh[c] + nad[c]</t>
  </si>
  <si>
    <t>g16315.t1 or g63.t1</t>
  </si>
  <si>
    <t>Alcohol dehydrogenase (ethanol)</t>
  </si>
  <si>
    <t>etoh[c] + nad[c] &lt;=&gt; acald[c] + h[c] + nadh[c]</t>
  </si>
  <si>
    <t>g10968.t1 or g16315.t1 or g19724.t1</t>
  </si>
  <si>
    <t>ALCD2y</t>
  </si>
  <si>
    <t>Alcohol dehydrogenase (ethanol, NADP)</t>
  </si>
  <si>
    <t>etoh[c] + nadp[c] &lt;=&gt; acald[c] + h[c] + nadph[c]</t>
  </si>
  <si>
    <t>g13563.t1 or g63.t1 or g9573.t1</t>
  </si>
  <si>
    <t>ALDD1</t>
  </si>
  <si>
    <t xml:space="preserve">Aldehyde dehydrogenase  formaldehyde  NAD </t>
  </si>
  <si>
    <t>fald[c] + h2o[c] + nad[c] =&gt; for[c] + 2.0 h[c] + nadh[c]</t>
  </si>
  <si>
    <t>1.2.1.46</t>
  </si>
  <si>
    <t>g15064.t1 or g63.t1</t>
  </si>
  <si>
    <t>Aldehyde dehydrogenase (acetaldehyde, NAD)</t>
  </si>
  <si>
    <t>acald[c] + h2o[c] + nad[c] =&gt; ac[c] + 2.0 h[c] + nadh[c]</t>
  </si>
  <si>
    <t>g4452.t1</t>
  </si>
  <si>
    <t>ALDD2y</t>
  </si>
  <si>
    <t>Aldehyde dehydrogenase (acetaldehyde, NADP)</t>
  </si>
  <si>
    <t>acald[c] + h2o[c] + nadp[c] =&gt; ac[c] + 2.0 h[c] + nadph[c]</t>
  </si>
  <si>
    <t>1.2.1.-;1.2.1.4;1.2.1.5</t>
  </si>
  <si>
    <t>g13488.t1 or g1913.t1</t>
  </si>
  <si>
    <t>Alkaline phosphatase</t>
  </si>
  <si>
    <t>dhap[c] + h2o[c] =&gt; dha[c] + pi[c]</t>
  </si>
  <si>
    <t>3.1.3.1;3.1.3.2</t>
  </si>
  <si>
    <t>g1136.t1 or g14653.t1</t>
  </si>
  <si>
    <t>ALLTAMH</t>
  </si>
  <si>
    <t>Allantoate amidohydrolase</t>
  </si>
  <si>
    <t>alltt[c] + 2.0 h2o[c] + 2.0 h[c] =&gt; co2[c] + 2.0 nh4[c] + urdglyc[c]</t>
  </si>
  <si>
    <t>g10507.t1 or g15997.t1 or g5254.t1</t>
  </si>
  <si>
    <t>ALPHNH</t>
  </si>
  <si>
    <t>Allophanate hydrolase</t>
  </si>
  <si>
    <t>allphn[c] + h2o[c] + 3.0 h[c] =&gt; 2.0 co2[c] + 2.0 nh4[c]</t>
  </si>
  <si>
    <t>g8748.t1</t>
  </si>
  <si>
    <t>Urea degradation</t>
  </si>
  <si>
    <t>AMPN</t>
  </si>
  <si>
    <t>AMP nucleosidase</t>
  </si>
  <si>
    <t>amp[c] + h2o[c] =&gt; ade[c] + r5p[c]</t>
  </si>
  <si>
    <t>3.2.2.4</t>
  </si>
  <si>
    <t>g135.t1</t>
  </si>
  <si>
    <t>ATPPRT</t>
  </si>
  <si>
    <t>ATP phosphoribosyltransferase</t>
  </si>
  <si>
    <t>atp[c] + prpp[c] =&gt; ppi[c] + prbatp[c]</t>
  </si>
  <si>
    <t>g10218.t1</t>
  </si>
  <si>
    <t>BNOCA</t>
  </si>
  <si>
    <t>btcoa[c] + h[c] + nadph[c] =&gt; btal[c] + coa[c] + nadp[c]</t>
  </si>
  <si>
    <t>g10968.t1</t>
  </si>
  <si>
    <t>BTCOARx</t>
  </si>
  <si>
    <t>Butyryl-coA reductase (NADH)</t>
  </si>
  <si>
    <t>btcoa[c] + h[c] + nadh[c] =&gt; btal[c] + coa[c] + nad[c]</t>
  </si>
  <si>
    <t>CDDTPP</t>
  </si>
  <si>
    <t xml:space="preserve">DTTP cytidine 5'-phosphotransferase </t>
  </si>
  <si>
    <t>cytd[c] + dttp[c] &lt;=&gt; cmp[c] + dtdp[c] + h[c]</t>
  </si>
  <si>
    <t>CHORM</t>
  </si>
  <si>
    <t>Chorismate mutase</t>
  </si>
  <si>
    <t>chor[c] =&gt; pphn[c]</t>
  </si>
  <si>
    <t>g1083.t1</t>
  </si>
  <si>
    <t>CPK1</t>
  </si>
  <si>
    <t>cmp[c] + ctp[c] &lt;=&gt; 2.0 cdp[c]</t>
  </si>
  <si>
    <t>g10401.t1 or g10959.t1</t>
  </si>
  <si>
    <t>csn[c] + h2o[c] + h[c] =&gt; nh4[c] + ura[c]</t>
  </si>
  <si>
    <t>g3915.t1</t>
  </si>
  <si>
    <t>CTPS1</t>
  </si>
  <si>
    <t xml:space="preserve">CTP synthase  NH3 </t>
  </si>
  <si>
    <t>atp[c] + nh4[c] + utp[c] =&gt; adp[c] + ctp[c] + 2.0 h[c] + pi[c]</t>
  </si>
  <si>
    <t>g2655.t1</t>
  </si>
  <si>
    <t>Cytidine deaminase</t>
  </si>
  <si>
    <t>cytd[c] + h2o[c] + h[c] =&gt; nh4[c] + uri[c]</t>
  </si>
  <si>
    <t>g16446.t1</t>
  </si>
  <si>
    <t>ATP:cytidine 5'-phosphotransferase</t>
  </si>
  <si>
    <t>atp[c] + cytd[c] =&gt; adp[c] + cmp[c] + h[c]</t>
  </si>
  <si>
    <t>g6950.t1 or g9285.t1</t>
  </si>
  <si>
    <t>CYTDK1_1</t>
  </si>
  <si>
    <t>Cytidine kinase (ATP)</t>
  </si>
  <si>
    <t>Cytidine kinase (GTP)</t>
  </si>
  <si>
    <t>cytd[c] + gtp[c] =&gt; cmp[c] + gdp[c] + h[c]</t>
  </si>
  <si>
    <t>CYTDK2_1</t>
  </si>
  <si>
    <t>Cytidylate kinase (CMP)</t>
  </si>
  <si>
    <t>atp[c] + cmp[c] &lt;=&gt; adp[c] + cdp[c]</t>
  </si>
  <si>
    <t>g10959.t1 or g538.t1</t>
  </si>
  <si>
    <t>CYTK11_1</t>
  </si>
  <si>
    <t>Cytidylate kinase (dCMP,dGTP)</t>
  </si>
  <si>
    <t>cytd[c] + dgtp[c] &lt;=&gt; cmp[c] + dgdp[c] + h[c]</t>
  </si>
  <si>
    <t>Cytidylate kinase (dCMP)</t>
  </si>
  <si>
    <t>atp[c] + dcmp[c] &lt;=&gt; adp[c] + dcdp[c]</t>
  </si>
  <si>
    <t>CYTK2_1</t>
  </si>
  <si>
    <t>ctp[c] + dcmp[c] &lt;=&gt; cdp[c] + dcdp[c]</t>
  </si>
  <si>
    <t>DACTPP</t>
  </si>
  <si>
    <t xml:space="preserve">DATP cytidine 5'-phosphotransferase </t>
  </si>
  <si>
    <t>cytd[c] + datp[c] =&gt; cmp[c] + dadp[c] + h[c]</t>
  </si>
  <si>
    <t>dad_2[c] + h2o[c] + h[c] =&gt; din[c] + nh4[c]</t>
  </si>
  <si>
    <t>DADK</t>
  </si>
  <si>
    <t>Deoxyadenylate kinase</t>
  </si>
  <si>
    <t>atp[c] + damp[c] &lt;=&gt; adp[c] + dadp[c]</t>
  </si>
  <si>
    <t>g10401.t1 or g10589.t1 or g10959.t1 or g12639.t1 or g17645.t1 or g1835.t1 or g538.t1 or g8983.t1</t>
  </si>
  <si>
    <t>Deoxyadenosine kinase</t>
  </si>
  <si>
    <t>atp[c] + dad_2[c] =&gt; adp[c] + damp[c] + h[c]</t>
  </si>
  <si>
    <t>2.7.1.145;2.7.1.74;2.7.1.76</t>
  </si>
  <si>
    <t>g5187.t1</t>
  </si>
  <si>
    <t>DAUPP</t>
  </si>
  <si>
    <t xml:space="preserve">DATP uridine 5'-phosphotransferase </t>
  </si>
  <si>
    <t>datp[c] + uri[c] =&gt; dadp[c] + h[c] + ump[c]</t>
  </si>
  <si>
    <t>DCMPDA</t>
  </si>
  <si>
    <t>dcmp[c] + h2o[c] + h[c] =&gt; dump[c] + nh4[c]</t>
  </si>
  <si>
    <t>g14063.t1</t>
  </si>
  <si>
    <t>DCPP</t>
  </si>
  <si>
    <t xml:space="preserve">DCTP cytidine 5'-phosphotransferase </t>
  </si>
  <si>
    <t>cytd[c] + dctp[c] =&gt; cmp[c] + dcdp[c] + h[c]</t>
  </si>
  <si>
    <t>Deoxycytidine deaminase</t>
  </si>
  <si>
    <t>dcyt[c] + h2o[c] + h[c] =&gt; duri[c] + nh4[c]</t>
  </si>
  <si>
    <t>DGK1</t>
  </si>
  <si>
    <t>Deoxyguanylate kinase (dGMP:ATP)</t>
  </si>
  <si>
    <t>atp[c] + dgmp[c] &lt;=&gt; adp[c] + dgdp[c]</t>
  </si>
  <si>
    <t>g4791.t1 or g9472.t1</t>
  </si>
  <si>
    <t>Deoxyguanosine kinase</t>
  </si>
  <si>
    <t>atp[c] + dgsn[c] =&gt; adp[c] + dgmp[c] + h[c]</t>
  </si>
  <si>
    <t>2.7.1.113;2.7.1.145;2.7.1.74</t>
  </si>
  <si>
    <t>g9472.t1</t>
  </si>
  <si>
    <t>DGUPP</t>
  </si>
  <si>
    <t xml:space="preserve">DGTP uridine 5'-phosphotransferase </t>
  </si>
  <si>
    <t>dgtp[c] + uri[c] =&gt; dgdp[c] + h[c] + ump[c]</t>
  </si>
  <si>
    <t>DHAK</t>
  </si>
  <si>
    <t>Dihydroxyacetone kinase</t>
  </si>
  <si>
    <t>atp[c] + dha[c] =&gt; adp[c] + dhap[c] + h[c]</t>
  </si>
  <si>
    <t>2.7.1.29</t>
  </si>
  <si>
    <t>g7759.t1</t>
  </si>
  <si>
    <t>Dihydrofolate reductase</t>
  </si>
  <si>
    <t>dhf[c] + h[c] + nadph[c] &lt;=&gt; nadp[c] + thf[c]</t>
  </si>
  <si>
    <t>g10150.t1 or g14403.t1 or g2869.t1</t>
  </si>
  <si>
    <t>DHPM1</t>
  </si>
  <si>
    <t>Dihydropyrimidinase (5,6-dihydrouracil)</t>
  </si>
  <si>
    <t>56dura[c] + h2o[c] =&gt; cala[c] + h[c]</t>
  </si>
  <si>
    <t>g13841.t1 or g17879.t1</t>
  </si>
  <si>
    <t>Dimethylallyltranstransferase</t>
  </si>
  <si>
    <t>dmpp[c] + ipdp[c] =&gt; grdp[c] + ppi[c]</t>
  </si>
  <si>
    <t>g1591.t1 or g60.t1</t>
  </si>
  <si>
    <t>DNADDP</t>
  </si>
  <si>
    <t>Deamino-NAD+ nucleotidohydrolase</t>
  </si>
  <si>
    <t>dnad[c] + h2o[c] =&gt; amp[c] + 2.0 h[c] + nicrnt[c]</t>
  </si>
  <si>
    <t>g3560.t1</t>
  </si>
  <si>
    <t>Dephospho-CoA kinase</t>
  </si>
  <si>
    <t>atp[c] + dpcoa[c] =&gt; adp[c] + coa[c] + h[c]</t>
  </si>
  <si>
    <t>g7403.t1 or g877.t1</t>
  </si>
  <si>
    <t>DPCOAK_1</t>
  </si>
  <si>
    <t>g877.t1</t>
  </si>
  <si>
    <t>DRBK_1</t>
  </si>
  <si>
    <t>atp[c] + drib[c] =&gt; 2dr5p[c] + adp[c] + h[c]</t>
  </si>
  <si>
    <t>g12675.t1</t>
  </si>
  <si>
    <t>DTUPP</t>
  </si>
  <si>
    <t xml:space="preserve">DTTP uridine 5'-phosphotransferase </t>
  </si>
  <si>
    <t>dttp[c] + uri[c] =&gt; dtdp[c] + h[c] + ump[c]</t>
  </si>
  <si>
    <t>DUCYTP</t>
  </si>
  <si>
    <t xml:space="preserve">DUTP cytidine 5'-phosphotransferase </t>
  </si>
  <si>
    <t>cytd[c] + dutp[c] =&gt; cmp[c] + dudp[c] + h[c]</t>
  </si>
  <si>
    <t>DURAD</t>
  </si>
  <si>
    <t>Dihydrouracil dehydrogenase (NADP)</t>
  </si>
  <si>
    <t>56dura[c] + nadp[c] &lt;=&gt; h[c] + nadph[c] + ura[c]</t>
  </si>
  <si>
    <t>g12557.t1 or g9810.t1</t>
  </si>
  <si>
    <t>DURADx</t>
  </si>
  <si>
    <t>56dura[c] + nad[c] &lt;=&gt; h[c] + nadh[c] + ura[c]</t>
  </si>
  <si>
    <t>g9810.t1</t>
  </si>
  <si>
    <t>DURIK1_1</t>
  </si>
  <si>
    <t>Deoxyuridine kinase (ATP:Deoxyuridine)</t>
  </si>
  <si>
    <t>atp[c] + duri[c] =&gt; adp[c] + dump[c] + h[c]</t>
  </si>
  <si>
    <t>g15421.t1</t>
  </si>
  <si>
    <t>DUTP diphosphatase</t>
  </si>
  <si>
    <t>dutp[c] + h2o[c] =&gt; dump[c] + h[c] + ppi[c]</t>
  </si>
  <si>
    <t>g11618.t1</t>
  </si>
  <si>
    <t>DUUPP</t>
  </si>
  <si>
    <t xml:space="preserve">DUTP uridine 5'-phosphotransferase </t>
  </si>
  <si>
    <t>dutp[c] + uri[c] =&gt; dudp[c] + h[c] + ump[c]</t>
  </si>
  <si>
    <t>FACOAL1821</t>
  </si>
  <si>
    <t>Linoleic acid:CoA ligase (AMP-forming)</t>
  </si>
  <si>
    <t>atp[c] + coa[c] + lnlc[c] =&gt; amp[c] + lnlccoa[c] + ppi[c]</t>
  </si>
  <si>
    <t>g14028.t1 or g18589.t1 or g1878.t1 or g4111.t1 or g8975.t1 or g8996.t1</t>
  </si>
  <si>
    <t>FADRx2</t>
  </si>
  <si>
    <t>FAD reductase</t>
  </si>
  <si>
    <t>fad[c] + h[c] + nadph[c] =&gt; fadh2[c] + nadp[c]</t>
  </si>
  <si>
    <t>1.5.1.30;1.5.1.45</t>
  </si>
  <si>
    <t>g8449.t1</t>
  </si>
  <si>
    <t>FAS180</t>
  </si>
  <si>
    <t xml:space="preserve">Fatty acid synthase  n C180 </t>
  </si>
  <si>
    <t>3.0 h[c] + hdca[c] + malcoa[c] + 2.0 nadph[c] =&gt; co2[c] + coa[c] + h2o[c] + 2.0 nadp[c] + ocdca[c]</t>
  </si>
  <si>
    <t>2.3.1.85</t>
  </si>
  <si>
    <t>g1367.t1 or (g585.t1 and g7412.t1)</t>
  </si>
  <si>
    <t>Fatty acid biosynthesis</t>
  </si>
  <si>
    <t>FAS181</t>
  </si>
  <si>
    <t xml:space="preserve">Fatty acid synthase  n C181 </t>
  </si>
  <si>
    <t>4.0 h[c] + hdca[c] + malcoa[c] + 3.0 nadph[c] + o2[c] =&gt; co2[c] + coa[c] + 3.0 h2o[c] + 3.0 nadp[c] + ocdcea[c]</t>
  </si>
  <si>
    <t>g1367.t1</t>
  </si>
  <si>
    <t>FE2abc</t>
  </si>
  <si>
    <t>atp[c] + fe2[e] + h2o[c] =&gt; adp[c] + fe2[c] + h[c] + pi[c]</t>
  </si>
  <si>
    <t>g12317.t1 or g12962.t1 or g14795.t1 or g426.t1</t>
  </si>
  <si>
    <t>FE2t</t>
  </si>
  <si>
    <t>Iron  II  transport</t>
  </si>
  <si>
    <t>fe2[e] =&gt; fe2[c]</t>
  </si>
  <si>
    <t>g12317.t1 or g426.t1 or g8768.t1</t>
  </si>
  <si>
    <t>FE3abc</t>
  </si>
  <si>
    <t>Iron (III) transport via ABC system</t>
  </si>
  <si>
    <t>atp[c] + fe3[e] + h2o[c] =&gt; adp[c] + fe3[c] + h[c] + pi[c]</t>
  </si>
  <si>
    <t>3.6.3.30</t>
  </si>
  <si>
    <t>g10073.t1 or g11029.t1 or g17322.t1</t>
  </si>
  <si>
    <t>FEROc</t>
  </si>
  <si>
    <t>Ferroxidase</t>
  </si>
  <si>
    <t>4.0 fe2[c] + 4.0 h[c] + o2[c] =&gt; 4.0 fe3[c] + 2.0 h2o[c]</t>
  </si>
  <si>
    <t>g3016.t1 or g3262.t1</t>
  </si>
  <si>
    <t>FGFT_1</t>
  </si>
  <si>
    <t>Phosphoribosylformylglycinamidine synthase</t>
  </si>
  <si>
    <t>gar[c] + h2o[c] + methf[c] =&gt; fgam[c] + 2.0 h[c] + thf[c]</t>
  </si>
  <si>
    <t>g2168.t1</t>
  </si>
  <si>
    <t>atp[c] + fmn[c] + h[c] =&gt; fad[c] + ppi[c]</t>
  </si>
  <si>
    <t>g1622.t1</t>
  </si>
  <si>
    <t>FORAMD</t>
  </si>
  <si>
    <t>frmd[c] + h2o[c] =&gt; for[c] + nh4[c]</t>
  </si>
  <si>
    <t>g12821.t1 or g6452.t1</t>
  </si>
  <si>
    <t>FORt</t>
  </si>
  <si>
    <t>Formate transport via diffusion</t>
  </si>
  <si>
    <t>for[e] &lt;=&gt; for[c]</t>
  </si>
  <si>
    <t>g14026.t1</t>
  </si>
  <si>
    <t>FORt2</t>
  </si>
  <si>
    <t>Formate transport in via proton symport</t>
  </si>
  <si>
    <t>for[e] + h[e] =&gt; for[c] + h[c]</t>
  </si>
  <si>
    <t>g3173.t1 or g8391.t1</t>
  </si>
  <si>
    <t>FPRA</t>
  </si>
  <si>
    <t>R01195</t>
  </si>
  <si>
    <t>fdxrd[c] + h[c] + nadp[c] =&gt; fdxox[c] + nadph[c]</t>
  </si>
  <si>
    <t>g10558.t1 or g18929.t1</t>
  </si>
  <si>
    <t>FTCD</t>
  </si>
  <si>
    <t>Formimidoyltransferase cyclodeaminase reversible</t>
  </si>
  <si>
    <t>5forthf[c] + 2.0 h[c] =&gt; methf[c] + nh4[c]</t>
  </si>
  <si>
    <t>g989.t1</t>
  </si>
  <si>
    <t>FTHFD</t>
  </si>
  <si>
    <t>Formyltetrahydrofolate deformylase</t>
  </si>
  <si>
    <t>10fthf[c] + h2o[c] =&gt; for[c] + h[c] + thf[c]</t>
  </si>
  <si>
    <t>g5002.t1</t>
  </si>
  <si>
    <t>Glyoxylate metabolism</t>
  </si>
  <si>
    <t>FTHFLi</t>
  </si>
  <si>
    <t>Formate-tetrahydrofolate ligase</t>
  </si>
  <si>
    <t>atp[c] + for[c] + thf[c] =&gt; 10fthf[c] + adp[c] + pi[c]</t>
  </si>
  <si>
    <t>g16894.t1 or g17154.t1 or g2574.t1 or g4563.t1</t>
  </si>
  <si>
    <t>FUMAC</t>
  </si>
  <si>
    <t>Fumarylacetoacetase</t>
  </si>
  <si>
    <t>4fumacac[c] + h2o[c] =&gt; acac[c] + fum[c] + h[c]</t>
  </si>
  <si>
    <t>g7416.t1</t>
  </si>
  <si>
    <t>G3PD1ir</t>
  </si>
  <si>
    <t xml:space="preserve">Glycerol 3 phosphate dehydrogenase  NAD </t>
  </si>
  <si>
    <t>dhap[c] + h[c] + nadh[c] &lt;=&gt; glyc3p[c] + nad[c]</t>
  </si>
  <si>
    <t>g12311.t1 or g5151.t1 or g7621.t1 or g7678.t1</t>
  </si>
  <si>
    <t>G3PT</t>
  </si>
  <si>
    <t>glyc3p[c] + h2o[c] =&gt; glyc[c] + pi[c]</t>
  </si>
  <si>
    <t>3.1.3.2;3.1.3.21</t>
  </si>
  <si>
    <t>g2665.t1</t>
  </si>
  <si>
    <t>Glutamate-5-semialdehyde dehydrogenase</t>
  </si>
  <si>
    <t>glu5p[c] + h[c] + nadph[c] =&gt; glu5sa[c] + nadp[c] + pi[c]</t>
  </si>
  <si>
    <t>g10329.t1</t>
  </si>
  <si>
    <t>GALKr</t>
  </si>
  <si>
    <t>atp[c] + gal[c] &lt;=&gt; adp[c] + gal1p[c] + h[c]</t>
  </si>
  <si>
    <t>g10576.t1 or g1659.t1 or g4159.t1 or g5103.t1</t>
  </si>
  <si>
    <t>Galactose 1 phosphate uridylyltransferase</t>
  </si>
  <si>
    <t>gal1p[c] + h[c] + utp[c] &lt;=&gt; ppi[c] + udpgal[c]</t>
  </si>
  <si>
    <t>2.7.7.10;2.7.7.64</t>
  </si>
  <si>
    <t>g7156.t1</t>
  </si>
  <si>
    <t>GALUi</t>
  </si>
  <si>
    <t>UTP-glucose-1-phosphate uridylyltransferase (irreversible)</t>
  </si>
  <si>
    <t>g1p[c] + h[c] + utp[c] =&gt; ppi[c] + udpg[c]</t>
  </si>
  <si>
    <t>g17252.t1 or g19102.t1 or g7156.t1</t>
  </si>
  <si>
    <t>Glyceraldehyde-3-phosphate dehydrogenase</t>
  </si>
  <si>
    <t>g3p[c] + nad[c] + pi[c] &lt;=&gt; 13dpg[c] + h[c] + nadh[c]</t>
  </si>
  <si>
    <t>g1271.t1 or g3379.t1</t>
  </si>
  <si>
    <t>GAPDi_nadp</t>
  </si>
  <si>
    <t>Glyceraldehyde-3-phosphate dehydrogenase (NAD(P)+) (phosphorylating)</t>
  </si>
  <si>
    <t>13dpg[c] + h[c] + nadph[c] =&gt; g3p[c] + nadp[c] + pi[c]</t>
  </si>
  <si>
    <t>g11609.t1</t>
  </si>
  <si>
    <t>Carbon fixation in photosynthetic organisms</t>
  </si>
  <si>
    <t>Phosphoribosylglycinamide formyltransferase</t>
  </si>
  <si>
    <t>10fthf[c] + gar[c] &lt;=&gt; fgam[c] + h[c] + thf[c]</t>
  </si>
  <si>
    <t>g11117.t1 or g2168.t1</t>
  </si>
  <si>
    <t>GART</t>
  </si>
  <si>
    <t>GAR transformylase-T</t>
  </si>
  <si>
    <t>atp[c] + for[c] + gar[c] =&gt; adp[c] + fgam[c] + h[c] + pi[c]</t>
  </si>
  <si>
    <t>2.1.2.-</t>
  </si>
  <si>
    <t>GCALDD</t>
  </si>
  <si>
    <t>Glycolaldehyde dehydrogenase</t>
  </si>
  <si>
    <t>gcald[c] + h2o[c] + nad[c] =&gt; glyclt[c] + 2.0 h[c] + nadh[c]</t>
  </si>
  <si>
    <t>1.2.1.21</t>
  </si>
  <si>
    <t>g3712.t1 or g4452.t1</t>
  </si>
  <si>
    <t>GD3P2</t>
  </si>
  <si>
    <t>g3p[c] + h2o[c] + nadp[c] =&gt; 3pg[c] + 2.0 h[c] + nadph[c]</t>
  </si>
  <si>
    <t>g1894.t1</t>
  </si>
  <si>
    <t>GDPDPK</t>
  </si>
  <si>
    <t>atp[c] + gdp[c] =&gt; amp[c] + h[c] + ppgpp[c]</t>
  </si>
  <si>
    <t>g16246.t1 or g6965.t1</t>
  </si>
  <si>
    <t>GDPMNP</t>
  </si>
  <si>
    <t>GDP-mannose phyrophosphatase</t>
  </si>
  <si>
    <t>gdpmann[c] + h2o[c] =&gt; gmp[c] + 2.0 h[c] + man1p[c]</t>
  </si>
  <si>
    <t>3.6.1.-;3.6.1.21</t>
  </si>
  <si>
    <t>g12701.t1</t>
  </si>
  <si>
    <t>GDPTPDP</t>
  </si>
  <si>
    <t>gdptp[c] + h2o[c] =&gt; gtp[c] + ppi[c]</t>
  </si>
  <si>
    <t>g6965.t1</t>
  </si>
  <si>
    <t>Guanylate kinase (GMP:ATP)</t>
  </si>
  <si>
    <t>atp[c] + gmp[c] &lt;=&gt; adp[c] + gdp[c]</t>
  </si>
  <si>
    <t>g1598.t1 or g4791.t1 or g9472.t1</t>
  </si>
  <si>
    <t>GK2</t>
  </si>
  <si>
    <t>datp[c] + gmp[c] &lt;=&gt; dadp[c] + gdp[c]</t>
  </si>
  <si>
    <t>GLYCL</t>
  </si>
  <si>
    <t>Glycine Cleavage System</t>
  </si>
  <si>
    <t>gly[c] + nad[c] + thf[c] =&gt; co2[c] + mlthf[c] + nadh[c] + nh4[c]</t>
  </si>
  <si>
    <t>g4369.t1 or g5458.t1 or (g4369.t1 and g5458.t1)</t>
  </si>
  <si>
    <t>GLYCLTDx</t>
  </si>
  <si>
    <t>Glycolate dehydrogenase (NAD)</t>
  </si>
  <si>
    <t>glx[c] + h[c] + nadh[c] =&gt; glyclt[c] + nad[c]</t>
  </si>
  <si>
    <t>g10114.t1 or g10686.t1 or g306.t1 or g8083.t1</t>
  </si>
  <si>
    <t>GLYCLTDy</t>
  </si>
  <si>
    <t>Glycolate dehydrogenase (NADP)</t>
  </si>
  <si>
    <t>glx[c] + h[c] + nadph[c] =&gt; glyclt[c] + nadp[c]</t>
  </si>
  <si>
    <t>1.1.1.79</t>
  </si>
  <si>
    <t>g10686.t1 or g8083.t1</t>
  </si>
  <si>
    <t>GLYCL_2</t>
  </si>
  <si>
    <t>Glycine cleavage system, cytosol</t>
  </si>
  <si>
    <t>co2[c] + mlthf[c] + nadh[c] + nh4[c] =&gt; gly[c] + nad[c] + thf[c]</t>
  </si>
  <si>
    <t>g6737.t1</t>
  </si>
  <si>
    <t>GLYO1</t>
  </si>
  <si>
    <t>Glycine oxidase</t>
  </si>
  <si>
    <t>gly[c] + h2o[c] + o2[c] =&gt; glx[c] + h2o2[c] + nh4[c]</t>
  </si>
  <si>
    <t>1.4.3.19;1.4.3.3</t>
  </si>
  <si>
    <t>g16659.t1</t>
  </si>
  <si>
    <t>Geranyltranstransferase</t>
  </si>
  <si>
    <t>grdp[c] + ipdp[c] =&gt; frdp[c] + ppi[c]</t>
  </si>
  <si>
    <t>GTHOr</t>
  </si>
  <si>
    <t>Glutathione oxidoreductase</t>
  </si>
  <si>
    <t>gthox[c] + h[c] + nadph[c] &lt;=&gt; 2.0 gthrd[c] + nadp[c]</t>
  </si>
  <si>
    <t>g13202.t1 or g13956.t1 or g19401.t1 or g2031.t1 or g395.t1 or g9735.t1</t>
  </si>
  <si>
    <t>GTHPi</t>
  </si>
  <si>
    <t>Glutathione peridoxase</t>
  </si>
  <si>
    <t>2.0 gthrd[c] + h2o2[c] =&gt; gthox[c] + 2.0 h2o[c]</t>
  </si>
  <si>
    <t>g1180.t1 or g1712.t1 or g3280.t1 or g3514.t1 or g5869.t1 or g8788.t1 or g9735.t1 or g9866.t1</t>
  </si>
  <si>
    <t>GTPDPDP</t>
  </si>
  <si>
    <t>Guanosine-5'-triphosphate,3'-diphosphate diphosphatase</t>
  </si>
  <si>
    <t>gdptp[c] + h2o[c] =&gt; h[c] + pi[c] + ppgpp[c]</t>
  </si>
  <si>
    <t>g12327.t1</t>
  </si>
  <si>
    <t>GTPDPK_1</t>
  </si>
  <si>
    <t>ATP:GTP 3'-diphosphotransferase</t>
  </si>
  <si>
    <t>atp[c] + gtp[c] =&gt; amp[c] + gdptp[c] + h[c]</t>
  </si>
  <si>
    <t>g4282.t1 or g6965.t1</t>
  </si>
  <si>
    <t>GUACYC</t>
  </si>
  <si>
    <t>Guanylate cyclase</t>
  </si>
  <si>
    <t>gtp[c] =&gt; 35cgmp[c] + ppi[c]</t>
  </si>
  <si>
    <t>g14076.t1 or g1481.t1 or g18850.t1 or g2897.t1 or g5552.t1 or g678.t1 or g6794.t1 or g723.t1 or g9218.t1 or (g1481.t1 and g9218.t1) or (g2897.t1 and g6794.t1) or (g6794.t1 and g9218.t1)</t>
  </si>
  <si>
    <t>Guanine phosphoribosyltransferase</t>
  </si>
  <si>
    <t>gua[c] + prpp[c] =&gt; gmp[c] + ppi[c]</t>
  </si>
  <si>
    <t>g11856.t1 or g15434.t1 or g3389.t1 or g3535.t1</t>
  </si>
  <si>
    <t>GUAt2r</t>
  </si>
  <si>
    <t>gua[e] + h[e] =&gt; gua[c] + h[c]</t>
  </si>
  <si>
    <t>g3827.t1</t>
  </si>
  <si>
    <t>HACD1i</t>
  </si>
  <si>
    <t>3hbcoa[c] + nad[c] =&gt; aacoa[c] + h[c] + nadh[c]</t>
  </si>
  <si>
    <t>g18034.t1</t>
  </si>
  <si>
    <t>Fatty acid degradation</t>
  </si>
  <si>
    <t>HEMEti</t>
  </si>
  <si>
    <t>Heme transport via ABC system</t>
  </si>
  <si>
    <t>atp[c] + h2o[c] + pheme[e] =&gt; adp[c] + h[c] + pheme[c] + pi[c]</t>
  </si>
  <si>
    <t>3.6.3.41</t>
  </si>
  <si>
    <t>g18856.t1</t>
  </si>
  <si>
    <t>HEX4</t>
  </si>
  <si>
    <t>Hexokinase (D-mannose:ATP)</t>
  </si>
  <si>
    <t>atp[c] + man[c] =&gt; adp[c] + h[c] + man6p[c]</t>
  </si>
  <si>
    <t>g11776.t1 or g9404.t1</t>
  </si>
  <si>
    <t>HGNTOR</t>
  </si>
  <si>
    <t xml:space="preserve">Homogentisateoxygen 1 2 oxidoreductase  decyclizing </t>
  </si>
  <si>
    <t>hgentis[c] + o2[c] =&gt; 4mlacac[c] + h[c]</t>
  </si>
  <si>
    <t>g16896.t1 or g4064.t1</t>
  </si>
  <si>
    <t>HISTP</t>
  </si>
  <si>
    <t>Histidinol-phosphatase</t>
  </si>
  <si>
    <t>h2o[c] + hisp[c] =&gt; histd[c] + pi[c]</t>
  </si>
  <si>
    <t>g11749.t1</t>
  </si>
  <si>
    <t>coa[c] + h[c] + hmgcoa[c] &lt;=&gt; aacoa[c] + accoa[c] + h2o[c]</t>
  </si>
  <si>
    <t>g11071.t1</t>
  </si>
  <si>
    <t>Valine, leucine and isoleucine degradation</t>
  </si>
  <si>
    <t>HMGL_2</t>
  </si>
  <si>
    <t>hmgcoa[c] =&gt; acac[c] + accoa[c]</t>
  </si>
  <si>
    <t>Synthesis and degradation of ketone bodies</t>
  </si>
  <si>
    <t>HXAND</t>
  </si>
  <si>
    <t>Hypoxanthine dehydrogenase</t>
  </si>
  <si>
    <t>h2o[c] + hxan[c] + nad[c] =&gt; h[c] + nadh[c] + xan[c]</t>
  </si>
  <si>
    <t>g15698.t1 or g17227.t1</t>
  </si>
  <si>
    <t>HXANt2r</t>
  </si>
  <si>
    <t>Hypoxanthine reversible transport via proton symport</t>
  </si>
  <si>
    <t>h[e] + hxan[e] =&gt; h[c] + hxan[c]</t>
  </si>
  <si>
    <t>Hypoxanthine phosphoribosyltransferase (Hypoxanthine)</t>
  </si>
  <si>
    <t>hxan[c] + prpp[c] =&gt; imp[c] + ppi[c]</t>
  </si>
  <si>
    <t>g11856.t1 or g15434.t1 or g3389.t1</t>
  </si>
  <si>
    <t>Hypothetical enyme</t>
  </si>
  <si>
    <t>h2o[c] + pyam5p[c] =&gt; pi[c] + pydam[c]</t>
  </si>
  <si>
    <t>g10156.t1 or g11298.t1 or g2732.t1 or g9588.t1</t>
  </si>
  <si>
    <t>HYXNt</t>
  </si>
  <si>
    <t>Hypoxanthine transport</t>
  </si>
  <si>
    <t>hxan[e] &lt;=&gt; hxan[c]</t>
  </si>
  <si>
    <t>g7712.t1</t>
  </si>
  <si>
    <t>ICDHx</t>
  </si>
  <si>
    <t>Isocitrate dehydrogenase (NAD)</t>
  </si>
  <si>
    <t>icit[c] + nad[c] &lt;=&gt; akg[c] + co2[c] + nadh[c]</t>
  </si>
  <si>
    <t>g11830.t1</t>
  </si>
  <si>
    <t>ICDHyr</t>
  </si>
  <si>
    <t>Isocitrate dehydrogenase (NADP)</t>
  </si>
  <si>
    <t>icit[c] + nadp[c] &lt;=&gt; akg[c] + co2[c] + nadph[c]</t>
  </si>
  <si>
    <t>g9596.t1</t>
  </si>
  <si>
    <t>TCA cycle; CO2 fixation</t>
  </si>
  <si>
    <t>IGPDH</t>
  </si>
  <si>
    <t>Imidazoleglycerol-phosphate dehydratase</t>
  </si>
  <si>
    <t>eig3p[c] =&gt; h2o[c] + imacp[c]</t>
  </si>
  <si>
    <t>g13011.t1</t>
  </si>
  <si>
    <t>h2o[c] + imp[c] &lt;=&gt; fprica[c]</t>
  </si>
  <si>
    <t>INOSTO</t>
  </si>
  <si>
    <t>Myo-Inositol:oxygen oxidoreductase</t>
  </si>
  <si>
    <t>inost[c] + o2[c] &lt;=&gt; glcur[c] + h2o[c] + h[c]</t>
  </si>
  <si>
    <t>g1433.t1</t>
  </si>
  <si>
    <t>Isopentenyl-diphosphate D-isomerase</t>
  </si>
  <si>
    <t>ipdp[c] &lt;=&gt; dmpp[c]</t>
  </si>
  <si>
    <t>g8603.t1</t>
  </si>
  <si>
    <t>IPMD</t>
  </si>
  <si>
    <t>3-isopropylmalate dehydrogenase</t>
  </si>
  <si>
    <t>3c2hmp[c] + nad[c] =&gt; 3c4mop[c] + h[c] + nadh[c]</t>
  </si>
  <si>
    <t>g2615.t1</t>
  </si>
  <si>
    <t>IPPMIa</t>
  </si>
  <si>
    <t>3-isopropylmalate dehydratase</t>
  </si>
  <si>
    <t>3c2hmp[c] &lt;=&gt; 2ippm[c] + h2o[c]</t>
  </si>
  <si>
    <t>g15890.t1 or (g11136.t1 and g15890.t1) or (g15890.t1 and g7478.t1)</t>
  </si>
  <si>
    <t>IPPMIb</t>
  </si>
  <si>
    <t>2-isopropylmalate hydratase</t>
  </si>
  <si>
    <t>2ippm[c] + h2o[c] &lt;=&gt; 3c3hmp[c]</t>
  </si>
  <si>
    <t>IPPS</t>
  </si>
  <si>
    <t>2-isopropylmalate synthase</t>
  </si>
  <si>
    <t>3mob[c] + accoa[c] + h2o[c] =&gt; 3c3hmp[c] + coa[c] + h[c]</t>
  </si>
  <si>
    <t>g17093.t1</t>
  </si>
  <si>
    <t>KAS13</t>
  </si>
  <si>
    <t>B-ketoacyl synthetase (octadecanoate)</t>
  </si>
  <si>
    <t>accoa[c] + 23.0 h[c] + 8.0 malcoa[c] + 16.0 nadph[c] =&gt; 8.0 co2[c] + 9.0 coa[c] + 7.0 h2o[c] + 16.0 nadp[c] + ocdca[c]</t>
  </si>
  <si>
    <t>(g1367.t1 and g9540.t1) or (g1367.t1 and g19470.t1 and g9540.t1)</t>
  </si>
  <si>
    <t>KAS17</t>
  </si>
  <si>
    <t>B-ketoacyl synthetase (n-C18:1)</t>
  </si>
  <si>
    <t>accoa[c] + 22.0 h[c] + 8.0 malcoa[c] + 15.0 nadph[c] =&gt; 8.0 co2[c] + 9.0 coa[c] + 7.0 h2o[c] + 15.0 nadp[c] + ocdcea[c]</t>
  </si>
  <si>
    <t>KAS7</t>
  </si>
  <si>
    <t>B-ketoacyl synthetase (n-C16:1)</t>
  </si>
  <si>
    <t>accoa[c] + 19.0 h[c] + 7.0 malcoa[c] + 13.0 nadph[c] =&gt; 7.0 co2[c] + 8.0 coa[c] + 6.0 h2o[c] + hdcea[c] + 13.0 nadp[c]</t>
  </si>
  <si>
    <t>KAS8</t>
  </si>
  <si>
    <t>B-ketoacyl synthetase (palmitate, n-C16:0)</t>
  </si>
  <si>
    <t>accoa[c] + 20.0 h[c] + 7.0 malcoa[c] + 14.0 nadph[c] =&gt; 7.0 co2[c] + 8.0 coa[c] + 6.0 h2o[c] + hdca[c] + 14.0 nadp[c]</t>
  </si>
  <si>
    <t>2.3.1.41;2.3.1.85</t>
  </si>
  <si>
    <t>g9540.t1 or (g1367.t1 and g9540.t1) or (g1367.t1 and g19470.t1 and g9540.t1)</t>
  </si>
  <si>
    <t>KAT1</t>
  </si>
  <si>
    <t>3-ketoacyl-CoA thiolase</t>
  </si>
  <si>
    <t>aacoa[c] + coa[c] =&gt; 2.0 accoa[c]</t>
  </si>
  <si>
    <t>g4469.t1</t>
  </si>
  <si>
    <t>MACACI</t>
  </si>
  <si>
    <t>Maleylacetoacetate isomerase</t>
  </si>
  <si>
    <t>4mlacac[c] =&gt; 4fumacac[c]</t>
  </si>
  <si>
    <t>g12087.t1</t>
  </si>
  <si>
    <t>MAN1PT</t>
  </si>
  <si>
    <t>Mannose 1 phosphate guanylyltransferase</t>
  </si>
  <si>
    <t>gtp[c] + h[c] + man1p[c] =&gt; gdpmann[c] + ppi[c]</t>
  </si>
  <si>
    <t>g2300.t1 or g385.t1</t>
  </si>
  <si>
    <t>MAN1PT2</t>
  </si>
  <si>
    <t>Mannose-1-phosphate guanylyltransferase (GDP)</t>
  </si>
  <si>
    <t>gdp[c] + h[c] + man1p[c] =&gt; gdpmann[c] + pi[c]</t>
  </si>
  <si>
    <t>2.7.7.22</t>
  </si>
  <si>
    <t>g2300.t1</t>
  </si>
  <si>
    <t>MCD</t>
  </si>
  <si>
    <t>Malonyl-CoA Decarboxylase cytoplasmic</t>
  </si>
  <si>
    <t>h[c] + malcoa[c] =&gt; accoa[c] + co2[c]</t>
  </si>
  <si>
    <t>g13746.t1 or g16868.t1</t>
  </si>
  <si>
    <t>MDRPD</t>
  </si>
  <si>
    <t>5-Methylthio-5-deoxy-D-ribulose 1-phosphate dehydratase</t>
  </si>
  <si>
    <t>5mdru1p[c] =&gt; dkmpp[c] + h2o[c]</t>
  </si>
  <si>
    <t>g9291.t1</t>
  </si>
  <si>
    <t>MEHLER</t>
  </si>
  <si>
    <t>Mehler reaction</t>
  </si>
  <si>
    <t>h[c] + nadph[c] + 0.5 o2[c] =&gt; h2o[c] + nadp[c]</t>
  </si>
  <si>
    <t>1.6.3.2</t>
  </si>
  <si>
    <t>g138.t1 and g6813.t1</t>
  </si>
  <si>
    <t>Oxidative phosphorylation</t>
  </si>
  <si>
    <t>Magnesium transport in/out via permease (no H+)</t>
  </si>
  <si>
    <t>mg2[c] &lt;=&gt; mg2[e]</t>
  </si>
  <si>
    <t>g15090.t1 or g16009.t1 or g3397.t1 or g3603.t1 or g5309.t1 or g6961.t1 or g8768.t1</t>
  </si>
  <si>
    <t>Ion Transport</t>
  </si>
  <si>
    <t>MN6PP</t>
  </si>
  <si>
    <t>Mannose 6-phosphate phosphatase</t>
  </si>
  <si>
    <t>h2o[c] + man6p[c] =&gt; man[c] + pi[c]</t>
  </si>
  <si>
    <t>g2665.t1 or g6247.t1</t>
  </si>
  <si>
    <t>MOHMT</t>
  </si>
  <si>
    <t>3-methyl-2-oxobutanoate hydroxymethyltransferase</t>
  </si>
  <si>
    <t>3mob[c] + h2o[c] + mlthf[c] =&gt; 2dhp[c] + thf[c]</t>
  </si>
  <si>
    <t>g15968.t1</t>
  </si>
  <si>
    <t>Methenyltetrahydrofolate cyclohydrolase</t>
  </si>
  <si>
    <t>h2o[c] + methf[c] &lt;=&gt; 10fthf[c] + h[c]</t>
  </si>
  <si>
    <t>g13238.t1 or g17154.t1 or g17615.t1 or g2574.t1 or g4563.t1</t>
  </si>
  <si>
    <t>Methylenetetrahydrofolate dehydrogenase (NADP)</t>
  </si>
  <si>
    <t>mlthf[c] + nadp[c] &lt;=&gt; methf[c] + nadph[c]</t>
  </si>
  <si>
    <t>MTHFD2i</t>
  </si>
  <si>
    <t xml:space="preserve">Methylenetetrahydrofolate dehydrogenase  NAD </t>
  </si>
  <si>
    <t>mlthf[c] + nad[c] =&gt; methf[c] + nadh[c]</t>
  </si>
  <si>
    <t>1.5.1.15</t>
  </si>
  <si>
    <t>g4563.t1</t>
  </si>
  <si>
    <t>MTRI</t>
  </si>
  <si>
    <t>5-methylthioribose-1-phosphate isomerase</t>
  </si>
  <si>
    <t>5mdr1p[c] &lt;=&gt; 5mdru1p[c]</t>
  </si>
  <si>
    <t>g14242.t1 or g2064.t1 or g4621.t1 or g7370.t1</t>
  </si>
  <si>
    <t>MTRK</t>
  </si>
  <si>
    <t>5-methylthioribose kinase</t>
  </si>
  <si>
    <t>5mtr[c] + atp[c] =&gt; 5mdr1p[c] + adp[c] + h[c]</t>
  </si>
  <si>
    <t>g14242.t1</t>
  </si>
  <si>
    <t>NACODA</t>
  </si>
  <si>
    <t>N-acetylornithine deacetylase</t>
  </si>
  <si>
    <t>acg5sa[c] + h2o[c] =&gt; ac[c] + glu5sa[c]</t>
  </si>
  <si>
    <t>g5321.t1</t>
  </si>
  <si>
    <t>NADDP</t>
  </si>
  <si>
    <t>h2o[c] + nad[c] =&gt; amp[c] + 2.0 h[c] + nmn[c]</t>
  </si>
  <si>
    <t>g3560.t1 or g4329.t1</t>
  </si>
  <si>
    <t>NADHPO</t>
  </si>
  <si>
    <t>NADH peroxidase</t>
  </si>
  <si>
    <t>h2o2[c] + h[c] + nadh[c] =&gt; 2.0 h2o[c] + nad[c]</t>
  </si>
  <si>
    <t>1.11.1.1</t>
  </si>
  <si>
    <t>g2576.t1</t>
  </si>
  <si>
    <t>atp[c] + nad[c] =&gt; adp[c] + h[c] + nadp[c]</t>
  </si>
  <si>
    <t>g4929.t1 or g5556.t1</t>
  </si>
  <si>
    <t>NARK</t>
  </si>
  <si>
    <t>Nitrite transport, extracellular</t>
  </si>
  <si>
    <t>no2[c] &lt;=&gt; no2[e]</t>
  </si>
  <si>
    <t>g11803.t1 or g14026.t1 or g14877.t1 or g2915.t1 or g4268.t1 or g6503.t1</t>
  </si>
  <si>
    <t>NAabc</t>
  </si>
  <si>
    <t>atp[c] + h2o[c] + na1[e] =&gt; adp[c] + h[c] + na1[c] + pi[c]</t>
  </si>
  <si>
    <t>g11029.t1</t>
  </si>
  <si>
    <t>NAabcO</t>
  </si>
  <si>
    <t>Sodium transport out via ABC system</t>
  </si>
  <si>
    <t>atp[c] + h2o[c] + na1[c] =&gt; adp[c] + h[c] + na1[e] + pi[c]</t>
  </si>
  <si>
    <t>g15513.t1</t>
  </si>
  <si>
    <t>NAt3_1</t>
  </si>
  <si>
    <t xml:space="preserve">Sodium proton antiporter  HNA is 11 </t>
  </si>
  <si>
    <t>h[e] + na1[c] =&gt; h[c] + na1[e]</t>
  </si>
  <si>
    <t>g13113.t1 or g13386.t1 or g16512.t1 or g3464.t1 or g4533.t1</t>
  </si>
  <si>
    <t>NAt6</t>
  </si>
  <si>
    <t>h[e] + na1[e] =&gt; h[c] + na1[c]</t>
  </si>
  <si>
    <t>g11779.t1</t>
  </si>
  <si>
    <t>NDP3</t>
  </si>
  <si>
    <t xml:space="preserve">Nucleoside diphosphatase  GDP </t>
  </si>
  <si>
    <t>gdp[c] + h2o[c] =&gt; gmp[c] + h[c] + pi[c]</t>
  </si>
  <si>
    <t>g10461.t1</t>
  </si>
  <si>
    <t>NDP7</t>
  </si>
  <si>
    <t xml:space="preserve">Nucleoside diphosphatase  UDP </t>
  </si>
  <si>
    <t>h2o[c] + udp[c] =&gt; h[c] + pi[c] + ump[c]</t>
  </si>
  <si>
    <t>g2629.t1</t>
  </si>
  <si>
    <t>NDP8</t>
  </si>
  <si>
    <t>Nucleoside-diphosphatase (dUDP)</t>
  </si>
  <si>
    <t>dudp[c] + h2o[c] =&gt; dump[c] + h[c] + pi[c]</t>
  </si>
  <si>
    <t>3.6.1.23</t>
  </si>
  <si>
    <t>Nucleoside-diphosphate kinase (ATP:GDP)</t>
  </si>
  <si>
    <t>atp[c] + gdp[c] &lt;=&gt; adp[c] + gtp[c]</t>
  </si>
  <si>
    <t>g10401.t1 or g1080.t1 or g10959.t1 or g12639.t1 or g1639.t1 or g17645.t1 or g2065.t1 or g2753.t1 or g538.t1</t>
  </si>
  <si>
    <t>Nucleoside-diphosphate kinase (ATP:UDP)</t>
  </si>
  <si>
    <t>atp[c] + udp[c] &lt;=&gt; adp[c] + utp[c]</t>
  </si>
  <si>
    <t>Nucleoside-diphosphate kinase (ATP:CDP)</t>
  </si>
  <si>
    <t>atp[c] + cdp[c] &lt;=&gt; adp[c] + ctp[c]</t>
  </si>
  <si>
    <t>Nucleoside-diphosphate kinase (ATP:dTDP)</t>
  </si>
  <si>
    <t>atp[c] + dtdp[c] &lt;=&gt; adp[c] + dttp[c]</t>
  </si>
  <si>
    <t>Nucleoside-diphosphate kinase (ATP:dGDP)</t>
  </si>
  <si>
    <t>atp[c] + dgdp[c] &lt;=&gt; adp[c] + dgtp[c]</t>
  </si>
  <si>
    <t>Nucleoside-diphosphate kinase (ATP:dUDP)</t>
  </si>
  <si>
    <t>atp[c] + dudp[c] &lt;=&gt; adp[c] + dutp[c]</t>
  </si>
  <si>
    <t>Nucleoside-diphosphate kinase (ATP:dCDP)</t>
  </si>
  <si>
    <t>atp[c] + dcdp[c] &lt;=&gt; adp[c] + dctp[c]</t>
  </si>
  <si>
    <t>Nucleoside-diphosphate kinase (ATP:dADP)</t>
  </si>
  <si>
    <t>atp[c] + dadp[c] &lt;=&gt; adp[c] + datp[c]</t>
  </si>
  <si>
    <t xml:space="preserve">Nucleoside diphosphate kinase  ATPIDP </t>
  </si>
  <si>
    <t>atp[c] + idp[c] &lt;=&gt; adp[c] + itp[c]</t>
  </si>
  <si>
    <t>g1080.t1 or g10959.t1 or g12639.t1 or g1639.t1 or g2065.t1 or g2753.t1 or g538.t1</t>
  </si>
  <si>
    <t>NMNHYD_1</t>
  </si>
  <si>
    <t>Nicotinamide ribonucleotide phosphohydrolase</t>
  </si>
  <si>
    <t>h2o[c] + nmn[c] =&gt; pi[c] + rnam[c]</t>
  </si>
  <si>
    <t>g13392.t1</t>
  </si>
  <si>
    <t>NMNS</t>
  </si>
  <si>
    <t>NMN synthetase</t>
  </si>
  <si>
    <t>h[c] + ncam[c] + prpp[c] =&gt; nmn[c] + ppi[c]</t>
  </si>
  <si>
    <t>g1441.t1</t>
  </si>
  <si>
    <t>Nicotinamidase</t>
  </si>
  <si>
    <t>h2o[c] + ncam[c] =&gt; nac[c] + nh4[c]</t>
  </si>
  <si>
    <t>g3081.t1</t>
  </si>
  <si>
    <t>NO3abc</t>
  </si>
  <si>
    <t>atp[c] + h2o[c] + no3[e] =&gt; adp[c] + h[c] + no3[c] + pi[c]</t>
  </si>
  <si>
    <t>g2117.t1</t>
  </si>
  <si>
    <t>NOX</t>
  </si>
  <si>
    <t>NADH oxidase</t>
  </si>
  <si>
    <t>h[c] + nadh[c] + o2[c] =&gt; h2o2[c] + nad[c]</t>
  </si>
  <si>
    <t>1.6.3.1;1.6.3.3</t>
  </si>
  <si>
    <t>g6259.t1 or g7621.t1</t>
  </si>
  <si>
    <t>NP1_1</t>
  </si>
  <si>
    <t>Nucleotide phosphatase</t>
  </si>
  <si>
    <t>nicrns[c] + pi[c] &lt;=&gt; h[c] + nac[c] + r1p[c]</t>
  </si>
  <si>
    <t>g11167.t1</t>
  </si>
  <si>
    <t>NT5C</t>
  </si>
  <si>
    <t>5'-nucleotidase</t>
  </si>
  <si>
    <t>h2o[c] + nicrnt[c] =&gt; nicrns[c] + pi[c]</t>
  </si>
  <si>
    <t>g3912.t1</t>
  </si>
  <si>
    <t>h2o[c] + xmp[c] =&gt; pi[c] + xtsn[c]</t>
  </si>
  <si>
    <t>g16433.t1 or g3912.t1 or g7011.t1 or g8367.t1 or g9898.t1</t>
  </si>
  <si>
    <t>h2o[c] + imp[c] =&gt; ins[c] + pi[c]</t>
  </si>
  <si>
    <t>g16433.t1 or g2478.t1 or g3912.t1 or g8367.t1</t>
  </si>
  <si>
    <t>NTD1_1</t>
  </si>
  <si>
    <t>dump[c] + h2o[c] =&gt; duri[c] + pi[c]</t>
  </si>
  <si>
    <t>g13392.t1 or g15421.t1</t>
  </si>
  <si>
    <t>h2o[c] + ump[c] =&gt; pi[c] + uri[c]</t>
  </si>
  <si>
    <t>g16433.t1 or g3912.t1 or g4224.t1 or g7011.t1 or g8367.t1</t>
  </si>
  <si>
    <t>dcmp[c] + h2o[c] =&gt; dcyt[c] + pi[c]</t>
  </si>
  <si>
    <t>g3912.t1 or g7011.t1 or g8367.t1</t>
  </si>
  <si>
    <t>cmp[c] + h2o[c] =&gt; cytd[c] + pi[c]</t>
  </si>
  <si>
    <t>g16433.t1 or g4224.t1 or g7011.t1 or g8367.t1</t>
  </si>
  <si>
    <t>dtmp[c] + h2o[c] =&gt; pi[c] + thymd[c]</t>
  </si>
  <si>
    <t>g16433.t1 or g3912.t1 or g7011.t1 or g8367.t1</t>
  </si>
  <si>
    <t>damp[c] + h2o[c] =&gt; dad_2[c] + pi[c]</t>
  </si>
  <si>
    <t>g13392.t1 or g16433.t1 or g3912.t1 or g7011.t1 or g8367.t1 or g9898.t1</t>
  </si>
  <si>
    <t>amp[c] + h2o[c] =&gt; adn[c] + pi[c]</t>
  </si>
  <si>
    <t>g16433.t1 or g2732.t1 or g3912.t1 or g7011.t1 or g8367.t1 or g9588.t1 or g9898.t1</t>
  </si>
  <si>
    <t>dgmp[c] + h2o[c] =&gt; dgsn[c] + pi[c]</t>
  </si>
  <si>
    <t>gmp[c] + h2o[c] =&gt; gsn[c] + pi[c]</t>
  </si>
  <si>
    <t>g16433.t1 or g2478.t1 or g3912.t1 or g7011.t1 or g8367.t1 or g9898.t1</t>
  </si>
  <si>
    <t>NTP1</t>
  </si>
  <si>
    <t>Nucleoside-triphosphatase (ATP)</t>
  </si>
  <si>
    <t>atp[c] + h2o[c] =&gt; adp[c] + h[c] + pi[c]</t>
  </si>
  <si>
    <t>g10182.t1 or g1839.t1 or g2732.t1 or g78.t1 or g9588.t1</t>
  </si>
  <si>
    <t>NTP10</t>
  </si>
  <si>
    <t>h2o[c] + itp[c] =&gt; h[c] + idp[c] + pi[c]</t>
  </si>
  <si>
    <t>3.6.1.5</t>
  </si>
  <si>
    <t>g78.t1</t>
  </si>
  <si>
    <t>NTP3</t>
  </si>
  <si>
    <t>gtp[c] + h2o[c] =&gt; gdp[c] + h[c] + pi[c]</t>
  </si>
  <si>
    <t>g12785.t1 or g14378.t1 or g1844.t1 or g4073.t1 or g5550.t1 or g732.t1 or g78.t1 or g8011.t1 or (g10537.t1 and g12194.t1 and g4073.t1)</t>
  </si>
  <si>
    <t>NTP5</t>
  </si>
  <si>
    <t>ctp[c] + h2o[c] =&gt; cdp[c] + h[c] + pi[c]</t>
  </si>
  <si>
    <t>g2629.t1 or g2732.t1 or g4427.t1 or g78.t1 or g9588.t1</t>
  </si>
  <si>
    <t>NTP7</t>
  </si>
  <si>
    <t>Nucleoside-triphosphatase (UTP)</t>
  </si>
  <si>
    <t>h2o[c] + utp[c] =&gt; h[c] + pi[c] + udp[c]</t>
  </si>
  <si>
    <t>NTPP1</t>
  </si>
  <si>
    <t>Nucleoside triphosphate pyrophosphorylase (dgtp)</t>
  </si>
  <si>
    <t>dgtp[c] + h2o[c] =&gt; dgmp[c] + h[c] + ppi[c]</t>
  </si>
  <si>
    <t>g13653.t1</t>
  </si>
  <si>
    <t>NTPP11</t>
  </si>
  <si>
    <t>Nucleoside triphosphate pyrophosphorylase (xtp)</t>
  </si>
  <si>
    <t>h2o[c] + xtp[c] =&gt; h[c] + ppi[c] + xmp[c]</t>
  </si>
  <si>
    <t>NTPP2</t>
  </si>
  <si>
    <t>Nucleoside triphosphate pyrophosphorylase (gtp)</t>
  </si>
  <si>
    <t>gtp[c] + h2o[c] =&gt; gmp[c] + h[c] + ppi[c]</t>
  </si>
  <si>
    <t>NTPP3</t>
  </si>
  <si>
    <t>Nucleoside triphosphate pyrophosphorylase (dctp)</t>
  </si>
  <si>
    <t>dctp[c] + h2o[c] =&gt; dcmp[c] + h[c] + ppi[c]</t>
  </si>
  <si>
    <t>3.6.1.12;3.6.1.65;3.6.1.9</t>
  </si>
  <si>
    <t>g11335.t1 or g13653.t1</t>
  </si>
  <si>
    <t>NTPP4</t>
  </si>
  <si>
    <t>Nucleoside triphosphate pyrophosphorylase (ctp)</t>
  </si>
  <si>
    <t>ctp[c] + h2o[c] =&gt; cmp[c] + h[c] + ppi[c]</t>
  </si>
  <si>
    <t>3.6.1.65;3.6.1.8;3.6.1.9</t>
  </si>
  <si>
    <t>NTPP5</t>
  </si>
  <si>
    <t>Nucleoside triphosphate pyrophosphorylase (datp)</t>
  </si>
  <si>
    <t>datp[c] + h2o[c] =&gt; damp[c] + h[c] + ppi[c]</t>
  </si>
  <si>
    <t>3.6.1.19;3.6.1.9</t>
  </si>
  <si>
    <t>g11335.t1</t>
  </si>
  <si>
    <t>NTPP7</t>
  </si>
  <si>
    <t>Nucleoside triphosphate pyrophosphorylase (dttp)</t>
  </si>
  <si>
    <t>dttp[c] + h2o[c] =&gt; dtmp[c] + h[c] + ppi[c]</t>
  </si>
  <si>
    <t>g11335.t1 or g16402.t1</t>
  </si>
  <si>
    <t>NTPP8</t>
  </si>
  <si>
    <t>Nucleoside triphosphate pyrophosphorylase (utp)</t>
  </si>
  <si>
    <t>h2o[c] + utp[c] =&gt; h[c] + ppi[c] + ump[c]</t>
  </si>
  <si>
    <t>g16402.t1</t>
  </si>
  <si>
    <t>NTPP9</t>
  </si>
  <si>
    <t>h2o[c] + itp[c] =&gt; h[c] + imp[c] + ppi[c]</t>
  </si>
  <si>
    <t>NTRIR2x</t>
  </si>
  <si>
    <t>Nitrite Reductase (NADH)</t>
  </si>
  <si>
    <t>5.0 h[c] + 3.0 nadh[c] + no2[c] =&gt; 2.0 h2o[c] + 3.0 nad[c] + nh4[c]</t>
  </si>
  <si>
    <t>1.7.1.15;1.7.1.4</t>
  </si>
  <si>
    <t>g8339.t1</t>
  </si>
  <si>
    <t>NTRIR2y</t>
  </si>
  <si>
    <t>Nitrite Reductase (NADPH)</t>
  </si>
  <si>
    <t>5.0 h[c] + 3.0 nadph[c] + no2[c] =&gt; 2.0 h2o[c] + 3.0 nadp[c] + nh4[c]</t>
  </si>
  <si>
    <t>1.7.1.4</t>
  </si>
  <si>
    <t>Orotidine-5'-phosphate decarboxylase</t>
  </si>
  <si>
    <t>h[c] + orot5p[c] =&gt; co2[c] + ump[c]</t>
  </si>
  <si>
    <t>g1352.t1</t>
  </si>
  <si>
    <t>ORNDC</t>
  </si>
  <si>
    <t>Ornithine Decarboxylase</t>
  </si>
  <si>
    <t>h[c] + orn[c] =&gt; co2[c] + ptrc[c]</t>
  </si>
  <si>
    <t>g107.t1 or g13005.t1</t>
  </si>
  <si>
    <t>Polyamine metabolism</t>
  </si>
  <si>
    <t>Orotate phosphoribosyltransferase</t>
  </si>
  <si>
    <t>orot5p[c] + ppi[c] &lt;=&gt; orot[c] + prpp[c]</t>
  </si>
  <si>
    <t>PC</t>
  </si>
  <si>
    <t>Pyruvate carboxylase</t>
  </si>
  <si>
    <t>atp[c] + hco3[c] + pyr[c] =&gt; adp[c] + h[c] + oaa[c] + pi[c]</t>
  </si>
  <si>
    <t>g13746.t1 or g14209.t1 or g2781.t1</t>
  </si>
  <si>
    <t>TCA cycle; Alanine and aspartate metabolism</t>
  </si>
  <si>
    <t>PDE1</t>
  </si>
  <si>
    <t>3',5'-cyclic-nucleotide phosphodiesterase</t>
  </si>
  <si>
    <t>camp[c] + h2o[c] =&gt; amp[c] + h[c]</t>
  </si>
  <si>
    <t>g12707.t1 or g12770.t1 or g14462.t1 or g15668.t1 or g16203.t1 or g19091.t1 or g19625.t1 or g265.t1 or g6326.t1 or g7402.t1 or g7684.t1 or g8715.t1 or g8912.t1 or g9482.t1</t>
  </si>
  <si>
    <t>PDE4</t>
  </si>
  <si>
    <t>35cgmp[c] + h2o[c] =&gt; gmp[c] + h[c]</t>
  </si>
  <si>
    <t>g10802.t1 or g12707.t1 or g12770.t1 or g15668.t1 or g16203.t1 or g19625.t1 or g265.t1 or g3597.t1 or g6326.t1 or g7402.t1 or g7684.t1 or g8715.t1</t>
  </si>
  <si>
    <t>Pyruvate dehydrogenase</t>
  </si>
  <si>
    <t>coa[c] + nad[c] + pyr[c] =&gt; accoa[c] + co2[c] + nadh[c]</t>
  </si>
  <si>
    <t>1.2.1.51;1.2.4.1;1.8.1.4;2.3.1.12</t>
  </si>
  <si>
    <t>g17996.t1 or g2879.t1 or g895.t1 or g9292.t1 or (g17996.t1 and g3971.t1) or (g4105.t1 and g4595.t1)</t>
  </si>
  <si>
    <t>PFL</t>
  </si>
  <si>
    <t>Pyruvate formate lyase</t>
  </si>
  <si>
    <t>coa[c] + pyr[c] =&gt; accoa[c] + for[c]</t>
  </si>
  <si>
    <t>g13067.t1 or g15910.t1 or g326.t1 or (g13067.t1 and g326.t1)</t>
  </si>
  <si>
    <t>6pgl[c] + h2o[c] =&gt; 6pgc[c] + h[c]</t>
  </si>
  <si>
    <t>g1158.t1 or g17494.t1</t>
  </si>
  <si>
    <t>Phosphoglycolate phosphatase</t>
  </si>
  <si>
    <t>2pglyc[c] + h2o[c] =&gt; glyclt[c] + pi[c]</t>
  </si>
  <si>
    <t>g194.t1 or g2139.t1 or g693.t1</t>
  </si>
  <si>
    <t>PGLYCP_1</t>
  </si>
  <si>
    <t>g12846.t1</t>
  </si>
  <si>
    <t>Phosphate transport via ABC system</t>
  </si>
  <si>
    <t>atp[c] + h2o[c] + pi[e] =&gt; adp[c] + h[c] + 2.0 pi[c]</t>
  </si>
  <si>
    <t>3.6.3.27</t>
  </si>
  <si>
    <t>g12357.t1</t>
  </si>
  <si>
    <t>PIt2r</t>
  </si>
  <si>
    <t>Phosphate reversible transport via symport</t>
  </si>
  <si>
    <t>h[e] + pi[e] =&gt; h[c] + pi[c]</t>
  </si>
  <si>
    <t>g1132.t1 or g12357.t1 or g14443.t1 or g17171.t1 or g3986.t1 or g4528.t1</t>
  </si>
  <si>
    <t>PIt7</t>
  </si>
  <si>
    <t>Phosphate transport in/out via three Na+ symporter</t>
  </si>
  <si>
    <t>3.0 na1[e] + pi[e] =&gt; 3.0 na1[c] + pi[c]</t>
  </si>
  <si>
    <t>g14166.t1</t>
  </si>
  <si>
    <t>Phosphomannomutase</t>
  </si>
  <si>
    <t>man1p[c] &lt;=&gt; man6p[c]</t>
  </si>
  <si>
    <t>g11922.t1 or g6352.t1</t>
  </si>
  <si>
    <t>PNP_1</t>
  </si>
  <si>
    <t>Purine-nucleoside phosphorylase</t>
  </si>
  <si>
    <t>pi[c] + rnam[c] &lt;=&gt; h[c] + ncam[c] + r1p[c]</t>
  </si>
  <si>
    <t>Inorganic diphosphatase</t>
  </si>
  <si>
    <t>h2o[c] + ppi[c] =&gt; h[c] + 2.0 pi[c]</t>
  </si>
  <si>
    <t>g10997.t1 or g18479.t1 or g5077.t1 or g76.t1 or g8367.t1 or g9159.t1</t>
  </si>
  <si>
    <t>PPANA</t>
  </si>
  <si>
    <t>Inorganic diphosphatase (sodium translocation)</t>
  </si>
  <si>
    <t>h2o[c] + na1[c] + ppi[c] =&gt; h[c] + na1[e] + 2.0 pi[c]</t>
  </si>
  <si>
    <t>g10997.t1</t>
  </si>
  <si>
    <t>Phosphopantothenoylcysteine decarboxylase</t>
  </si>
  <si>
    <t>4ppcys[c] + h[c] =&gt; co2[c] + pan4p[c]</t>
  </si>
  <si>
    <t>g19200.t1</t>
  </si>
  <si>
    <t>PPDK</t>
  </si>
  <si>
    <t>Pyruvate,phosphate dikinase.</t>
  </si>
  <si>
    <t>atp[c] + pi[c] + pyr[c] =&gt; amp[c] + h[c] + pep[c] + ppi[c]</t>
  </si>
  <si>
    <t>g5401.t1 or g5608.t1</t>
  </si>
  <si>
    <t>Carbon fixation</t>
  </si>
  <si>
    <t>PPGPPDP</t>
  </si>
  <si>
    <t>Guanosine-3',5'-bis(diphosphate) 3'-diphosphatase</t>
  </si>
  <si>
    <t>h2o[c] + ppgpp[c] =&gt; gdp[c] + ppi[c]</t>
  </si>
  <si>
    <t>PPK</t>
  </si>
  <si>
    <t>atp[c] + pi[c] =&gt; adp[c] + ppi[c]</t>
  </si>
  <si>
    <t>g2768.t1 or g3797.t1 or g8060.t1</t>
  </si>
  <si>
    <t>PPNDH</t>
  </si>
  <si>
    <t>Prephenate dehydratase</t>
  </si>
  <si>
    <t>h[c] + pphn[c] =&gt; co2[c] + h2o[c] + phpyr[c]</t>
  </si>
  <si>
    <t>g400.t1</t>
  </si>
  <si>
    <t>PPNDH2</t>
  </si>
  <si>
    <t>fad[c] + ppcoa[c] &lt;=&gt; fadh2[c] + prpncoa[c]</t>
  </si>
  <si>
    <t>g3176.t1</t>
  </si>
  <si>
    <t>PPS</t>
  </si>
  <si>
    <t>Phosphoenolpyruvate synthase</t>
  </si>
  <si>
    <t>atp[c] + h2o[c] + pyr[c] =&gt; amp[c] + 2.0 h[c] + pep[c] + pi[c]</t>
  </si>
  <si>
    <t>2.7.9.2</t>
  </si>
  <si>
    <t>g10847.t1 or g5608.t1</t>
  </si>
  <si>
    <t>Phosphoribosylglycinamide synthase</t>
  </si>
  <si>
    <t>atp[c] + gly[c] + pram[c] &lt;=&gt; adp[c] + gar[c] + h[c] + pi[c]</t>
  </si>
  <si>
    <t>g10021.t1 or g11117.t1</t>
  </si>
  <si>
    <t>PRAMPC</t>
  </si>
  <si>
    <t>Phosphoribosyl-AMP cyclohydrolase</t>
  </si>
  <si>
    <t>h2o[c] + prbamp[c] =&gt; prfp[c]</t>
  </si>
  <si>
    <t>g4824.t1 or g7607.t1</t>
  </si>
  <si>
    <t>PRAMPC_1</t>
  </si>
  <si>
    <t>Phosphoribosyl AMP cyclohydrolase</t>
  </si>
  <si>
    <t>g7607.t1</t>
  </si>
  <si>
    <t>PRATPP</t>
  </si>
  <si>
    <t>Phosphoribosyl-ATP pyrophosphatase</t>
  </si>
  <si>
    <t>h2o[c] + prbatp[c] =&gt; h[c] + ppi[c] + prbamp[c]</t>
  </si>
  <si>
    <t>PRMICI</t>
  </si>
  <si>
    <t>1-(5-phosphoribosyl)-5-[(5-phosphoribosylamino)methylideneamino)imidazole-4-carboxamide isomerase</t>
  </si>
  <si>
    <t>prfp[c] &lt;=&gt; prlp[c]</t>
  </si>
  <si>
    <t>g2292.t1</t>
  </si>
  <si>
    <t>Phosphoribosylpyrophosphate synthetase</t>
  </si>
  <si>
    <t>atp[c] + r5p[c] &lt;=&gt; amp[c] + h[c] + prpp[c]</t>
  </si>
  <si>
    <t>g3742.t1 or g5184.t1</t>
  </si>
  <si>
    <t>PTPATi</t>
  </si>
  <si>
    <t>Pantetheine-phosphate adenylyltransferase</t>
  </si>
  <si>
    <t>atp[c] + h[c] + pan4p[c] =&gt; dpcoa[c] + ppi[c]</t>
  </si>
  <si>
    <t>g7403.t1</t>
  </si>
  <si>
    <t>Purine-nucleoside phosphorylase (Adenosine)</t>
  </si>
  <si>
    <t>adn[c] + pi[c] &lt;=&gt; ade[c] + r1p[c]</t>
  </si>
  <si>
    <t>PUNP1_1</t>
  </si>
  <si>
    <t>Purine-nucleoside phosphorylase (Guanosine)</t>
  </si>
  <si>
    <t>gsn[c] + pi[c] &lt;=&gt; gua[c] + r1p[c]</t>
  </si>
  <si>
    <t>2.4.2.1;2.4.2.15</t>
  </si>
  <si>
    <t>PUNP3_1</t>
  </si>
  <si>
    <t>gsn[c] + pi[c] =&gt; gua[c] + r1p[c]</t>
  </si>
  <si>
    <t>Purine-nucleoside phosphorylase (Inosine)</t>
  </si>
  <si>
    <t>ins[c] + pi[c] &lt;=&gt; hxan[c] + r1p[c]</t>
  </si>
  <si>
    <t>PUNP5_1</t>
  </si>
  <si>
    <t>Purine-nucleoside phosphorylase (Xanthosine)</t>
  </si>
  <si>
    <t>pi[c] + xtsn[c] &lt;=&gt; r1p[c] + xan[c]</t>
  </si>
  <si>
    <t>2.4.2.-;2.4.2.1</t>
  </si>
  <si>
    <t>PUNP7_1</t>
  </si>
  <si>
    <t>PYK2</t>
  </si>
  <si>
    <t>Pyruvate kinase(2)</t>
  </si>
  <si>
    <t>h[c] + pep[c] + udp[c] =&gt; pyr[c] + utp[c]</t>
  </si>
  <si>
    <t>g1829.t1</t>
  </si>
  <si>
    <t>PYK3</t>
  </si>
  <si>
    <t>Pyruvate kinase(3)</t>
  </si>
  <si>
    <t>gdp[c] + h[c] + pep[c] =&gt; gtp[c] + pyr[c]</t>
  </si>
  <si>
    <t>g1829.t1 or g2634.t1</t>
  </si>
  <si>
    <t>PYK4</t>
  </si>
  <si>
    <t>Pyruvate kinase(4)</t>
  </si>
  <si>
    <t>cdp[c] + h[c] + pep[c] =&gt; ctp[c] + pyr[c]</t>
  </si>
  <si>
    <t>PYK5</t>
  </si>
  <si>
    <t>Pyruvate kinase(5)</t>
  </si>
  <si>
    <t>h[c] + idp[c] + pep[c] =&gt; itp[c] + pyr[c]</t>
  </si>
  <si>
    <t>Riboflavin kinase</t>
  </si>
  <si>
    <t>atp[c] + ribflv[c] =&gt; adp[c] + fmn[c] + h[c]</t>
  </si>
  <si>
    <t>g10375.t1</t>
  </si>
  <si>
    <t>Ribonucleoside-diphosphate reductase (ADP)</t>
  </si>
  <si>
    <t>adp[c] + trdrd[c] =&gt; dadp[c] + h2o[c] + trdox[c]</t>
  </si>
  <si>
    <t>g16137.t1 or g1732.t1 or g19189.t1 or g3310.t1 or g716.t1 or g9697.t1 or (g11447.t1 and g1732.t1) or (g19189.t1 and g3310.t1) or (g11447.t1 and g15317.t1 and g1732.t1) or (g11447.t1 and g1732.t1 and g3880.t1)</t>
  </si>
  <si>
    <t>Ribonucleoside-diphosphate reductase (GDP)</t>
  </si>
  <si>
    <t>gdp[c] + trdrd[c] =&gt; dgdp[c] + h2o[c] + trdox[c]</t>
  </si>
  <si>
    <t>g16137.t1 or g1732.t1 or g19189.t1 or g3310.t1 or g716.t1 or (g11447.t1 and g1732.t1) or (g19189.t1 and g3310.t1) or (g11447.t1 and g15317.t1 and g1732.t1) or (g11447.t1 and g1732.t1 and g3880.t1)</t>
  </si>
  <si>
    <t>Ribonucleoside-diphosphate reductase (CDP)</t>
  </si>
  <si>
    <t>cdp[c] + trdrd[c] =&gt; dcdp[c] + h2o[c] + trdox[c]</t>
  </si>
  <si>
    <t>Ribonucleoside-diphosphate reductase (UDP)</t>
  </si>
  <si>
    <t>trdrd[c] + udp[c] =&gt; dudp[c] + h2o[c] + trdox[c]</t>
  </si>
  <si>
    <t xml:space="preserve">Ribonucleoside triphosphate reductase  ATP </t>
  </si>
  <si>
    <t>atp[c] + trdrd[c] =&gt; datp[c] + h2o[c] + trdox[c]</t>
  </si>
  <si>
    <t>g3880.t1</t>
  </si>
  <si>
    <t xml:space="preserve">Ribonucleoside triphosphate reductase  GTP </t>
  </si>
  <si>
    <t>gtp[c] + trdrd[c] =&gt; dgtp[c] + h2o[c] + trdox[c]</t>
  </si>
  <si>
    <t xml:space="preserve">Ribonucleoside triphosphate reductase  CTP </t>
  </si>
  <si>
    <t>ctp[c] + trdrd[c] =&gt; dctp[c] + h2o[c] + trdox[c]</t>
  </si>
  <si>
    <t xml:space="preserve">Ribonucleoside triphosphate reductase  UTP </t>
  </si>
  <si>
    <t>trdrd[c] + utp[c] =&gt; dutp[c] + h2o[c] + trdox[c]</t>
  </si>
  <si>
    <t>SADT</t>
  </si>
  <si>
    <t>Sulfate adenylyltransferase</t>
  </si>
  <si>
    <t>atp[c] + h[c] + so4[c] =&gt; aps[c] + ppi[c]</t>
  </si>
  <si>
    <t>SADT2</t>
  </si>
  <si>
    <t>Sulfate adenyltransferase</t>
  </si>
  <si>
    <t>atp[c] + gtp[c] + h2o[c] + so4[c] =&gt; aps[c] + gdp[c] + pi[c] + ppi[c]</t>
  </si>
  <si>
    <t>g10452.t1 or g4997.t1 or g5955.t1</t>
  </si>
  <si>
    <t>SO4t2</t>
  </si>
  <si>
    <t>Sulfate transport in via proton symport</t>
  </si>
  <si>
    <t>h[e] + so4[e] =&gt; h[c] + so4[c]</t>
  </si>
  <si>
    <t>g16467.t1 or g1765.t1</t>
  </si>
  <si>
    <t>SPMS</t>
  </si>
  <si>
    <t>Spermidine synthase</t>
  </si>
  <si>
    <t>ametam[c] + ptrc[c] =&gt; 5mta[c] + h[c] + spmd[c]</t>
  </si>
  <si>
    <t>g10404.t1 or g14224.t1 or g4531.t1</t>
  </si>
  <si>
    <t>SUCCt2r</t>
  </si>
  <si>
    <t>Succinate transport via proton symport</t>
  </si>
  <si>
    <t>h[e] + succ[e] =&gt; h[c] + succ[c]</t>
  </si>
  <si>
    <t>g12660.t1</t>
  </si>
  <si>
    <t>SULabc</t>
  </si>
  <si>
    <t>Sulfate transport via ABC system</t>
  </si>
  <si>
    <t>atp[c] + h2o[c] + so4[e] =&gt; adp[c] + h[c] + pi[c] + so4[c]</t>
  </si>
  <si>
    <t>g10812.t1 or g18150.t1 or g3471.t1 or (g4407.t1 and g5280.t1)</t>
  </si>
  <si>
    <t>TDP</t>
  </si>
  <si>
    <t>Thiamin pyrophosphatase</t>
  </si>
  <si>
    <t>h2o[c] + thmpp[c] =&gt; h[c] + pi[c] + thmmp[c]</t>
  </si>
  <si>
    <t>3.6.1.-;3.6.1.15</t>
  </si>
  <si>
    <t>g10461.t1 or g2732.t1 or g9588.t1</t>
  </si>
  <si>
    <t>THIORDXi</t>
  </si>
  <si>
    <t>Hydrogen peroxide reductase (thioredoxin)</t>
  </si>
  <si>
    <t>h2o2[c] + trdrd[c] =&gt; 2.0 h2o[c] + trdox[c]</t>
  </si>
  <si>
    <t>1.11.1.15;1.11.1.16</t>
  </si>
  <si>
    <t>g15317.t1 or g16137.t1 or g3310.t1 or g3880.t1 or g4579.t1 or (g16137.t1 and g4579.t1) or (g3310.t1 and g4579.t1) or (g4579.t1 and g716.t1)</t>
  </si>
  <si>
    <t>THMP</t>
  </si>
  <si>
    <t>Thiamin phosphatase</t>
  </si>
  <si>
    <t>h2o[c] + thmmp[c] =&gt; pi[c] + thm[c]</t>
  </si>
  <si>
    <t>3.1.3.2</t>
  </si>
  <si>
    <t>g2732.t1 or g9588.t1</t>
  </si>
  <si>
    <t>TMDK1_1</t>
  </si>
  <si>
    <t>Thymidine kinase (ATP:thymidine)</t>
  </si>
  <si>
    <t>atp[c] + thymd[c] =&gt; adp[c] + dtmp[c] + h[c]</t>
  </si>
  <si>
    <t>Thiamine diphosphokinase</t>
  </si>
  <si>
    <t>atp[c] + thm[c] =&gt; amp[c] + h[c] + thmpp[c]</t>
  </si>
  <si>
    <t>g1585.t1</t>
  </si>
  <si>
    <t>Thymidylate synthase</t>
  </si>
  <si>
    <t>dump[c] + mlthf[c] =&gt; dhf[c] + dtmp[c]</t>
  </si>
  <si>
    <t>g2869.t1</t>
  </si>
  <si>
    <t>Triose-phosphate isomerase</t>
  </si>
  <si>
    <t>dhap[c] &lt;=&gt; g3p[c]</t>
  </si>
  <si>
    <t>g1272.t1 or g2458.t1</t>
  </si>
  <si>
    <t>Thioredoxin reductase (NADPH)</t>
  </si>
  <si>
    <t>h[c] + nadph[c] + trdox[c] =&gt; nadp[c] + trdrd[c]</t>
  </si>
  <si>
    <t>g1074.t1 or g12703.t1 or g15317.t1 or g16137.t1 or g3211.t1 or g3310.t1 or g3880.t1 or g716.t1 or (g3211.t1 and g3880.t1)</t>
  </si>
  <si>
    <t>TRE6PP</t>
  </si>
  <si>
    <t>Trehalose-phosphatase</t>
  </si>
  <si>
    <t>h2o[c] + tre6p[c] =&gt; pi[c] + tre[c]</t>
  </si>
  <si>
    <t>g673.t1 or (g12838.t1 and g13996.t1)</t>
  </si>
  <si>
    <t>acgam1p[c] + h[c] + utp[c] =&gt; ppi[c] + uacgam[c]</t>
  </si>
  <si>
    <t>g10798.t1 or g17124.t1 or g17781.t1</t>
  </si>
  <si>
    <t>UCPP</t>
  </si>
  <si>
    <t xml:space="preserve">UTP cytidine 5'-phosphotransferase </t>
  </si>
  <si>
    <t>cytd[c] + utp[c] =&gt; cmp[c] + h[c] + udp[c]</t>
  </si>
  <si>
    <t>UDCTPP</t>
  </si>
  <si>
    <t xml:space="preserve">DCTP uridine 5'-phosphotransferase </t>
  </si>
  <si>
    <t>dctp[c] + uri[c] =&gt; dcdp[c] + h[c] + ump[c]</t>
  </si>
  <si>
    <t>udpg[c] &lt;=&gt; udpgal[c]</t>
  </si>
  <si>
    <t>g13531.t1 or g5566.t1 or g5712.t1</t>
  </si>
  <si>
    <t>UDUPP</t>
  </si>
  <si>
    <t xml:space="preserve">UTP uridine 5'-phosphotransferase </t>
  </si>
  <si>
    <t>uri[c] + utp[c] =&gt; h[c] + udp[c] + ump[c]</t>
  </si>
  <si>
    <t>UPPN</t>
  </si>
  <si>
    <t>B-ureidopropionase</t>
  </si>
  <si>
    <t>cala[c] + h2o[c] + 2.0 h[c] =&gt; ala_B[c] + co2[c] + nh4[c]</t>
  </si>
  <si>
    <t>g15997.t1 or g3631.t1</t>
  </si>
  <si>
    <t>Uracil phosphoribosyltransferase</t>
  </si>
  <si>
    <t>prpp[c] + ura[c] =&gt; ppi[c] + ump[c]</t>
  </si>
  <si>
    <t>g1719.t1 or g8725.t1</t>
  </si>
  <si>
    <t>URAt</t>
  </si>
  <si>
    <t>Uracil transport via facilated diffusion</t>
  </si>
  <si>
    <t>ura[e] &lt;=&gt; ura[c]</t>
  </si>
  <si>
    <t>g12790.t1 or g7712.t1</t>
  </si>
  <si>
    <t>Uracil transport in via proton symport</t>
  </si>
  <si>
    <t>h[e] + ura[e] =&gt; h[c] + ura[c]</t>
  </si>
  <si>
    <t>g7676.t1</t>
  </si>
  <si>
    <t>UREA</t>
  </si>
  <si>
    <t>Urease</t>
  </si>
  <si>
    <t>h2o[c] + 2.0 h[c] + urea[c] =&gt; co2[c] + 2.0 nh4[c]</t>
  </si>
  <si>
    <t>3.5.1.5</t>
  </si>
  <si>
    <t>g19544.t1 or (g19454.t1 and g19544.t1)</t>
  </si>
  <si>
    <t>UREASE</t>
  </si>
  <si>
    <t>Urea carboxylase</t>
  </si>
  <si>
    <t>atp[c] + hco3[c] + urea[c] &lt;=&gt; adp[c] + allphn[c] + h[c] + pi[c]</t>
  </si>
  <si>
    <t>URIDK2r</t>
  </si>
  <si>
    <t>Uridylate kinase (dUMP)</t>
  </si>
  <si>
    <t>atp[c] + dump[c] &lt;=&gt; adp[c] + dudp[c]</t>
  </si>
  <si>
    <t>2.7.4.13;2.7.4.4;2.7.4.9</t>
  </si>
  <si>
    <t>g10959.t1 or g635.t1</t>
  </si>
  <si>
    <t>Uridine kinase  ATPUridine</t>
  </si>
  <si>
    <t>atp[c] + uri[c] =&gt; adp[c] + h[c] + ump[c]</t>
  </si>
  <si>
    <t>URIK1_1</t>
  </si>
  <si>
    <t>Uridine kinase (ATP:Uridine)</t>
  </si>
  <si>
    <t>Uridine kinase (GTP:Uridine)</t>
  </si>
  <si>
    <t>gtp[c] + uri[c] =&gt; gdp[c] + h[c] + ump[c]</t>
  </si>
  <si>
    <t>URIK2_1</t>
  </si>
  <si>
    <t>Uridine kinase (ITP:Uridine)</t>
  </si>
  <si>
    <t>itp[c] + uri[c] =&gt; h[c] + idp[c] + ump[c]</t>
  </si>
  <si>
    <t>URIK3_1</t>
  </si>
  <si>
    <t>Xanthine transport in via proton symport</t>
  </si>
  <si>
    <t>h[e] + xan[e] =&gt; h[c] + xan[c]</t>
  </si>
  <si>
    <t>g19216.t1 or g9402.t1</t>
  </si>
  <si>
    <t>XANt3</t>
  </si>
  <si>
    <t>ura[e] + xan[e] =&gt; ura[c] + xan[c]</t>
  </si>
  <si>
    <t>g960.t1</t>
  </si>
  <si>
    <t>Xanthine phosphoribosyltransferase</t>
  </si>
  <si>
    <t>prpp[c] + xan[c] =&gt; ppi[c] + xmp[c]</t>
  </si>
  <si>
    <t>g11856.t1 or g2930.t1</t>
  </si>
  <si>
    <t>r0280</t>
  </si>
  <si>
    <t>DATP:pyruvate O2-phosphotransferase Purine metabolism EC:2.7.1.40</t>
  </si>
  <si>
    <t>dadp[c] + h[c] + pep[c] =&gt; datp[c] + pyr[c]</t>
  </si>
  <si>
    <t>ALATAH</t>
  </si>
  <si>
    <t>ASNTAH</t>
  </si>
  <si>
    <t>ASPTAH</t>
  </si>
  <si>
    <t>UAD</t>
  </si>
  <si>
    <t>ARGTAH</t>
  </si>
  <si>
    <t>GSC</t>
  </si>
  <si>
    <t>LGGSOR</t>
  </si>
  <si>
    <t>P3H5COR</t>
  </si>
  <si>
    <t>PCOR</t>
  </si>
  <si>
    <t>PROTAH</t>
  </si>
  <si>
    <t>THPOR</t>
  </si>
  <si>
    <t>Ascorbate and aldarate metabolism</t>
  </si>
  <si>
    <t>ASCBOR2</t>
  </si>
  <si>
    <t>ASCBOR3</t>
  </si>
  <si>
    <t>ASCBOR4</t>
  </si>
  <si>
    <t>GAL1PP</t>
  </si>
  <si>
    <t>GALTLOR</t>
  </si>
  <si>
    <t>GDPGALP</t>
  </si>
  <si>
    <t>GDPMANNE1</t>
  </si>
  <si>
    <t>GDPMANNE2</t>
  </si>
  <si>
    <t>GDPMANNE3</t>
  </si>
  <si>
    <t>MDHASCBL</t>
  </si>
  <si>
    <t>APOR</t>
  </si>
  <si>
    <t>BAOAT</t>
  </si>
  <si>
    <t>HAL</t>
  </si>
  <si>
    <t>HIDP</t>
  </si>
  <si>
    <t>Biomass_Chlamy_auto</t>
  </si>
  <si>
    <t>Biomass</t>
  </si>
  <si>
    <t>Biomass_Chlamy_hetero</t>
  </si>
  <si>
    <t>Biomass_Chlamy_mixo</t>
  </si>
  <si>
    <t>44MZYMMO</t>
  </si>
  <si>
    <t>Biosynthesis of terpenoids and steroids</t>
  </si>
  <si>
    <t>44MZYMOR</t>
  </si>
  <si>
    <t>4MZYMCODH</t>
  </si>
  <si>
    <t>4MZYMDM</t>
  </si>
  <si>
    <t>4MZYMR</t>
  </si>
  <si>
    <t>CYEUOLS</t>
  </si>
  <si>
    <t>DDSMSTOLD</t>
  </si>
  <si>
    <t>DSMSTOLD</t>
  </si>
  <si>
    <t>HST</t>
  </si>
  <si>
    <t>LNS14DM</t>
  </si>
  <si>
    <t>TMTB</t>
  </si>
  <si>
    <t>VITD3S</t>
  </si>
  <si>
    <t>Biosynthesis of unsaturated fatty acids</t>
  </si>
  <si>
    <t>BTNL</t>
  </si>
  <si>
    <t>BTNL2</t>
  </si>
  <si>
    <t>BTNLm</t>
  </si>
  <si>
    <t>BTNLm2</t>
  </si>
  <si>
    <t>BTS5</t>
  </si>
  <si>
    <t>MALCOAMT</t>
  </si>
  <si>
    <t>OGMEACPR</t>
  </si>
  <si>
    <t>OPMEACPR</t>
  </si>
  <si>
    <t>CALLOSESf</t>
  </si>
  <si>
    <t>Carbon fixation by Calvin cycle</t>
  </si>
  <si>
    <t>GAPDH_nadp</t>
  </si>
  <si>
    <t>Carotenoid biosynthesis</t>
  </si>
  <si>
    <t>BCAROH</t>
  </si>
  <si>
    <t>BCAROKT</t>
  </si>
  <si>
    <t>BCRPTXANH</t>
  </si>
  <si>
    <t>DCPHYTFLOR</t>
  </si>
  <si>
    <t>DCZCAROR</t>
  </si>
  <si>
    <t>LUTH</t>
  </si>
  <si>
    <t>NOR</t>
  </si>
  <si>
    <t>PDS1</t>
  </si>
  <si>
    <t>PDS2</t>
  </si>
  <si>
    <t>PHYTOOR</t>
  </si>
  <si>
    <t>PSY</t>
  </si>
  <si>
    <t>TCLYCI</t>
  </si>
  <si>
    <t>TCZCARI</t>
  </si>
  <si>
    <t>ZDS</t>
  </si>
  <si>
    <t>CY_focytc_h</t>
  </si>
  <si>
    <t>ETF</t>
  </si>
  <si>
    <t>ETFQO</t>
  </si>
  <si>
    <t>MERCPPYRST</t>
  </si>
  <si>
    <t>CYSTAH</t>
  </si>
  <si>
    <t>DM_12dgr18111Z160_c</t>
  </si>
  <si>
    <t>Demand</t>
  </si>
  <si>
    <t>DM_12dgr1819Z160_c</t>
  </si>
  <si>
    <t>DM_amob_m</t>
  </si>
  <si>
    <t>DM_apotfen_h</t>
  </si>
  <si>
    <t>DM_asnglcnacglcnacman(man)man_c</t>
  </si>
  <si>
    <t>DM_bhb_m</t>
  </si>
  <si>
    <t>DM_bhb_x</t>
  </si>
  <si>
    <t>DM_callose_c</t>
  </si>
  <si>
    <t>DM_callose_f</t>
  </si>
  <si>
    <t>DM_cat_c</t>
  </si>
  <si>
    <t>DM_dad_5_c</t>
  </si>
  <si>
    <t>DM_fe2_h</t>
  </si>
  <si>
    <t>DM_ficytb5_c</t>
  </si>
  <si>
    <t>DM_glu5sa_m</t>
  </si>
  <si>
    <t>DM_hcarn_c</t>
  </si>
  <si>
    <t>DM_icit_h</t>
  </si>
  <si>
    <t>DM_na1_c</t>
  </si>
  <si>
    <t>DM_na1_h</t>
  </si>
  <si>
    <t>DM_na1_m</t>
  </si>
  <si>
    <t>DM_na1_x</t>
  </si>
  <si>
    <t>DM_no_h</t>
  </si>
  <si>
    <t>DM_o2D_u</t>
  </si>
  <si>
    <t>DM_pcb_c</t>
  </si>
  <si>
    <t>DM_photon298_c</t>
  </si>
  <si>
    <t>DM_photon437_u</t>
  </si>
  <si>
    <t>DM_photon438_u</t>
  </si>
  <si>
    <t>DM_photon450_h</t>
  </si>
  <si>
    <t>DM_photon490_s</t>
  </si>
  <si>
    <t>DM_photon646_h</t>
  </si>
  <si>
    <t>DM_photon673_u</t>
  </si>
  <si>
    <t>DM_photon680_u</t>
  </si>
  <si>
    <t>DM_pqa_h</t>
  </si>
  <si>
    <t>DM_starch_h</t>
  </si>
  <si>
    <t>DM_tag_c</t>
  </si>
  <si>
    <t>DM_udg_m</t>
  </si>
  <si>
    <t>DM_urdglyc_m</t>
  </si>
  <si>
    <t>Drug metabolism - cytochrome P450</t>
  </si>
  <si>
    <t>CITALOR</t>
  </si>
  <si>
    <t>Drug metabolism - other enzymes</t>
  </si>
  <si>
    <t>Photosynthesis</t>
  </si>
  <si>
    <t>EX_5flura_e</t>
  </si>
  <si>
    <t>Exchange</t>
  </si>
  <si>
    <t>EX_6mpur_e</t>
  </si>
  <si>
    <t>EX_ac_e</t>
  </si>
  <si>
    <t>EX_ad_e</t>
  </si>
  <si>
    <t>EX_ade_e</t>
  </si>
  <si>
    <t>EX_alltn_e</t>
  </si>
  <si>
    <t>EX_alltt_e</t>
  </si>
  <si>
    <t>EX_arg_L_e</t>
  </si>
  <si>
    <t>EX_ascb_e</t>
  </si>
  <si>
    <t>EX_biliverd_e</t>
  </si>
  <si>
    <t>EX_cital_e</t>
  </si>
  <si>
    <t>EX_co2_e</t>
  </si>
  <si>
    <t>EX_co_e</t>
  </si>
  <si>
    <t>EX_etoh_e</t>
  </si>
  <si>
    <t>EX_fe2_e</t>
  </si>
  <si>
    <t>EX_fe3_e</t>
  </si>
  <si>
    <t>EX_for_e</t>
  </si>
  <si>
    <t>EX_gln_L_e</t>
  </si>
  <si>
    <t>EX_glyclt_e</t>
  </si>
  <si>
    <t>EX_gua_e</t>
  </si>
  <si>
    <t>EX_h2_e</t>
  </si>
  <si>
    <t>EX_h2o_e</t>
  </si>
  <si>
    <t>EX_h_e</t>
  </si>
  <si>
    <t>EX_hco3_e</t>
  </si>
  <si>
    <t>EX_his_L_e</t>
  </si>
  <si>
    <t>EX_hxan_e</t>
  </si>
  <si>
    <t>EX_lac_D_e</t>
  </si>
  <si>
    <t>EX_leu_L_e</t>
  </si>
  <si>
    <t>EX_lido_e</t>
  </si>
  <si>
    <t>EX_meoh_e</t>
  </si>
  <si>
    <t>EX_mg2_e</t>
  </si>
  <si>
    <t>EX_na1_e</t>
  </si>
  <si>
    <t>EX_ncam_e</t>
  </si>
  <si>
    <t>EX_nh4_e</t>
  </si>
  <si>
    <t>EX_nmn_e</t>
  </si>
  <si>
    <t>EX_no2_e</t>
  </si>
  <si>
    <t>EX_no3_e</t>
  </si>
  <si>
    <t>EX_o2_e</t>
  </si>
  <si>
    <t>EX_orn_e</t>
  </si>
  <si>
    <t>EX_pheme_e</t>
  </si>
  <si>
    <t>EX_photonVis_e</t>
  </si>
  <si>
    <t>EX_pi_e</t>
  </si>
  <si>
    <t>EX_rib_D_e</t>
  </si>
  <si>
    <t>EX_s_e</t>
  </si>
  <si>
    <t>EX_selt_e</t>
  </si>
  <si>
    <t>EX_so3_e</t>
  </si>
  <si>
    <t>EX_so4_e</t>
  </si>
  <si>
    <t>EX_succ_e</t>
  </si>
  <si>
    <t>EX_tega_e</t>
  </si>
  <si>
    <t>EX_tgua_e</t>
  </si>
  <si>
    <t>EX_thm_e</t>
  </si>
  <si>
    <t>EX_ura_e</t>
  </si>
  <si>
    <t>EX_urate_e</t>
  </si>
  <si>
    <t>EX_urea_e</t>
  </si>
  <si>
    <t>EX_xan_e</t>
  </si>
  <si>
    <t>FA1819ZACPH</t>
  </si>
  <si>
    <t>Fatty acid elongation</t>
  </si>
  <si>
    <t>AACP1819ZS</t>
  </si>
  <si>
    <t>AACPS4</t>
  </si>
  <si>
    <t>AACPS5</t>
  </si>
  <si>
    <t>DHNPAr</t>
  </si>
  <si>
    <t>DHPS</t>
  </si>
  <si>
    <t>F2PP</t>
  </si>
  <si>
    <t>MAKI</t>
  </si>
  <si>
    <t>GLCURK</t>
  </si>
  <si>
    <t>SGHB</t>
  </si>
  <si>
    <t>ABAT</t>
  </si>
  <si>
    <t>GLNTAH</t>
  </si>
  <si>
    <t>GLUTAH</t>
  </si>
  <si>
    <t>GGGAP</t>
  </si>
  <si>
    <t>ACPT16018111Z</t>
  </si>
  <si>
    <t>ACPT1601819Z</t>
  </si>
  <si>
    <t>ACPT18111Z18111Z</t>
  </si>
  <si>
    <t>ACPT18111Z1819Z</t>
  </si>
  <si>
    <t>ACPT1819Z18111Z</t>
  </si>
  <si>
    <t>ACPT1819Z1819Z</t>
  </si>
  <si>
    <t>AGPAT1601819Zh</t>
  </si>
  <si>
    <t>AGPAT1801819Zh</t>
  </si>
  <si>
    <t>AGPAT18111Z160h</t>
  </si>
  <si>
    <t>AGPAT18111Z1819Zh</t>
  </si>
  <si>
    <t>AGPAT1819Z160h</t>
  </si>
  <si>
    <t>AGPAT1819Z1619Zh</t>
  </si>
  <si>
    <t>AGPAT1819Z18111Zh</t>
  </si>
  <si>
    <t>AGPAT1819Z1819Zh</t>
  </si>
  <si>
    <t>AGPATCOA16018111Z</t>
  </si>
  <si>
    <t>AGPATCOA1601819Z</t>
  </si>
  <si>
    <t>AGPATCOA1801819Z</t>
  </si>
  <si>
    <t>AGPATCOA18111Z160</t>
  </si>
  <si>
    <t>AGPATCOA18111Z18111Z</t>
  </si>
  <si>
    <t>AGPATCOA18111Z1819Z</t>
  </si>
  <si>
    <t>AGPATCOA1819Z160</t>
  </si>
  <si>
    <t>AGPATCOA1819Z18111Z</t>
  </si>
  <si>
    <t>AGPATCOA1819Z1819Z</t>
  </si>
  <si>
    <t>ASQDCADS1829Z12Z160</t>
  </si>
  <si>
    <t>ASQDCADS1839Z12Z15Z160</t>
  </si>
  <si>
    <t>ASQDPADS1829Z12Z160</t>
  </si>
  <si>
    <t>ASQDPADS1839Z12Z15Z160</t>
  </si>
  <si>
    <t>DAGK16018111Z</t>
  </si>
  <si>
    <t>DAGK1601819Z</t>
  </si>
  <si>
    <t>DAGK1601819Zh</t>
  </si>
  <si>
    <t>DAGK1801819Z</t>
  </si>
  <si>
    <t>DAGK1801819Zh</t>
  </si>
  <si>
    <t>DAGK181</t>
  </si>
  <si>
    <t>DAGK18111Z160h</t>
  </si>
  <si>
    <t>DAGK18111Z1819Z</t>
  </si>
  <si>
    <t>DAGK18111Z1819Zh</t>
  </si>
  <si>
    <t>DAGK1819Z160h</t>
  </si>
  <si>
    <t>DAGK1819Z1619Zh</t>
  </si>
  <si>
    <t>DAGK1819Z18111Z</t>
  </si>
  <si>
    <t>DAGK1819Z18111Zh</t>
  </si>
  <si>
    <t>DAGK1819Z1819Z</t>
  </si>
  <si>
    <t>DAGK1819Z1819Zh</t>
  </si>
  <si>
    <t>DGDGGH1819Z160</t>
  </si>
  <si>
    <t>DGDGGH1819Z1617Z</t>
  </si>
  <si>
    <t>DGDGGH1819Z1619Z</t>
  </si>
  <si>
    <t>DGDGGH1819Z1627Z10Z</t>
  </si>
  <si>
    <t>DGDGGH1819Z1637Z10Z13Z</t>
  </si>
  <si>
    <t>DGDGGH1829Z12Z160</t>
  </si>
  <si>
    <t>DGDGGH1829Z12Z1617Z</t>
  </si>
  <si>
    <t>DGDGGH1829Z12Z1619Z</t>
  </si>
  <si>
    <t>DGDGGH1829Z12Z1627Z10Z</t>
  </si>
  <si>
    <t>DGDGGH1829Z12Z1634Z7Z10Z</t>
  </si>
  <si>
    <t>DGDGGH1829Z12Z1637Z10Z13Z</t>
  </si>
  <si>
    <t>DGDGGH1839Z12Z15Z160</t>
  </si>
  <si>
    <t>DGDGGH1839Z12Z15Z1627Z10Z</t>
  </si>
  <si>
    <t>DGDGGH1839Z12Z15Z1634Z7Z10Z</t>
  </si>
  <si>
    <t>DGDGGH1839Z12Z15Z1637Z10Z13Z</t>
  </si>
  <si>
    <t>DGDGGH1839Z12Z15Z1644Z7Z10Z13Z</t>
  </si>
  <si>
    <t>DGDGS1819Z160</t>
  </si>
  <si>
    <t>DGDGS1819Z1619Z</t>
  </si>
  <si>
    <t>DGTSDS1601829Z12Z</t>
  </si>
  <si>
    <t>DGTSDS1601845Z9Z12Z15Z</t>
  </si>
  <si>
    <t>DGTSDS18111Z1829Z12Z</t>
  </si>
  <si>
    <t>DGTSDS18111Z1845Z9Z12Z15Z</t>
  </si>
  <si>
    <t>DGTSDS1819Z1829Z12Z</t>
  </si>
  <si>
    <t>DGTSDS1819Z1845Z9Z12Z15Z</t>
  </si>
  <si>
    <t>DGTSDS1829Z12Z18111Z</t>
  </si>
  <si>
    <t>DGTSDS1829Z12Z1819Z</t>
  </si>
  <si>
    <t>DGTSDS1829Z12Z1829Z12Z1</t>
  </si>
  <si>
    <t>DGTSDS1829Z12Z1829Z12Z2</t>
  </si>
  <si>
    <t>DGTSDS1829Z12Z1835Z9Z12Z</t>
  </si>
  <si>
    <t>DGTSDS1829Z12Z1845Z9Z12Z15Z1</t>
  </si>
  <si>
    <t>DGTSDS1829Z12Z1845Z9Z12Z15Z2</t>
  </si>
  <si>
    <t>DGTSDS1839Z12Z15Z18111Z</t>
  </si>
  <si>
    <t>DGTSDS1839Z12Z15Z1819Z</t>
  </si>
  <si>
    <t>DGTSDS1839Z12Z15Z1835Z9Z12Z</t>
  </si>
  <si>
    <t>DGTSDS1839Z12Z15Z1845Z9Z12Z15Z1</t>
  </si>
  <si>
    <t>DGTSDS1839Z12Z15Z1845Z9Z12Z15Z2</t>
  </si>
  <si>
    <t>G3PAT1819Z</t>
  </si>
  <si>
    <t>G3PAT1819Zh</t>
  </si>
  <si>
    <t>MGDGS1819Z160</t>
  </si>
  <si>
    <t>MGDGS1819Z1619Z</t>
  </si>
  <si>
    <t>MGDGW3DS1819Z1637Z10Z13Z</t>
  </si>
  <si>
    <t>MGDGW3DS1829Z12Z1637Z10Z13Z</t>
  </si>
  <si>
    <t>MGDGW3DS1829Z12Z1644Z7Z10Z13Z</t>
  </si>
  <si>
    <t>MGDGW3DS1839Z12Z15Z160</t>
  </si>
  <si>
    <t>MGDGW3DS1839Z12Z15Z1627Z10Z</t>
  </si>
  <si>
    <t>MGDGW3DS1839Z12Z15Z1634Z7Z10Z</t>
  </si>
  <si>
    <t>MGDGW3DS1839Z12Z15Z1637Z10Z13Z1</t>
  </si>
  <si>
    <t>MGDGW3DS1839Z12Z15Z1637Z10Z13Z2</t>
  </si>
  <si>
    <t>MGDGW3DS1839Z12Z15Z1644Z7Z10Z13Z1</t>
  </si>
  <si>
    <t>MGDGW3DS1839Z12Z15Z1644Z7Z10Z13Z2</t>
  </si>
  <si>
    <t>MGDGW6DS1819Z1627Z10Z</t>
  </si>
  <si>
    <t>MGDGW6DS1829Z12Z160</t>
  </si>
  <si>
    <t>MGDGW6DS1829Z12Z1617Z</t>
  </si>
  <si>
    <t>MGDGW6DS1829Z12Z1619Z</t>
  </si>
  <si>
    <t>MGDGW6DS1829Z12Z1627Z10Z1</t>
  </si>
  <si>
    <t>MGDGW6DS1829Z12Z1627Z10Z2</t>
  </si>
  <si>
    <t>MGDGW6DS1829Z12Z1637Z10Z13Z</t>
  </si>
  <si>
    <t>MGDGW6DS1829Z12Z1644Z7Z10Z13Z</t>
  </si>
  <si>
    <t>PAPA16018111Z</t>
  </si>
  <si>
    <t>PAPA1601819Z</t>
  </si>
  <si>
    <t>PAPA1601819Zh</t>
  </si>
  <si>
    <t>PAPA1801819Z</t>
  </si>
  <si>
    <t>PAPA1801819Zh</t>
  </si>
  <si>
    <t>PAPA181</t>
  </si>
  <si>
    <t>PAPA18111Z160h</t>
  </si>
  <si>
    <t>PAPA18111Z1819Z</t>
  </si>
  <si>
    <t>PAPA18111Z1819Zh</t>
  </si>
  <si>
    <t>PAPA1819Z160h</t>
  </si>
  <si>
    <t>PAPA1819Z1619Zh</t>
  </si>
  <si>
    <t>PAPA1819Z18111Z</t>
  </si>
  <si>
    <t>PAPA1819Z18111Zh</t>
  </si>
  <si>
    <t>PAPA1819Z1819Z</t>
  </si>
  <si>
    <t>PAPA1819Z1819Zh</t>
  </si>
  <si>
    <t>PEDS1801829Z12Z</t>
  </si>
  <si>
    <t>PEDS1801845Z9Z12Z15Z</t>
  </si>
  <si>
    <t>PEDS18111Z1829Z12Z</t>
  </si>
  <si>
    <t>PEDS18111Z1845Z9Z12Z15Z</t>
  </si>
  <si>
    <t>PEDS1819Z1829Z12Z</t>
  </si>
  <si>
    <t>PEDS1819Z1845Z9Z12Z15Z</t>
  </si>
  <si>
    <t>PEDS1829Z12Z1835Z9Z12Z</t>
  </si>
  <si>
    <t>PLDAGAT16018111Z1601</t>
  </si>
  <si>
    <t>PLDAGAT16018111Z1602</t>
  </si>
  <si>
    <t>PLDAGAT16018111Z18111Z1</t>
  </si>
  <si>
    <t>PLDAGAT16018111Z18111Z2</t>
  </si>
  <si>
    <t>PLDAGAT16018111Z18111Z3</t>
  </si>
  <si>
    <t>PLDAGAT16018111Z1819Z1</t>
  </si>
  <si>
    <t>PLDAGAT16018111Z1819Z2</t>
  </si>
  <si>
    <t>PLDAGAT16018111Z1819Z3</t>
  </si>
  <si>
    <t>PLDAGAT16018111Z1819Z4</t>
  </si>
  <si>
    <t>PLDAGAT1601819Z1601</t>
  </si>
  <si>
    <t>PLDAGAT1601819Z1602</t>
  </si>
  <si>
    <t>PLDAGAT1601819Z18111Z1</t>
  </si>
  <si>
    <t>PLDAGAT1601819Z18111Z2</t>
  </si>
  <si>
    <t>PLDAGAT1601819Z18111Z3</t>
  </si>
  <si>
    <t>PLDAGAT1601819Z1819Z1</t>
  </si>
  <si>
    <t>PLDAGAT1601819Z1819Z2</t>
  </si>
  <si>
    <t>PLDAGAT1601819Z1819Z3</t>
  </si>
  <si>
    <t>PLDAGAT1601819Z1819Z4</t>
  </si>
  <si>
    <t>PLDAGAT1801819Z1601</t>
  </si>
  <si>
    <t>PLDAGAT1801819Z1602</t>
  </si>
  <si>
    <t>PLDAGAT1801819Z18111Z1</t>
  </si>
  <si>
    <t>PLDAGAT1801819Z18111Z2</t>
  </si>
  <si>
    <t>PLDAGAT1801819Z18111Z3</t>
  </si>
  <si>
    <t>PLDAGAT1801819Z1819Z1</t>
  </si>
  <si>
    <t>PLDAGAT1801819Z1819Z2</t>
  </si>
  <si>
    <t>PLDAGAT1801819Z1819Z3</t>
  </si>
  <si>
    <t>PLDAGAT1801819Z1819Z4</t>
  </si>
  <si>
    <t>PLDAGAT18111Z18111Z1601</t>
  </si>
  <si>
    <t>PLDAGAT18111Z18111Z1602</t>
  </si>
  <si>
    <t>PLDAGAT18111Z18111Z18111Z1</t>
  </si>
  <si>
    <t>PLDAGAT18111Z18111Z18111Z2</t>
  </si>
  <si>
    <t>PLDAGAT18111Z18111Z18111Z3</t>
  </si>
  <si>
    <t>PLDAGAT18111Z18111Z1819Z1</t>
  </si>
  <si>
    <t>PLDAGAT18111Z18111Z1819Z2</t>
  </si>
  <si>
    <t>PLDAGAT18111Z18111Z1819Z3</t>
  </si>
  <si>
    <t>PLDAGAT18111Z18111Z1819Z4</t>
  </si>
  <si>
    <t>PLDAGAT18111Z1819Z1601</t>
  </si>
  <si>
    <t>PLDAGAT18111Z1819Z1602</t>
  </si>
  <si>
    <t>PLDAGAT18111Z1819Z18111Z1</t>
  </si>
  <si>
    <t>PLDAGAT18111Z1819Z18111Z2</t>
  </si>
  <si>
    <t>PLDAGAT18111Z1819Z18111Z3</t>
  </si>
  <si>
    <t>PLDAGAT18111Z1819Z1819Z1</t>
  </si>
  <si>
    <t>PLDAGAT18111Z1819Z1819Z2</t>
  </si>
  <si>
    <t>PLDAGAT18111Z1819Z1819Z3</t>
  </si>
  <si>
    <t>PLDAGAT18111Z1819Z1819Z4</t>
  </si>
  <si>
    <t>PLDAGAT1819Z18111Z1601</t>
  </si>
  <si>
    <t>PLDAGAT1819Z18111Z1602</t>
  </si>
  <si>
    <t>PLDAGAT1819Z18111Z18111Z1</t>
  </si>
  <si>
    <t>PLDAGAT1819Z18111Z18111Z2</t>
  </si>
  <si>
    <t>PLDAGAT1819Z18111Z18111Z3</t>
  </si>
  <si>
    <t>PLDAGAT1819Z18111Z1819Z1</t>
  </si>
  <si>
    <t>PLDAGAT1819Z18111Z1819Z2</t>
  </si>
  <si>
    <t>PLDAGAT1819Z18111Z1819Z3</t>
  </si>
  <si>
    <t>PLDAGAT1819Z18111Z1819Z4</t>
  </si>
  <si>
    <t>PLDAGAT1819Z1819Z1601</t>
  </si>
  <si>
    <t>PLDAGAT1819Z1819Z1602</t>
  </si>
  <si>
    <t>PLDAGAT1819Z1819Z18111Z1</t>
  </si>
  <si>
    <t>PLDAGAT1819Z1819Z18111Z2</t>
  </si>
  <si>
    <t>PLDAGAT1819Z1819Z18111Z3</t>
  </si>
  <si>
    <t>PLDAGAT1819Z1819Z1819Z1</t>
  </si>
  <si>
    <t>PLDAGAT1819Z1819Z1819Z2</t>
  </si>
  <si>
    <t>PLDAGAT1819Z1819Z1819Z3</t>
  </si>
  <si>
    <t>PLDAGAT1819Z1819Z1819Z4</t>
  </si>
  <si>
    <t>SQDGATCA18111Z160</t>
  </si>
  <si>
    <t>SQDGATCA1819Z160</t>
  </si>
  <si>
    <t>SQDGATPA18111Z160</t>
  </si>
  <si>
    <t>SQDGATPA1819Z160</t>
  </si>
  <si>
    <t>SQDGS160</t>
  </si>
  <si>
    <t>SQDGS18111Z160</t>
  </si>
  <si>
    <t>SQDGS1819Z160</t>
  </si>
  <si>
    <t>TM16018111Z</t>
  </si>
  <si>
    <t>TM1601819Z</t>
  </si>
  <si>
    <t>TM18111Z18111Z</t>
  </si>
  <si>
    <t>TM18111Z1819Z</t>
  </si>
  <si>
    <t>TM1819Z18111Z</t>
  </si>
  <si>
    <t>TM1819Z1819Z</t>
  </si>
  <si>
    <t>CDIPT18111Z160</t>
  </si>
  <si>
    <t>CDIPT1819Z160</t>
  </si>
  <si>
    <t>CDPDAGS18111Z160</t>
  </si>
  <si>
    <t>CDPDAGS18111Z160h</t>
  </si>
  <si>
    <t>CDPDAGS1819Z160</t>
  </si>
  <si>
    <t>CDPDAGS1819Z160h</t>
  </si>
  <si>
    <t>ETHAPT1801819Z</t>
  </si>
  <si>
    <t>ETHAPT18111Z1819Z</t>
  </si>
  <si>
    <t>ETHAPT1819Z1819Z</t>
  </si>
  <si>
    <t>G3PD3</t>
  </si>
  <si>
    <t>LPLPS1AGPE180</t>
  </si>
  <si>
    <t>LPLPS1AGPE18111Z</t>
  </si>
  <si>
    <t>LPLPS1AGPE1819Z</t>
  </si>
  <si>
    <t>LPLPS1AGPE1829Z12Z</t>
  </si>
  <si>
    <t>PGPP18111Z160</t>
  </si>
  <si>
    <t>PGPP18111Z160h</t>
  </si>
  <si>
    <t>PGPP1819Z160</t>
  </si>
  <si>
    <t>PGPP1819Z160h</t>
  </si>
  <si>
    <t>PLPSD1801819Z</t>
  </si>
  <si>
    <t>PLPSD1801829Z12Z</t>
  </si>
  <si>
    <t>PLPSD1801835Z9Z12Z</t>
  </si>
  <si>
    <t>PLPSD1801845Z9Z12Z15Z</t>
  </si>
  <si>
    <t>PLPSD18111Z1819Z</t>
  </si>
  <si>
    <t>PLPSD18111Z1829Z12Z</t>
  </si>
  <si>
    <t>PLPSD18111Z1835Z9Z12Z</t>
  </si>
  <si>
    <t>PLPSD18111Z1845Z9Z12Z15Z</t>
  </si>
  <si>
    <t>PLPSD1819Z1819Z</t>
  </si>
  <si>
    <t>PLPSD1819Z1829Z12Z</t>
  </si>
  <si>
    <t>PLPSD1819Z1835Z9Z12Z</t>
  </si>
  <si>
    <t>PLPSD1819Z1845Z9Z12Z15Z</t>
  </si>
  <si>
    <t>PLPSD1829Z12Z1835Z9Z12Z</t>
  </si>
  <si>
    <t>GCLDH</t>
  </si>
  <si>
    <t>GLYTAH</t>
  </si>
  <si>
    <t>SERTAH</t>
  </si>
  <si>
    <t>THRAL2</t>
  </si>
  <si>
    <t>THRTAH</t>
  </si>
  <si>
    <t>ALCDH_pqq_x</t>
  </si>
  <si>
    <t>GLUKB</t>
  </si>
  <si>
    <t>GLUKBh</t>
  </si>
  <si>
    <t>PQQm</t>
  </si>
  <si>
    <t>GDPMT</t>
  </si>
  <si>
    <t>N-Glycan biosynthesis</t>
  </si>
  <si>
    <t>HISTAH</t>
  </si>
  <si>
    <t>AMITKP</t>
  </si>
  <si>
    <t>AMITKPn</t>
  </si>
  <si>
    <t>AMITP</t>
  </si>
  <si>
    <t>AMITPn</t>
  </si>
  <si>
    <t>IPKK</t>
  </si>
  <si>
    <t>ITK1K</t>
  </si>
  <si>
    <t>ITKK</t>
  </si>
  <si>
    <t>ITKPH</t>
  </si>
  <si>
    <t>ITKPHn</t>
  </si>
  <si>
    <t>ITKPK</t>
  </si>
  <si>
    <t>MI3PSA</t>
  </si>
  <si>
    <t>MITP</t>
  </si>
  <si>
    <t>MITPn</t>
  </si>
  <si>
    <t>PAIL3PT18111Z160</t>
  </si>
  <si>
    <t>PAIL3PT1819Z160</t>
  </si>
  <si>
    <t>PAIL45ITPH18111Z160</t>
  </si>
  <si>
    <t>PAIL45ITPH1819Z160</t>
  </si>
  <si>
    <t>PAIL45PH18111Z160</t>
  </si>
  <si>
    <t>PAIL45PH1819Z160</t>
  </si>
  <si>
    <t>PAIL45PT18111Z160</t>
  </si>
  <si>
    <t>PAIL45PT1819Z160</t>
  </si>
  <si>
    <t>PAIL4PT18111Z160</t>
  </si>
  <si>
    <t>PAIL4PT1819Z160</t>
  </si>
  <si>
    <t>Ion transporter inhibitors</t>
  </si>
  <si>
    <t>Linoleic acid metabolism</t>
  </si>
  <si>
    <t>13HPODEDH</t>
  </si>
  <si>
    <t>LNLCCOADS</t>
  </si>
  <si>
    <t>DAPAT</t>
  </si>
  <si>
    <t>LYSTAH</t>
  </si>
  <si>
    <t>METTAH</t>
  </si>
  <si>
    <t>BDMT</t>
  </si>
  <si>
    <t>DOLPGT1</t>
  </si>
  <si>
    <t>DOLPGT2</t>
  </si>
  <si>
    <t>DOLPGT3</t>
  </si>
  <si>
    <t>DOLPMT</t>
  </si>
  <si>
    <t>DOLPMT1</t>
  </si>
  <si>
    <t>DOLPMT2</t>
  </si>
  <si>
    <t>G12MT1</t>
  </si>
  <si>
    <t>G12MT2</t>
  </si>
  <si>
    <t>G12MT3</t>
  </si>
  <si>
    <t>G12MT4</t>
  </si>
  <si>
    <t>G13MT</t>
  </si>
  <si>
    <t>G16MT</t>
  </si>
  <si>
    <t>GLCNACPT</t>
  </si>
  <si>
    <t>GLCNACT</t>
  </si>
  <si>
    <t>MG1A</t>
  </si>
  <si>
    <t>MG1B</t>
  </si>
  <si>
    <t>MG2A</t>
  </si>
  <si>
    <t>MG2B</t>
  </si>
  <si>
    <t>MG3A</t>
  </si>
  <si>
    <t>MG3B</t>
  </si>
  <si>
    <t>MM2</t>
  </si>
  <si>
    <t>NITR_NO</t>
  </si>
  <si>
    <t>HYNE</t>
  </si>
  <si>
    <t>OGMG</t>
  </si>
  <si>
    <t>Mucin type O-glycan biosynthesis</t>
  </si>
  <si>
    <t>A3MT</t>
  </si>
  <si>
    <t>B2ARAT1</t>
  </si>
  <si>
    <t>B2ARAT2</t>
  </si>
  <si>
    <t>B2ARAT3</t>
  </si>
  <si>
    <t>B2ARAT4</t>
  </si>
  <si>
    <t>B2ARAT5</t>
  </si>
  <si>
    <t>B4ARAT</t>
  </si>
  <si>
    <t>B5ARAT</t>
  </si>
  <si>
    <t>G6MT1</t>
  </si>
  <si>
    <t>G6MT2</t>
  </si>
  <si>
    <t>MTHFOR_nadp</t>
  </si>
  <si>
    <t>CCP2m</t>
  </si>
  <si>
    <t>IDP</t>
  </si>
  <si>
    <t>NADHOR_2m</t>
  </si>
  <si>
    <t>GLCUR1PUT</t>
  </si>
  <si>
    <t>XU5PDPT</t>
  </si>
  <si>
    <t>AROAT</t>
  </si>
  <si>
    <t>AROAT2</t>
  </si>
  <si>
    <t>AROAT2h</t>
  </si>
  <si>
    <t>AROATh</t>
  </si>
  <si>
    <t>AROHL</t>
  </si>
  <si>
    <t>AROHLh</t>
  </si>
  <si>
    <t>AROORh</t>
  </si>
  <si>
    <t>PHETAH</t>
  </si>
  <si>
    <t>TRPTAH</t>
  </si>
  <si>
    <t>TYRTAAH</t>
  </si>
  <si>
    <t>CEF</t>
  </si>
  <si>
    <t>Porphyrin metabolism</t>
  </si>
  <si>
    <t>CHLADMT</t>
  </si>
  <si>
    <t>CHLBSG</t>
  </si>
  <si>
    <t>CHLDADMT</t>
  </si>
  <si>
    <t>CHLDAO</t>
  </si>
  <si>
    <t>CPP1O</t>
  </si>
  <si>
    <t>CPP3O</t>
  </si>
  <si>
    <t>CPPPGOR</t>
  </si>
  <si>
    <t>DVPCHLD450OR</t>
  </si>
  <si>
    <t>DVPCHLD646OR</t>
  </si>
  <si>
    <t>DVPCHLDR</t>
  </si>
  <si>
    <t>GGCHLDBR</t>
  </si>
  <si>
    <t>MPMT</t>
  </si>
  <si>
    <t>PC2D</t>
  </si>
  <si>
    <t>PCBOR</t>
  </si>
  <si>
    <t>PCHLD450OR</t>
  </si>
  <si>
    <t>PCHLD646OR</t>
  </si>
  <si>
    <t>PHPHBDDMC</t>
  </si>
  <si>
    <t>UPP1R</t>
  </si>
  <si>
    <t>UPP1S</t>
  </si>
  <si>
    <t>UPP3O</t>
  </si>
  <si>
    <t>OCDOR</t>
  </si>
  <si>
    <t>PACPT</t>
  </si>
  <si>
    <t>PCNOn</t>
  </si>
  <si>
    <t>PS_asn_L_c</t>
  </si>
  <si>
    <t>AGPTf</t>
  </si>
  <si>
    <t>ATAMf</t>
  </si>
  <si>
    <t>ATS</t>
  </si>
  <si>
    <t>DAD2PT</t>
  </si>
  <si>
    <t>DCYTPT</t>
  </si>
  <si>
    <t>DGSNPT</t>
  </si>
  <si>
    <t>PAPSTYRST</t>
  </si>
  <si>
    <t>URDGLYCAH</t>
  </si>
  <si>
    <t>URO2</t>
  </si>
  <si>
    <t>ATCMf</t>
  </si>
  <si>
    <t>ATDCMf</t>
  </si>
  <si>
    <t>UMPKf</t>
  </si>
  <si>
    <t>D_LACDHm</t>
  </si>
  <si>
    <t>LLDH_ferr_m</t>
  </si>
  <si>
    <t>Retinol metabolism</t>
  </si>
  <si>
    <t>RETACIH</t>
  </si>
  <si>
    <t>RETPALMIH</t>
  </si>
  <si>
    <t>DBRC</t>
  </si>
  <si>
    <t>DHPAH</t>
  </si>
  <si>
    <t>R5PFL</t>
  </si>
  <si>
    <t>SELCYSLY2</t>
  </si>
  <si>
    <t>PRISM_design_growth</t>
  </si>
  <si>
    <t>Spectral decomposition</t>
  </si>
  <si>
    <t>PRISM_fluorescent_cool_215W</t>
  </si>
  <si>
    <t>PRISM_fluorescent_warm_18W</t>
  </si>
  <si>
    <t>PRISM_growth_room</t>
  </si>
  <si>
    <t>PRISM_high_pressure_sodium</t>
  </si>
  <si>
    <t>PRISM_incandescent_60W</t>
  </si>
  <si>
    <t>PRISM_metal_halide</t>
  </si>
  <si>
    <t>PRISM_red_LED_674nm</t>
  </si>
  <si>
    <t>PRISM_red_LED_array_653nm</t>
  </si>
  <si>
    <t>PRISM_solar_exo</t>
  </si>
  <si>
    <t>PRISM_solar_litho</t>
  </si>
  <si>
    <t>PRISM_white_LED</t>
  </si>
  <si>
    <t>Sphingolipid metabolism</t>
  </si>
  <si>
    <t>CERAH</t>
  </si>
  <si>
    <t>DHCERAH</t>
  </si>
  <si>
    <t>DHCEROR</t>
  </si>
  <si>
    <t>PHYCERAH</t>
  </si>
  <si>
    <t>SGPL13</t>
  </si>
  <si>
    <t>PAPSPHENST</t>
  </si>
  <si>
    <t>TSULc</t>
  </si>
  <si>
    <t>TSULe</t>
  </si>
  <si>
    <t>ICDH_nad</t>
  </si>
  <si>
    <t>SUCDH_q8_m</t>
  </si>
  <si>
    <t>DEDOLDPS</t>
  </si>
  <si>
    <t>DEDOLDPSAT</t>
  </si>
  <si>
    <t>SPPS1</t>
  </si>
  <si>
    <t>SPPS2</t>
  </si>
  <si>
    <t>ADPEMTCH</t>
  </si>
  <si>
    <t>AMPMPFL</t>
  </si>
  <si>
    <t>AMPMPPMT</t>
  </si>
  <si>
    <t>AMPMPPT</t>
  </si>
  <si>
    <t>MHETK</t>
  </si>
  <si>
    <t>THMPPPT</t>
  </si>
  <si>
    <t>TMDPH</t>
  </si>
  <si>
    <t>TMDPT</t>
  </si>
  <si>
    <t>TTS</t>
  </si>
  <si>
    <t>1ACPCth</t>
  </si>
  <si>
    <t>23DHMBth</t>
  </si>
  <si>
    <t>23DHMPth</t>
  </si>
  <si>
    <t>2PGLYCth</t>
  </si>
  <si>
    <t>2PGth</t>
  </si>
  <si>
    <t>3C3HMPth</t>
  </si>
  <si>
    <t>3MOBth</t>
  </si>
  <si>
    <t>4ABUTth</t>
  </si>
  <si>
    <t>4ABUTthi</t>
  </si>
  <si>
    <t>5MTAth</t>
  </si>
  <si>
    <t>6PGLthr</t>
  </si>
  <si>
    <t>ACCOAth</t>
  </si>
  <si>
    <t>ACSERthi</t>
  </si>
  <si>
    <t>ACth</t>
  </si>
  <si>
    <t>AIRth</t>
  </si>
  <si>
    <t>AKGMALth</t>
  </si>
  <si>
    <t>AKG_na_th</t>
  </si>
  <si>
    <t>ALABth</t>
  </si>
  <si>
    <t>AMETAMth</t>
  </si>
  <si>
    <t>AMETt2h</t>
  </si>
  <si>
    <t>AMETth</t>
  </si>
  <si>
    <t>AMPth</t>
  </si>
  <si>
    <t>ASCBth</t>
  </si>
  <si>
    <t>ASPSAth</t>
  </si>
  <si>
    <t>ASPth</t>
  </si>
  <si>
    <t>BTNth</t>
  </si>
  <si>
    <t>CMPth</t>
  </si>
  <si>
    <t>CO2th</t>
  </si>
  <si>
    <t>COAth</t>
  </si>
  <si>
    <t>COth</t>
  </si>
  <si>
    <t>CTPth</t>
  </si>
  <si>
    <t>CYSth</t>
  </si>
  <si>
    <t>DAD5th</t>
  </si>
  <si>
    <t>DAD5tm</t>
  </si>
  <si>
    <t>DMPPth</t>
  </si>
  <si>
    <t>ETOHth</t>
  </si>
  <si>
    <t>F6PBth</t>
  </si>
  <si>
    <t>F6P_pi_thi</t>
  </si>
  <si>
    <t>FA160h</t>
  </si>
  <si>
    <t>FA1619Zh</t>
  </si>
  <si>
    <t>FA180h</t>
  </si>
  <si>
    <t>FA18111Zh</t>
  </si>
  <si>
    <t>FA1819Zh</t>
  </si>
  <si>
    <t>FADH2th</t>
  </si>
  <si>
    <t>FADth</t>
  </si>
  <si>
    <t>FE3abch</t>
  </si>
  <si>
    <t>FRDPth</t>
  </si>
  <si>
    <t>G6PB_pi_th</t>
  </si>
  <si>
    <t>GALth</t>
  </si>
  <si>
    <t>GLNth</t>
  </si>
  <si>
    <t>GLU4ABUTthi</t>
  </si>
  <si>
    <t>GLUth</t>
  </si>
  <si>
    <t>GLYC3Pth</t>
  </si>
  <si>
    <t>GLYCLTth</t>
  </si>
  <si>
    <t>GLYCth</t>
  </si>
  <si>
    <t>GLYNA1th</t>
  </si>
  <si>
    <t>GRDPth</t>
  </si>
  <si>
    <t>GTHRDth</t>
  </si>
  <si>
    <t>GTPth</t>
  </si>
  <si>
    <t>H2O2th</t>
  </si>
  <si>
    <t>H2Oth</t>
  </si>
  <si>
    <t>H2th</t>
  </si>
  <si>
    <t>HCO3_h_thi</t>
  </si>
  <si>
    <t>HCYSth</t>
  </si>
  <si>
    <t>HGENTISth</t>
  </si>
  <si>
    <t>ILEth</t>
  </si>
  <si>
    <t>IMPth</t>
  </si>
  <si>
    <t>IPDPth</t>
  </si>
  <si>
    <t>LEUth</t>
  </si>
  <si>
    <t>LNLCth</t>
  </si>
  <si>
    <t>MALOAAth</t>
  </si>
  <si>
    <t>MAL_na_th</t>
  </si>
  <si>
    <t>MANth</t>
  </si>
  <si>
    <t>MG2th</t>
  </si>
  <si>
    <t>NA1Hth</t>
  </si>
  <si>
    <t>NA1th</t>
  </si>
  <si>
    <t>NADHth</t>
  </si>
  <si>
    <t>NADPHth</t>
  </si>
  <si>
    <t>NADPth</t>
  </si>
  <si>
    <t>NADth</t>
  </si>
  <si>
    <t>O2thr</t>
  </si>
  <si>
    <t>PAPSPAPthr</t>
  </si>
  <si>
    <t>PCBth</t>
  </si>
  <si>
    <t>PHEMEth</t>
  </si>
  <si>
    <t>PHEth</t>
  </si>
  <si>
    <t>PMTCOAth</t>
  </si>
  <si>
    <t>PPAth</t>
  </si>
  <si>
    <t>PPCOAth</t>
  </si>
  <si>
    <t>PPHNth</t>
  </si>
  <si>
    <t>PPIth</t>
  </si>
  <si>
    <t>PTRCthr</t>
  </si>
  <si>
    <t>PYRth</t>
  </si>
  <si>
    <t>R5Pth</t>
  </si>
  <si>
    <t>RIBFLVth</t>
  </si>
  <si>
    <t>SERNA1th</t>
  </si>
  <si>
    <t>SO3t</t>
  </si>
  <si>
    <t>SO4th</t>
  </si>
  <si>
    <t>SQDG18111Z160th</t>
  </si>
  <si>
    <t>SQDG1819Z160th</t>
  </si>
  <si>
    <t>SUCFUMthr</t>
  </si>
  <si>
    <t>THMPPth</t>
  </si>
  <si>
    <t>THRNA1th</t>
  </si>
  <si>
    <t>TRPth</t>
  </si>
  <si>
    <t>TYRth</t>
  </si>
  <si>
    <t>UDPGALth</t>
  </si>
  <si>
    <t>UDPGth</t>
  </si>
  <si>
    <t>UDPth</t>
  </si>
  <si>
    <t>UMPth</t>
  </si>
  <si>
    <t>5FTHFt</t>
  </si>
  <si>
    <t>ACt</t>
  </si>
  <si>
    <t>ADEt</t>
  </si>
  <si>
    <t>ADtr</t>
  </si>
  <si>
    <t>ALLTNt</t>
  </si>
  <si>
    <t>ALLTTt</t>
  </si>
  <si>
    <t>ARG_Lt</t>
  </si>
  <si>
    <t>ASCBNA1t</t>
  </si>
  <si>
    <t>CITALt</t>
  </si>
  <si>
    <t>COt</t>
  </si>
  <si>
    <t>D_LACti</t>
  </si>
  <si>
    <t>ETOHti</t>
  </si>
  <si>
    <t>FE2GTPabc</t>
  </si>
  <si>
    <t>FE3t</t>
  </si>
  <si>
    <t>GLNt</t>
  </si>
  <si>
    <t>GLYCLTt</t>
  </si>
  <si>
    <t>GUAt</t>
  </si>
  <si>
    <t>H2Ot</t>
  </si>
  <si>
    <t>H2ti</t>
  </si>
  <si>
    <t>HCO3_h_ti</t>
  </si>
  <si>
    <t>HXANt</t>
  </si>
  <si>
    <t>LEUt</t>
  </si>
  <si>
    <t>LIDOt</t>
  </si>
  <si>
    <t>MEGLYXYLt</t>
  </si>
  <si>
    <t>MEOHt</t>
  </si>
  <si>
    <t>MEOHtm</t>
  </si>
  <si>
    <t>MG2t</t>
  </si>
  <si>
    <t>NCAMt</t>
  </si>
  <si>
    <t>NMNt</t>
  </si>
  <si>
    <t>O2t</t>
  </si>
  <si>
    <t>ORNt</t>
  </si>
  <si>
    <t>RIBt</t>
  </si>
  <si>
    <t>SELTt</t>
  </si>
  <si>
    <t>SO4t</t>
  </si>
  <si>
    <t>SUCCt</t>
  </si>
  <si>
    <t>THMt</t>
  </si>
  <si>
    <t>TSULt</t>
  </si>
  <si>
    <t>URANA1t</t>
  </si>
  <si>
    <t>XANNA1t</t>
  </si>
  <si>
    <t>ACCOAts</t>
  </si>
  <si>
    <t>ACts</t>
  </si>
  <si>
    <t>COAts</t>
  </si>
  <si>
    <t>H2Ots</t>
  </si>
  <si>
    <t>HDCAts</t>
  </si>
  <si>
    <t>Hts</t>
  </si>
  <si>
    <t>NADHts</t>
  </si>
  <si>
    <t>NADPHts</t>
  </si>
  <si>
    <t>NADPts</t>
  </si>
  <si>
    <t>NADts</t>
  </si>
  <si>
    <t>PMTCOAts</t>
  </si>
  <si>
    <t>RETINALts</t>
  </si>
  <si>
    <t>FDPtf</t>
  </si>
  <si>
    <t>H2Otf</t>
  </si>
  <si>
    <t>NADPHtf</t>
  </si>
  <si>
    <t>NADPtf</t>
  </si>
  <si>
    <t>OAAtf</t>
  </si>
  <si>
    <t>PYRtf</t>
  </si>
  <si>
    <t>10FTHFtx</t>
  </si>
  <si>
    <t>2PGLYCtx</t>
  </si>
  <si>
    <t>3PGtx</t>
  </si>
  <si>
    <t>ACACtx</t>
  </si>
  <si>
    <t>ACALDtx</t>
  </si>
  <si>
    <t>ACCOAtx</t>
  </si>
  <si>
    <t>ALANA1tx</t>
  </si>
  <si>
    <t>ALAtx</t>
  </si>
  <si>
    <t>ASNtx</t>
  </si>
  <si>
    <t>ASPtx</t>
  </si>
  <si>
    <t>CITx</t>
  </si>
  <si>
    <t>CO2tx</t>
  </si>
  <si>
    <t>COA_h_tx</t>
  </si>
  <si>
    <t>ETOHtx</t>
  </si>
  <si>
    <t>FA40COAabcp</t>
  </si>
  <si>
    <t>FADH2tx</t>
  </si>
  <si>
    <t>FADtx</t>
  </si>
  <si>
    <t>GLXtx</t>
  </si>
  <si>
    <t>GLYCLTtx</t>
  </si>
  <si>
    <t>H2O2tx</t>
  </si>
  <si>
    <t>H2Otx</t>
  </si>
  <si>
    <t>METHFtx</t>
  </si>
  <si>
    <t>NADH_h_tx</t>
  </si>
  <si>
    <t>NADPHtx</t>
  </si>
  <si>
    <t>NADPtx</t>
  </si>
  <si>
    <t>NADtx</t>
  </si>
  <si>
    <t>O2tx</t>
  </si>
  <si>
    <t>4HPROtg</t>
  </si>
  <si>
    <t>AHCYStg</t>
  </si>
  <si>
    <t>AMETtg</t>
  </si>
  <si>
    <t>Htg</t>
  </si>
  <si>
    <t>UDPARAtg</t>
  </si>
  <si>
    <t>UDPGALtg</t>
  </si>
  <si>
    <t>UDPtg</t>
  </si>
  <si>
    <t>1ACPCtm</t>
  </si>
  <si>
    <t>23DHMBtm</t>
  </si>
  <si>
    <t>2DHPtm</t>
  </si>
  <si>
    <t>2PGtm</t>
  </si>
  <si>
    <t>34HPPt2m</t>
  </si>
  <si>
    <t>3MOPtm</t>
  </si>
  <si>
    <t>4ABUTtm</t>
  </si>
  <si>
    <t>4ABUTtmi</t>
  </si>
  <si>
    <t>4MOPtm</t>
  </si>
  <si>
    <t>5FTHFtm</t>
  </si>
  <si>
    <t>5MTAtm</t>
  </si>
  <si>
    <t>ACACtm</t>
  </si>
  <si>
    <t>ACCOAtm</t>
  </si>
  <si>
    <t>ACSERtmi</t>
  </si>
  <si>
    <t>ACtm</t>
  </si>
  <si>
    <t>ADNtm</t>
  </si>
  <si>
    <t>AKGCITtm</t>
  </si>
  <si>
    <t>AKGICITtm</t>
  </si>
  <si>
    <t>AKG_na_tm</t>
  </si>
  <si>
    <t>ALABtm</t>
  </si>
  <si>
    <t>ALANA1tm</t>
  </si>
  <si>
    <t>ALAtm</t>
  </si>
  <si>
    <t>ALLTNtm</t>
  </si>
  <si>
    <t>ALLTTtm</t>
  </si>
  <si>
    <t>AMETAMtm</t>
  </si>
  <si>
    <t>AMETt2m</t>
  </si>
  <si>
    <t>ARG_Ltm</t>
  </si>
  <si>
    <t>ASCBtm</t>
  </si>
  <si>
    <t>ASNNA1tm</t>
  </si>
  <si>
    <t>ASNtm</t>
  </si>
  <si>
    <t>ASPtm</t>
  </si>
  <si>
    <t>BTNtm</t>
  </si>
  <si>
    <t>CITICITtm</t>
  </si>
  <si>
    <t>CITRLtm</t>
  </si>
  <si>
    <t>CMTEPtm</t>
  </si>
  <si>
    <t>CO2tm</t>
  </si>
  <si>
    <t>COAtm</t>
  </si>
  <si>
    <t>CYStm</t>
  </si>
  <si>
    <t>DATPtm</t>
  </si>
  <si>
    <t>DCTPtm</t>
  </si>
  <si>
    <t>DGTPtm</t>
  </si>
  <si>
    <t>DHAPtm</t>
  </si>
  <si>
    <t>DHORStm</t>
  </si>
  <si>
    <t>DICtm</t>
  </si>
  <si>
    <t>DTTPtm</t>
  </si>
  <si>
    <t>D_LACtm</t>
  </si>
  <si>
    <t>ETOHtm</t>
  </si>
  <si>
    <t>FA40COAtm</t>
  </si>
  <si>
    <t>FADH2tm</t>
  </si>
  <si>
    <t>FADtm</t>
  </si>
  <si>
    <t>FRDPtm</t>
  </si>
  <si>
    <t>GALTLtm</t>
  </si>
  <si>
    <t>GLNtm</t>
  </si>
  <si>
    <t>GLU4ABUTtmi</t>
  </si>
  <si>
    <t>GLUtm</t>
  </si>
  <si>
    <t>GLYCLTtm</t>
  </si>
  <si>
    <t>GLYNA1tm</t>
  </si>
  <si>
    <t>GMPtm</t>
  </si>
  <si>
    <t>GTHRDtm</t>
  </si>
  <si>
    <t>H2O2tm</t>
  </si>
  <si>
    <t>H2Otm</t>
  </si>
  <si>
    <t>H2tm</t>
  </si>
  <si>
    <t>HCO3_h_tmi</t>
  </si>
  <si>
    <t>HCYStm</t>
  </si>
  <si>
    <t>HMGCOAtm</t>
  </si>
  <si>
    <t>ILEtm</t>
  </si>
  <si>
    <t>LEUtm</t>
  </si>
  <si>
    <t>MALAKGtm</t>
  </si>
  <si>
    <t>MALCITtm</t>
  </si>
  <si>
    <t>MALICITtm</t>
  </si>
  <si>
    <t>MALOAAtm</t>
  </si>
  <si>
    <t>MAL_na_tm</t>
  </si>
  <si>
    <t>METHFtm</t>
  </si>
  <si>
    <t>METtm</t>
  </si>
  <si>
    <t>MLTHFtm</t>
  </si>
  <si>
    <t>NA1Htm</t>
  </si>
  <si>
    <t>NA1tm</t>
  </si>
  <si>
    <t>NADHtm</t>
  </si>
  <si>
    <t>NADtm</t>
  </si>
  <si>
    <t>NCAMtm</t>
  </si>
  <si>
    <t>NICRNTtm</t>
  </si>
  <si>
    <t>O2tmr</t>
  </si>
  <si>
    <t>OAAAKGtm</t>
  </si>
  <si>
    <t>OAACITtm</t>
  </si>
  <si>
    <t>OAAICITtm</t>
  </si>
  <si>
    <t>PAPSPAPtm</t>
  </si>
  <si>
    <t>PHEMEtm</t>
  </si>
  <si>
    <t>PIcm</t>
  </si>
  <si>
    <t>PMTCOAtm</t>
  </si>
  <si>
    <t>PNTORtm</t>
  </si>
  <si>
    <t>PPAtm</t>
  </si>
  <si>
    <t>PPCOAtm</t>
  </si>
  <si>
    <t>PRONA1tm</t>
  </si>
  <si>
    <t>PROtm</t>
  </si>
  <si>
    <t>PRPPtm</t>
  </si>
  <si>
    <t>PTRCtmi</t>
  </si>
  <si>
    <t>PYRtm</t>
  </si>
  <si>
    <t>SELTtm</t>
  </si>
  <si>
    <t>SERNA1tm</t>
  </si>
  <si>
    <t>SO3tm</t>
  </si>
  <si>
    <t>SO4NA1tm</t>
  </si>
  <si>
    <t>SPMDtmi</t>
  </si>
  <si>
    <t>SPMDtmr</t>
  </si>
  <si>
    <t>SUCFUMtmr</t>
  </si>
  <si>
    <t>Stm</t>
  </si>
  <si>
    <t>THFtm</t>
  </si>
  <si>
    <t>THMPPtm</t>
  </si>
  <si>
    <t>THRNA1tm</t>
  </si>
  <si>
    <t>TSULtm2</t>
  </si>
  <si>
    <t>TYRtm</t>
  </si>
  <si>
    <t>UDPtm</t>
  </si>
  <si>
    <t>URDGLYCAtm</t>
  </si>
  <si>
    <t>UTPtm</t>
  </si>
  <si>
    <t>2DHPtn</t>
  </si>
  <si>
    <t>AHCYStn</t>
  </si>
  <si>
    <t>AMETtn</t>
  </si>
  <si>
    <t>AMPtn</t>
  </si>
  <si>
    <t>APStn</t>
  </si>
  <si>
    <t>GMPtn</t>
  </si>
  <si>
    <t>H2O2tn</t>
  </si>
  <si>
    <t>H2Otn</t>
  </si>
  <si>
    <t>NADtn</t>
  </si>
  <si>
    <t>O2tnr</t>
  </si>
  <si>
    <t>PItn</t>
  </si>
  <si>
    <t>SO4tn</t>
  </si>
  <si>
    <t>UDPGtni</t>
  </si>
  <si>
    <t>UDPtn</t>
  </si>
  <si>
    <t>ACAROtu</t>
  </si>
  <si>
    <t>ASCBtu</t>
  </si>
  <si>
    <t>CAROtu</t>
  </si>
  <si>
    <t>CHLAtu</t>
  </si>
  <si>
    <t>CHLDA1tu</t>
  </si>
  <si>
    <t>CHLDA2tu</t>
  </si>
  <si>
    <t>CHLDBtu</t>
  </si>
  <si>
    <t>GCAROtu</t>
  </si>
  <si>
    <t>GGDPtu</t>
  </si>
  <si>
    <t>GTHOXtu</t>
  </si>
  <si>
    <t>GTHRDtu</t>
  </si>
  <si>
    <t>H2Othu</t>
  </si>
  <si>
    <t>MG2tu</t>
  </si>
  <si>
    <t>NADPHtu</t>
  </si>
  <si>
    <t>NADPtu</t>
  </si>
  <si>
    <t>O2trhu</t>
  </si>
  <si>
    <t>PDPtu</t>
  </si>
  <si>
    <t>PPItu</t>
  </si>
  <si>
    <t>Tryptophan metabolism</t>
  </si>
  <si>
    <t>ILETAH</t>
  </si>
  <si>
    <t>LEUTAH</t>
  </si>
  <si>
    <t>VALTAH</t>
  </si>
  <si>
    <t>MOD_2mbdhl</t>
  </si>
  <si>
    <t>MOD_2mhop</t>
  </si>
  <si>
    <t>BCTA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</si>
</sst>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Calibri"/>
      <charset val="134"/>
    </font>
    <font>
      <sz val="11"/>
      <color indexed="8"/>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6">
    <xf numFmtId="0" fontId="0" fillId="0" borderId="0" xfId="0">
      <alignment vertical="center"/>
    </xf>
    <xf numFmtId="1" fontId="1" fillId="0" borderId="0" xfId="0" applyNumberFormat="1" applyFont="1" applyFill="1" applyBorder="1" applyAlignment="1"/>
    <xf numFmtId="1" fontId="2" fillId="0" borderId="0" xfId="0" applyNumberFormat="1" applyFont="1" applyFill="1" applyAlignment="1"/>
    <xf numFmtId="0" fontId="2" fillId="0" borderId="0" xfId="0" applyFont="1" applyFill="1" applyAlignment="1"/>
    <xf numFmtId="1" fontId="1" fillId="0" borderId="0" xfId="0" applyNumberFormat="1" applyFont="1" applyFill="1" applyAlignment="1"/>
    <xf numFmtId="0" fontId="0" fillId="0" borderId="0" xfId="0" applyFill="1" applyAlignment="1">
      <alignment vertical="center"/>
    </xf>
    <xf numFmtId="0" fontId="3" fillId="0" borderId="1" xfId="0" applyNumberFormat="1" applyFont="1" applyFill="1" applyBorder="1" applyAlignment="1">
      <alignment vertical="center"/>
    </xf>
    <xf numFmtId="1" fontId="1" fillId="2" borderId="0" xfId="0" applyNumberFormat="1" applyFont="1" applyFill="1" applyAlignment="1"/>
    <xf numFmtId="0" fontId="0" fillId="0" borderId="0" xfId="0" applyFont="1" applyFill="1" applyAlignment="1"/>
    <xf numFmtId="1" fontId="2" fillId="0" borderId="0" xfId="0" applyNumberFormat="1" applyFont="1" applyFill="1" applyAlignment="1">
      <alignment horizontal="left"/>
    </xf>
    <xf numFmtId="0" fontId="0" fillId="3" borderId="0" xfId="0" applyFill="1">
      <alignment vertical="center"/>
    </xf>
    <xf numFmtId="0" fontId="0" fillId="0" borderId="0" xfId="0" applyAlignment="1">
      <alignment horizontal="left" vertical="center"/>
    </xf>
    <xf numFmtId="1" fontId="1" fillId="0" borderId="0" xfId="0" applyNumberFormat="1" applyFont="1" applyFill="1" applyAlignment="1">
      <alignment horizontal="left"/>
    </xf>
    <xf numFmtId="0" fontId="2" fillId="0" borderId="0" xfId="0" applyFont="1" applyFill="1" applyAlignment="1">
      <alignment horizontal="left" vertical="center"/>
    </xf>
    <xf numFmtId="0" fontId="2" fillId="3" borderId="0" xfId="0" applyFont="1" applyFill="1" applyAlignment="1">
      <alignment horizontal="left" vertical="center"/>
    </xf>
    <xf numFmtId="1" fontId="2" fillId="3" borderId="0" xfId="0" applyNumberFormat="1"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JJ\Desktop\PhD\GSMM%20&#25991;&#29486;\GSMM%20AC5\Limosilactobacillus_reuteri_KUB_AC5-GSMM-main\Limosilactobacillus_reuteri_KUB_AC5-GSMM-main\model\xlsx\model_ac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XNS"/>
      <sheetName val="METS"/>
      <sheetName val="COMPS"/>
      <sheetName val="GENES"/>
      <sheetName val="MODEL"/>
    </sheetNames>
    <sheetDataSet>
      <sheetData sheetId="0">
        <row r="1">
          <cell r="B1" t="str">
            <v>ID</v>
          </cell>
          <cell r="C1" t="str">
            <v>NAME</v>
          </cell>
          <cell r="D1" t="str">
            <v>EQUATION</v>
          </cell>
          <cell r="E1" t="str">
            <v>EC-NUMBER</v>
          </cell>
        </row>
        <row r="2">
          <cell r="B2" t="str">
            <v>2HXICDH</v>
          </cell>
          <cell r="C2" t="str">
            <v>L-2-hydroxyisocaproate dehydrogenase</v>
          </cell>
          <cell r="D2" t="str">
            <v>4-Methyl-2-oxopentanoate[c] + H+[c] + Nicotinamide adenine dinucleotide - reduced[c] &lt;=&gt; L-2-hydroxyisocaproate[c] + Nicotinamide adenine dinucleotide[c]</v>
          </cell>
        </row>
        <row r="3">
          <cell r="B3" t="str">
            <v>3HPPt</v>
          </cell>
          <cell r="C3" t="str">
            <v>3-hydroxypropanoate transport via diffusion</v>
          </cell>
          <cell r="D3" t="str">
            <v>3-Hydroxypropanoate[c] &lt;=&gt; 3-Hydroxypropanoate[e]</v>
          </cell>
        </row>
        <row r="4">
          <cell r="B4" t="str">
            <v>AACPS182</v>
          </cell>
          <cell r="C4" t="str">
            <v>Acyl-[acyl-carrier-protein] synthetase (n-C18:2)</v>
          </cell>
          <cell r="D4" t="str">
            <v>acyl carrier protein[c] + ATP[c] + octadecynoate (n-C18:2)[c] =&gt; AMP[c] + Octadecynoyl-ACP (n-C18:2ACP)[c] + Diphosphate[c]</v>
          </cell>
        </row>
        <row r="5">
          <cell r="B5" t="str">
            <v>AACPS183</v>
          </cell>
          <cell r="C5" t="str">
            <v>Acyl-[acyl-carrier-protein] synthetase (n-C18:3)</v>
          </cell>
          <cell r="D5" t="str">
            <v>acyl carrier protein[c] + ATP[c] + octadecynoate (n-C18:3)[c] =&gt; AMP[c] + octadecatrienoyl-ACP (n-C18:3ACP)[c] + Diphosphate[c]</v>
          </cell>
        </row>
        <row r="6">
          <cell r="B6" t="str">
            <v>AACPS4</v>
          </cell>
          <cell r="C6" t="str">
            <v>Acyl-[acyl-carrier-protein] synthetase (n-C16:1)</v>
          </cell>
          <cell r="D6" t="str">
            <v>acyl carrier protein[c] + ATP[c] + hexadecenoate (n-C16:1)[c] =&gt; AMP[c] + Hexadecenoyl-ACP (n-C16:1ACP)[c] + Diphosphate[c]</v>
          </cell>
        </row>
        <row r="7">
          <cell r="B7" t="str">
            <v>AACPS5</v>
          </cell>
          <cell r="C7" t="str">
            <v>Acyl-[acyl-carrier-protein] synthetase (n-C18:1)</v>
          </cell>
          <cell r="D7" t="str">
            <v>acyl carrier protein[c] + ATP[c] + octadecenoate (n-C18:1)[c] =&gt; AMP[c] + Octadecenoyl-ACP (n-C18:1ACP)[c] + Diphosphate[c]</v>
          </cell>
        </row>
        <row r="8">
          <cell r="B8" t="str">
            <v>AALDH</v>
          </cell>
          <cell r="C8" t="str">
            <v>aryl-alcohol dehydrogenase</v>
          </cell>
          <cell r="D8" t="str">
            <v>H+[c] + Nicotinamide adenine dinucleotide - reduced[c] + Phenylacetaldehyde[c] &lt;=&gt; Phenylethyl alcohol[c] + Nicotinamide adenine dinucleotide[c]</v>
          </cell>
        </row>
        <row r="9">
          <cell r="B9" t="str">
            <v>ABTA</v>
          </cell>
          <cell r="C9" t="str">
            <v>4-aminobutyrate transaminase</v>
          </cell>
          <cell r="D9" t="str">
            <v>4-Aminobutanoate[c] + 2-Oxoglutarate[c] =&gt; L-Glutamate[c] + Succinic semialdehyde[c]</v>
          </cell>
          <cell r="E9" t="str">
            <v>2.6.1.19</v>
          </cell>
        </row>
        <row r="10">
          <cell r="B10" t="str">
            <v>ACACT1r</v>
          </cell>
          <cell r="C10" t="str">
            <v>acetyl-CoA C-acetyltransferase</v>
          </cell>
          <cell r="D10" t="str">
            <v>2 Acetyl-CoA[c] &lt;=&gt; Acetoacetyl-CoA[c] + Coenzyme A[c]</v>
          </cell>
          <cell r="E10" t="str">
            <v>2.3.1.9</v>
          </cell>
        </row>
        <row r="11">
          <cell r="B11" t="str">
            <v>ACALD</v>
          </cell>
          <cell r="C11" t="str">
            <v>acetaldehyde dehydrogenase (acetylating)</v>
          </cell>
          <cell r="D11" t="str">
            <v>Acetaldehyde[c] + Coenzyme A[c] + Nicotinamide adenine dinucleotide[c] &lt;=&gt; Acetyl-CoA[c] + H+[c] + Nicotinamide adenine dinucleotide - reduced[c]</v>
          </cell>
          <cell r="E11" t="str">
            <v>1.2.1.10</v>
          </cell>
        </row>
        <row r="12">
          <cell r="B12" t="str">
            <v>ACALDt</v>
          </cell>
          <cell r="C12" t="str">
            <v>acetaldehyde reversible transport</v>
          </cell>
          <cell r="D12" t="str">
            <v>Acetaldehyde[e] &lt;=&gt; Acetaldehyde[c]</v>
          </cell>
        </row>
        <row r="13">
          <cell r="B13" t="str">
            <v>ACBIPGT</v>
          </cell>
          <cell r="C13" t="str">
            <v>Adenosyl cobainamide GTP transferase</v>
          </cell>
          <cell r="D13" t="str">
            <v>Adenosyl cobinamide phosphate[c] + GTP[c] + H+[c] =&gt; Adenosine-GDP-cobinamide[c] + Diphosphate[c]</v>
          </cell>
          <cell r="E13" t="str">
            <v>2.7.7.62</v>
          </cell>
        </row>
        <row r="14">
          <cell r="B14" t="str">
            <v>ACCOAC</v>
          </cell>
          <cell r="C14" t="str">
            <v>acetyl-CoA carboxylase</v>
          </cell>
          <cell r="D14" t="str">
            <v>Acetyl-CoA[c] + ATP[c] + Bicarbonate[c] =&gt; ADP[c] + H+[c] + Malonyl-CoA[c] + Phosphate[c]</v>
          </cell>
          <cell r="E14" t="str">
            <v>6.4.1.2</v>
          </cell>
        </row>
        <row r="15">
          <cell r="B15" t="str">
            <v>ACGK</v>
          </cell>
          <cell r="C15" t="str">
            <v>acetylglutamate kinase</v>
          </cell>
          <cell r="D15" t="str">
            <v>N-Acetyl-L-glutamate[c] + ATP[c] =&gt; N-Acetyl-L-glutamyl 5-phosphate[c] + ADP[c]</v>
          </cell>
          <cell r="E15" t="str">
            <v>2.7.2.8</v>
          </cell>
        </row>
        <row r="16">
          <cell r="B16" t="str">
            <v>ACHBS</v>
          </cell>
          <cell r="C16" t="str">
            <v>2-aceto-2-hydroxybutanoate synthase</v>
          </cell>
          <cell r="D16" t="str">
            <v>2-Oxobutanoate[c] + H+[c] + Pyruvate[c] =&gt; (S)-2-Aceto-2-hydroxybutanoate[c] + CO2[c]</v>
          </cell>
          <cell r="E16" t="str">
            <v>2.2.1.6</v>
          </cell>
        </row>
        <row r="17">
          <cell r="B17" t="str">
            <v>ACKr</v>
          </cell>
          <cell r="C17" t="str">
            <v>acetate kinase</v>
          </cell>
          <cell r="D17" t="str">
            <v>Acetate[c] + ATP[c] &lt;=&gt; Acetyl phosphate[c] + ADP[c]</v>
          </cell>
          <cell r="E17" t="str">
            <v>2.7.2.1; 2.7.2.15</v>
          </cell>
        </row>
        <row r="18">
          <cell r="B18" t="str">
            <v>ACLDC</v>
          </cell>
          <cell r="C18" t="str">
            <v>acetolactate decarboxylase</v>
          </cell>
          <cell r="D18" t="str">
            <v>(S)-2-Acetolactate[c] + H+[c] =&gt; (R)-Acetoin[c] + CO2[c]</v>
          </cell>
          <cell r="E18" t="str">
            <v>4.1.1.5</v>
          </cell>
        </row>
        <row r="19">
          <cell r="B19" t="str">
            <v>ACLS</v>
          </cell>
          <cell r="C19" t="str">
            <v>acetolactate synthase (Also catalyzes ACHBS)</v>
          </cell>
          <cell r="D19" t="str">
            <v>H+[c] + 2 Pyruvate[c] =&gt; (S)-2-Acetolactate[c] + CO2[c]</v>
          </cell>
          <cell r="E19" t="str">
            <v>2.2.1.6</v>
          </cell>
        </row>
        <row r="20">
          <cell r="B20" t="str">
            <v>ACOTA</v>
          </cell>
          <cell r="C20" t="str">
            <v>acetylornithine transaminase</v>
          </cell>
          <cell r="D20" t="str">
            <v>N2-Acetyl-L-ornithine[c] + 2-Oxoglutarate[c] &lt;=&gt; N-Acetyl-L-glutamate 5-semialdehyde[c] + L-Glutamate[c]</v>
          </cell>
          <cell r="E20" t="str">
            <v>2.6.1.11</v>
          </cell>
        </row>
        <row r="21">
          <cell r="B21" t="str">
            <v>ACPS2</v>
          </cell>
          <cell r="C21" t="str">
            <v>acyl-carrier protein synthase</v>
          </cell>
          <cell r="D21" t="str">
            <v>apoprotein [acyl carrier protein][c] + Coenzyme A[c] =&gt; acyl carrier protein[c] + H+[c] + Adenosine 3',5'-bisphosphate[c]</v>
          </cell>
        </row>
        <row r="22">
          <cell r="B22" t="str">
            <v>ACTD</v>
          </cell>
          <cell r="C22" t="str">
            <v>acetoin dehydrogenase</v>
          </cell>
          <cell r="D22" t="str">
            <v>(R)-Acetoin[c] + Nicotinamide adenine dinucleotide[c] &lt;=&gt; Diacetyl[c] + H+[c] + Nicotinamide adenine dinucleotide - reduced[c]</v>
          </cell>
          <cell r="E22" t="str">
            <v>1.1.1.303</v>
          </cell>
        </row>
        <row r="23">
          <cell r="B23" t="str">
            <v>ACTNdiff</v>
          </cell>
          <cell r="C23" t="str">
            <v>(R)-acetoin diffusion</v>
          </cell>
          <cell r="D23" t="str">
            <v>(R)-Acetoin[e] &lt;=&gt; (R)-Acetoin[c]</v>
          </cell>
        </row>
        <row r="24">
          <cell r="B24" t="str">
            <v>ACTPASE</v>
          </cell>
          <cell r="C24" t="str">
            <v>acylphosphatase</v>
          </cell>
          <cell r="D24" t="str">
            <v>Acetyl phosphate[c] + H2O[c] =&gt; Acetate[c] + H+[c] + Phosphate[c]</v>
          </cell>
        </row>
        <row r="25">
          <cell r="B25" t="str">
            <v>ACt6</v>
          </cell>
          <cell r="C25" t="str">
            <v>acetate transport in/out via proton symport</v>
          </cell>
          <cell r="D25" t="str">
            <v>Acetate[e] + H+[e] &lt;=&gt; Acetate[c] + H+[c]</v>
          </cell>
        </row>
        <row r="26">
          <cell r="B26" t="str">
            <v>ADA</v>
          </cell>
          <cell r="C26" t="str">
            <v>Adenosine deaminase</v>
          </cell>
          <cell r="D26" t="str">
            <v>Adenosine[c] + H2O[c] + H+[c] =&gt; Inosine[c] + Ammonium[c]</v>
          </cell>
          <cell r="E26" t="str">
            <v>3.5.4.4</v>
          </cell>
        </row>
        <row r="27">
          <cell r="B27" t="str">
            <v>ADCOBAPS</v>
          </cell>
          <cell r="C27" t="str">
            <v>Adenosylcobinamide-phosphate synthase</v>
          </cell>
          <cell r="D27" t="str">
            <v>adenosyl-cobyric acid[c] + D-1-Aminopropan-2-ol O-phosphate[c] + ATP[c] =&gt; Adenosyl cobinamide phosphate[c] + ADP[c] + H+[c] + Phosphate[c]</v>
          </cell>
        </row>
        <row r="28">
          <cell r="B28" t="str">
            <v>ADCPS1</v>
          </cell>
          <cell r="C28" t="str">
            <v>Adenosylcobinamide-phosphate synthase</v>
          </cell>
          <cell r="D28" t="str">
            <v>adenosyl-cobyric acid[c] + 1-Aminopropan-2-ol[c] + ATP[c] &lt;=&gt; Adenosyl cobinamide[c] + ADP[c] + H+[c] + Phosphate[c]</v>
          </cell>
        </row>
        <row r="29">
          <cell r="B29" t="str">
            <v>ADEADOCBLPP</v>
          </cell>
          <cell r="C29" t="str">
            <v>Adenine Adenosylcobalamide phosphate phosphatase</v>
          </cell>
          <cell r="D29" t="str">
            <v>Co-alpha-[alpha-(adenin-9-yl)]-Co-beta-adenosylcobamide 5-phosphate[c] + H2O[c] =&gt; Pseudo Coenzyme B12 (Co-alpha-[alpha-(adenin-7-yl)]-Co-beta-adenosylcobamide)[c] + Phosphate[c]</v>
          </cell>
        </row>
        <row r="30">
          <cell r="B30" t="str">
            <v>ADEADOCBLS</v>
          </cell>
          <cell r="C30" t="str">
            <v>Adenine Adenosylcobalamin 5-phosphate synthase</v>
          </cell>
          <cell r="D30" t="str">
            <v>Adenosine-GDP-cobinamide[c] + adenine ribotide phosphate (7-(5-phospho-伪-D-ribosyl)adenine)[c] =&gt; Co-alpha-[alpha-(adenin-9-yl)]-Co-beta-adenosylcobamide 5-phosphate[c] + GMP[c] + H+[c]</v>
          </cell>
        </row>
        <row r="31">
          <cell r="B31" t="str">
            <v>ADEt2</v>
          </cell>
          <cell r="C31" t="str">
            <v>adenine transport via proton symport (reversible)</v>
          </cell>
          <cell r="D31" t="str">
            <v>Adenine[e] + H+[e] &lt;=&gt; Adenine[c] + H+[c]</v>
          </cell>
        </row>
        <row r="32">
          <cell r="B32" t="str">
            <v>ADK1</v>
          </cell>
          <cell r="C32" t="str">
            <v>adenylate kinase</v>
          </cell>
          <cell r="D32" t="str">
            <v>AMP[c] + ATP[c] &lt;=&gt; 2 ADP[c]</v>
          </cell>
          <cell r="E32" t="str">
            <v>2.7.4.3</v>
          </cell>
        </row>
        <row r="33">
          <cell r="B33" t="str">
            <v>ADOCBIK</v>
          </cell>
          <cell r="C33" t="str">
            <v>Adenosyl cobinamide kinase</v>
          </cell>
          <cell r="D33" t="str">
            <v>Adenosyl cobinamide[c] + ATP[c] =&gt; Adenosyl cobinamide phosphate[c] + ADP[c] + H+[c]</v>
          </cell>
          <cell r="E33" t="str">
            <v>2.7.1.156</v>
          </cell>
        </row>
        <row r="34">
          <cell r="B34" t="str">
            <v>ADPDS</v>
          </cell>
          <cell r="C34" t="str">
            <v>acetyl-diaminopimelate deacetylase</v>
          </cell>
          <cell r="D34" t="str">
            <v>H2O[c] + H+[c] + N6-Acetyl-LL-2,6-diaminoheptanedioate[c] =&gt; LL-2,6-Diaminoheptanedioate[c] + Acetate[c]</v>
          </cell>
        </row>
        <row r="35">
          <cell r="B35" t="str">
            <v>ADPRDP</v>
          </cell>
          <cell r="C35" t="str">
            <v>ADPribose diphosphatase</v>
          </cell>
          <cell r="D35" t="str">
            <v>ADPribose[c] + H2O[c] =&gt; AMP[c] + 2 H+[c] + alpha-D-Ribose 5-phosphate[c]</v>
          </cell>
          <cell r="E35" t="str">
            <v>3.6.1.13</v>
          </cell>
        </row>
        <row r="36">
          <cell r="B36" t="str">
            <v>ADPT</v>
          </cell>
          <cell r="C36" t="str">
            <v>adenine phosphoribosyltransferase</v>
          </cell>
          <cell r="D36" t="str">
            <v>Adenine[c] + 5-Phospho-alpha-D-ribose 1-diphosphate[c] =&gt; AMP[c] + Diphosphate[c]</v>
          </cell>
          <cell r="E36" t="str">
            <v>2.4.2.7; 2.4.2.8</v>
          </cell>
        </row>
        <row r="37">
          <cell r="B37" t="str">
            <v>ADPTA</v>
          </cell>
          <cell r="C37" t="str">
            <v>acetyldiaminopimelate transaminase</v>
          </cell>
          <cell r="D37" t="str">
            <v>2-Oxoglutarate[c] + H+[c] + N6-Acetyl-LL-2,6-diaminoheptanedioate[c] &lt;=&gt; N-Acetyl-L-2-amino-6-oxopimelate[c] + L-Glutamate[c]</v>
          </cell>
        </row>
        <row r="38">
          <cell r="B38" t="str">
            <v>ADSL1r</v>
          </cell>
          <cell r="C38" t="str">
            <v>adenylosuccinate lyase</v>
          </cell>
          <cell r="D38" t="str">
            <v>N6-(1,2-Dicarboxyethyl)-AMP[c] &lt;=&gt; AMP[c] + Fumarate[c]</v>
          </cell>
          <cell r="E38" t="str">
            <v>4.3.2.2</v>
          </cell>
        </row>
        <row r="39">
          <cell r="B39" t="str">
            <v>ADSL2r</v>
          </cell>
          <cell r="C39" t="str">
            <v>adenylosuccinate lyase</v>
          </cell>
          <cell r="D39" t="str">
            <v>(S)-2-[5-Amino-1-(5-phospho-D-ribosyl)imidazole-4-carboxamido]succinate[c] &lt;=&gt; 5-Amino-1-(5-Phospho-D-ribosyl)imidazole-4-carboxamide[c] + Fumarate[c]</v>
          </cell>
          <cell r="E39" t="str">
            <v>4.3.2.2</v>
          </cell>
        </row>
        <row r="40">
          <cell r="B40" t="str">
            <v>ADSS</v>
          </cell>
          <cell r="C40" t="str">
            <v>adenylosuccinate synthetase</v>
          </cell>
          <cell r="D40" t="str">
            <v>L-Aspartate[c] + GTP[c] + IMP[c] =&gt; N6-(1,2-Dicarboxyethyl)-AMP[c] + GDP[c] + 2 H+[c] + Phosphate[c]</v>
          </cell>
          <cell r="E40" t="str">
            <v>6.3.4.4</v>
          </cell>
        </row>
        <row r="41">
          <cell r="B41" t="str">
            <v>AGAT_LRE</v>
          </cell>
          <cell r="C41" t="str">
            <v>1-Acyl-glycerol-3-phosphate acyltransferase (Lb reuteri specific)</v>
          </cell>
          <cell r="D41" t="str">
            <v>1-Acyl-sn-glycerol 3-phosphate (Lb reuteri specific)[c] + 0.0211 cyclopropanoyl octadecanoyl-[acyl-carrier protein][c] + 0.0258 Hexadecenoyl-ACP (n-C16:1ACP)[c] + 0.075 Octadecanoyl-[acyl-carrier protein][c] + 0.0418 octadecatrienoyl-ACP (n-C18:3ACP)[c] + 0.3519 Octadecynoyl-ACP (n-C18:2ACP)[c] + 0.1591 Octadecenoyl-ACP (n-C18:1ACP)[c] + 0.2566 Palmitoyl-ACP (n-C16:0ACP)[c] + 0.0687 Tetradecanoyl-[acyl-carrier protein][c] =&gt; acyl carrier protein[c] + phosphatidic acid (Lb reuteri specific)[c]</v>
          </cell>
        </row>
        <row r="42">
          <cell r="B42" t="str">
            <v>AGPR</v>
          </cell>
          <cell r="C42" t="str">
            <v>N-acetyl-g-glutamyl-phosphate reductase</v>
          </cell>
          <cell r="D42" t="str">
            <v>N-Acetyl-L-glutamate 5-semialdehyde[c] + Nicotinamide adenine dinucleotide phosphate[c] + Phosphate[c] &lt;=&gt; N-Acetyl-L-glutamyl 5-phosphate[c] + H+[c] + Nicotinamide adenine dinucleotide phosphate - reduced[c]</v>
          </cell>
          <cell r="E42" t="str">
            <v>1.2.1.38</v>
          </cell>
        </row>
        <row r="43">
          <cell r="B43" t="str">
            <v>AHCYSNS</v>
          </cell>
          <cell r="C43" t="str">
            <v>adenosylhomocysteine nucleosidase</v>
          </cell>
          <cell r="D43" t="str">
            <v>S-Adenosyl-L-homocysteine[c] + H2O[c] =&gt; Adenine[c] + S-Ribosyl-L-homocysteine[c]</v>
          </cell>
          <cell r="E43" t="str">
            <v>3.2.2.9</v>
          </cell>
        </row>
        <row r="44">
          <cell r="B44" t="str">
            <v>AHMMPS</v>
          </cell>
          <cell r="C44" t="str">
            <v>4-amino-5-hydroxymethyl-2-methylpyrimidine synthetase</v>
          </cell>
          <cell r="D44" t="str">
            <v>5-amino-1-(5-phospho-D-ribosyl)imidazole[c] + H2O[c] =&gt; 4-Amino-5-hydroxymethyl-2-methylpyrimidine[c] + Glycolaldehyde[c] + 0.5 O2[c] + Phosphate[c]</v>
          </cell>
        </row>
        <row r="45">
          <cell r="B45" t="str">
            <v>AICART</v>
          </cell>
          <cell r="C45" t="str">
            <v>phosphoribosylaminoimidazolecarboxamide formyltransferase</v>
          </cell>
          <cell r="D45" t="str">
            <v>10-Formyltetrahydrofolate[c] + 5-Amino-1-(5-Phospho-D-ribosyl)imidazole-4-carboxamide[c] &lt;=&gt; 5-Formamido-1-(5-phospho-D-ribosyl)imidazole-4-carboxamide[c] + 5,6,7,8-Tetrahydrofolate[c]</v>
          </cell>
          <cell r="E45" t="str">
            <v>2.1.2.3</v>
          </cell>
        </row>
        <row r="46">
          <cell r="B46" t="str">
            <v>AIRC</v>
          </cell>
          <cell r="C46" t="str">
            <v>phosphoribosylaminoimidazole carboxylase</v>
          </cell>
          <cell r="D46" t="str">
            <v>5-amino-1-(5-phospho-D-ribosyl)imidazole[c] + CO2[c] =&gt; 5-amino-1-(5-phospho-D-ribosyl)imidazole-4-carboxylate[c] + H+[c]</v>
          </cell>
        </row>
        <row r="47">
          <cell r="B47" t="str">
            <v>ALALAC</v>
          </cell>
          <cell r="C47" t="str">
            <v>D-alanine-D-lactate ligase (reversible)</v>
          </cell>
          <cell r="D47" t="str">
            <v>D-Alanine[c] + ATP[c] + D-Lactate[c] &lt;=&gt; ADP[c] + D-Alanyl-D-lactate[c] + Phosphate[c]</v>
          </cell>
        </row>
        <row r="48">
          <cell r="B48" t="str">
            <v>ALAR</v>
          </cell>
          <cell r="C48" t="str">
            <v>alanine racemase</v>
          </cell>
          <cell r="D48" t="str">
            <v>L-Alanine[c] &lt;=&gt; D-Alanine[c]</v>
          </cell>
          <cell r="E48" t="str">
            <v>5.1.1.1</v>
          </cell>
        </row>
        <row r="49">
          <cell r="B49" t="str">
            <v>ALATA_Lr</v>
          </cell>
          <cell r="C49" t="str">
            <v>alanine transaminase</v>
          </cell>
          <cell r="D49" t="str">
            <v>L-Alanine[c] + Pyridoxal[c] &lt;=&gt; Pyridoxamine[c] + Pyruvate[c]</v>
          </cell>
        </row>
        <row r="50">
          <cell r="B50" t="str">
            <v>ALATRS</v>
          </cell>
          <cell r="C50" t="str">
            <v>Alanyl-tRNA synthetase</v>
          </cell>
          <cell r="D50" t="str">
            <v>L-Alanine[c] + ATP[c] + tRNA(Ala)[c] =&gt; L-Alanyl-tRNA(Ala)[c] + AMP[c] + Diphosphate[c]</v>
          </cell>
        </row>
        <row r="51">
          <cell r="B51" t="str">
            <v>ALA_Lt6</v>
          </cell>
          <cell r="C51" t="str">
            <v>L-alanine transport in/out via proton symport</v>
          </cell>
          <cell r="D51" t="str">
            <v>L-Alanine[e] + H+[e] &lt;=&gt; L-Alanine[c] + H+[c]</v>
          </cell>
        </row>
        <row r="52">
          <cell r="B52" t="str">
            <v>ALCD19</v>
          </cell>
          <cell r="C52" t="str">
            <v>alcohol dehydrogenase (glycerol)</v>
          </cell>
          <cell r="D52" t="str">
            <v>D-Glyceraldehyde[c] + H+[c] + Nicotinamide adenine dinucleotide - reduced[c] &lt;=&gt; Glycerol[c] + Nicotinamide adenine dinucleotide[c]</v>
          </cell>
          <cell r="E52" t="str">
            <v>1.1.1.21; 1.1.1.72</v>
          </cell>
        </row>
        <row r="53">
          <cell r="B53" t="str">
            <v>ALCD19_D</v>
          </cell>
          <cell r="C53" t="str">
            <v>alcohol dehydrogenase (D-glyceraldehyde to glycerol, NADP)</v>
          </cell>
          <cell r="D53" t="str">
            <v>D-Glyceraldehyde[c] + H+[c] + Nicotinamide adenine dinucleotide phosphate - reduced[c] &lt;=&gt; Glycerol[c] + Nicotinamide adenine dinucleotide phosphate[c]</v>
          </cell>
        </row>
        <row r="54">
          <cell r="B54" t="str">
            <v>ALCD19_L</v>
          </cell>
          <cell r="C54" t="str">
            <v>alcohol dehydrogenase (L-glyceraldehyde to glycerol, NADP)</v>
          </cell>
          <cell r="D54" t="str">
            <v>L-Glyceraldehyde[c] + H+[c] + Nicotinamide adenine dinucleotide phosphate - reduced[c] &lt;=&gt; Glycerol[c] + Nicotinamide adenine dinucleotide phosphate[c]</v>
          </cell>
          <cell r="E54" t="str">
            <v>1.1.1.372</v>
          </cell>
        </row>
        <row r="55">
          <cell r="B55" t="str">
            <v>ALCD23x</v>
          </cell>
          <cell r="C55" t="str">
            <v>2-methylpropanol dehydrogenase</v>
          </cell>
          <cell r="D55" t="str">
            <v>2-methylpropanal[c] + H+[c] + Nicotinamide adenine dinucleotide - reduced[c] &lt;=&gt; 2-methylpropanol[c] + Nicotinamide adenine dinucleotide[c]</v>
          </cell>
        </row>
        <row r="56">
          <cell r="B56" t="str">
            <v>ALCD2x</v>
          </cell>
          <cell r="C56" t="str">
            <v>alcohol dehydrogenase (ethanol: NAD)</v>
          </cell>
          <cell r="D56" t="str">
            <v>Ethanol[c] + Nicotinamide adenine dinucleotide[c] &lt;=&gt; Acetaldehyde[c] + H+[c] + Nicotinamide adenine dinucleotide - reduced[c]</v>
          </cell>
          <cell r="E56" t="str">
            <v>1.1.1.1; 1.1.1.71</v>
          </cell>
        </row>
        <row r="57">
          <cell r="B57" t="str">
            <v>ALCD3</v>
          </cell>
          <cell r="C57" t="str">
            <v>alcohol dehydrogenase (propanol)</v>
          </cell>
          <cell r="D57" t="str">
            <v>Nicotinamide adenine dinucleotide[c] + 1-Propanol[c] &lt;=&gt; H+[c] + Nicotinamide adenine dinucleotide - reduced[c] + Propanal[c]</v>
          </cell>
        </row>
        <row r="58">
          <cell r="B58" t="str">
            <v>ALDD2x</v>
          </cell>
          <cell r="C58" t="str">
            <v>aldehyde dehydrogenase (acetaldehyde, NAD)</v>
          </cell>
          <cell r="D58" t="str">
            <v>Acetaldehyde[c] + H2O[c] + Nicotinamide adenine dinucleotide[c] =&gt; Acetate[c] + 2 H+[c] + Nicotinamide adenine dinucleotide - reduced[c]</v>
          </cell>
          <cell r="E58" t="str">
            <v>1.2.1.3; 1.2.1.5</v>
          </cell>
        </row>
        <row r="59">
          <cell r="B59" t="str">
            <v>ALDD8x</v>
          </cell>
          <cell r="C59" t="str">
            <v>aldehyde dehydrogenase (D-glyceraldehyde, NAD)</v>
          </cell>
          <cell r="D59" t="str">
            <v>D-Glyceraldehyde[c] + H2O[c] + Nicotinamide adenine dinucleotide[c] =&gt; (R)-Glycerate[c] + 2 H+[c] + Nicotinamide adenine dinucleotide - reduced[c]</v>
          </cell>
        </row>
        <row r="60">
          <cell r="B60" t="str">
            <v>ALKP</v>
          </cell>
          <cell r="C60" t="str">
            <v>alkaline phosphatase</v>
          </cell>
          <cell r="D60" t="str">
            <v>Dihydroxyacetone phosphate[c] + H2O[c] =&gt; Dihydroxyacetone[c] + Phosphate[c]</v>
          </cell>
          <cell r="E60" t="str">
            <v>3.1.3.-; 3.1.3.1; 3.1.3.2</v>
          </cell>
        </row>
        <row r="61">
          <cell r="B61" t="str">
            <v>ALOX</v>
          </cell>
          <cell r="C61" t="str">
            <v>oxidative decarboxylation of acetolacate (chemical)</v>
          </cell>
          <cell r="D61" t="str">
            <v>(S)-2-Acetolactate[c] + H+[c] + 0.5 O2[c] =&gt; CO2[c] + Diacetyl[c] + H2O[c]</v>
          </cell>
        </row>
        <row r="62">
          <cell r="B62" t="str">
            <v>ALR2</v>
          </cell>
          <cell r="C62" t="str">
            <v>aldose reductase (methylglyoxal)</v>
          </cell>
          <cell r="D62" t="str">
            <v>H+[c] + Methylglyoxal[c] + Nicotinamide adenine dinucleotide phosphate - reduced[c] =&gt; Acetol cytosol[c] + Nicotinamide adenine dinucleotide phosphate[c]</v>
          </cell>
          <cell r="E62" t="str">
            <v>1.1.1.-</v>
          </cell>
        </row>
        <row r="63">
          <cell r="B63" t="str">
            <v>ALR4x</v>
          </cell>
          <cell r="C63" t="str">
            <v>aldose reductase (acetol)</v>
          </cell>
          <cell r="D63" t="str">
            <v>Acetol cytosol[c] + H+[c] + Nicotinamide adenine dinucleotide - reduced[c] =&gt; (R)-Propane-1,2-diol[c] + Nicotinamide adenine dinucleotide[c]</v>
          </cell>
        </row>
        <row r="64">
          <cell r="B64" t="str">
            <v>AMAA</v>
          </cell>
          <cell r="C64" t="str">
            <v>N-acetylmuramoyl-L-alanine amidase</v>
          </cell>
          <cell r="D64" t="str">
            <v>N-Acetyl-D-muramoyl-L-alanine[c] + H2O[c] =&gt; N-Acetyl-D-muramoate[c] + L-Alanine[c]</v>
          </cell>
          <cell r="E64" t="str">
            <v>3.5.1.28</v>
          </cell>
        </row>
        <row r="65">
          <cell r="B65" t="str">
            <v>AMMQT7</v>
          </cell>
          <cell r="C65" t="str">
            <v>S-adenosylmethione:2-demthylmenaquinone methyltransferase (menaquinone 7)</v>
          </cell>
          <cell r="D65" t="str">
            <v>2-Demethylmenaquinone 7[c] + S-Adenosyl-L-methionine[c] + Nicotinamide adenine dinucleotide phosphate - reduced[c] =&gt; S-Adenosyl-L-homocysteine[c] + Menaquinol 7[c] + Nicotinamide adenine dinucleotide phosphate[c]</v>
          </cell>
        </row>
        <row r="66">
          <cell r="B66" t="str">
            <v>AMMQT8_2</v>
          </cell>
          <cell r="C66" t="str">
            <v>S-adenosylmethione:2-demethylmenaquinone methyltransferase</v>
          </cell>
          <cell r="D66" t="str">
            <v>2-Demethylmenaquinone 8[c] + S-Adenosyl-L-methionine[c] =&gt; S-Adenosyl-L-homocysteine[c] + H+[c] + Menaquinone 8[c]</v>
          </cell>
        </row>
        <row r="67">
          <cell r="B67" t="str">
            <v>AOBUTDs</v>
          </cell>
          <cell r="C67" t="str">
            <v>L-2-amino-3-oxobutanoate decarboxylation (spontaneous)</v>
          </cell>
          <cell r="D67" t="str">
            <v>L-2-Amino-3-oxobutanoate[c] + H+[c] =&gt; Aminoacetone[c] + CO2[c]</v>
          </cell>
          <cell r="E67" t="str">
            <v>1.1.1.381</v>
          </cell>
        </row>
        <row r="68">
          <cell r="B68" t="str">
            <v>AP4AH</v>
          </cell>
          <cell r="C68" t="str">
            <v>bis(5'-nucleosyl)-tetraphosphatase</v>
          </cell>
          <cell r="D68" t="str">
            <v>P1,P4-Bis(5'-adenosyl) tetraphosphate[c] + H2O[c] =&gt; 2 ADP[c] + 2 H+[c]</v>
          </cell>
          <cell r="E68" t="str">
            <v>3.6.1.41</v>
          </cell>
        </row>
        <row r="69">
          <cell r="B69" t="str">
            <v>APAT</v>
          </cell>
          <cell r="C69" t="str">
            <v>apolipoprotein N-acyl transferase</v>
          </cell>
          <cell r="D69" t="str">
            <v>Acetyl-CoA[c] + H2O[c] + 2,3,4,5-Tetrahydrodipicolinate[c] &lt;=&gt; N-Acetyl-L-2-amino-6-oxopimelate[c] + Coenzyme A[c]</v>
          </cell>
        </row>
        <row r="70">
          <cell r="B70" t="str">
            <v>APPLDHr</v>
          </cell>
          <cell r="C70" t="str">
            <v>Aminopropanol dehydrogenase reversible</v>
          </cell>
          <cell r="D70" t="str">
            <v>Aminoacetone[c] + H+[c] + Nicotinamide adenine dinucleotide - reduced[c] &lt;=&gt; 1-Aminopropan-2-ol[c] + Nicotinamide adenine dinucleotide[c]</v>
          </cell>
          <cell r="E70" t="str">
            <v>1.1.1.75; 2.3.1.37</v>
          </cell>
        </row>
        <row r="71">
          <cell r="B71" t="str">
            <v>APRAUR</v>
          </cell>
          <cell r="C71" t="str">
            <v>5-amino-6-(5-phosphoribosylamino)uracil reductase</v>
          </cell>
          <cell r="D71" t="str">
            <v>5-Amino-6-(5'-phosphoribosylamino)uracil[c] + H+[c] + Nicotinamide adenine dinucleotide phosphate - reduced[c] =&gt; 5-Amino-6-(5'-phosphoribitylamino)uracil[c] + Nicotinamide adenine dinucleotide phosphate[c]</v>
          </cell>
          <cell r="E71" t="str">
            <v>1.1.1.193</v>
          </cell>
        </row>
        <row r="72">
          <cell r="B72" t="str">
            <v>ARABRr</v>
          </cell>
          <cell r="C72" t="str">
            <v>arabinose reductase</v>
          </cell>
          <cell r="D72" t="str">
            <v>L-Arabinose[c] + H+[c] + Nicotinamide adenine dinucleotide phosphate - reduced[c] &lt;=&gt; L-Arabinitol[c] + Nicotinamide adenine dinucleotide phosphate[c]</v>
          </cell>
          <cell r="E72" t="str">
            <v>1.1.1.2; 1.1.1.21</v>
          </cell>
        </row>
        <row r="73">
          <cell r="B73" t="str">
            <v>ARAI</v>
          </cell>
          <cell r="C73" t="str">
            <v>L-arabinose isomerase</v>
          </cell>
          <cell r="D73" t="str">
            <v>L-Arabinose[c] &lt;=&gt; L-Ribulose[c]</v>
          </cell>
          <cell r="E73" t="str">
            <v>5.3.1.4; 5.3.1.5</v>
          </cell>
        </row>
        <row r="74">
          <cell r="B74" t="str">
            <v>ARBt2</v>
          </cell>
          <cell r="C74" t="str">
            <v>L-arabinose transport via proton symport</v>
          </cell>
          <cell r="D74" t="str">
            <v>L-Arabinose[e] + H+[e] &lt;=&gt; L-Arabinose[c] + H+[c]</v>
          </cell>
        </row>
        <row r="75">
          <cell r="B75" t="str">
            <v>ARGDI</v>
          </cell>
          <cell r="C75" t="str">
            <v>arginine deiminase</v>
          </cell>
          <cell r="D75" t="str">
            <v>L-Arginine[c] + H2O[c] =&gt; L-Citrulline[c] + Ammonium[c]</v>
          </cell>
        </row>
        <row r="76">
          <cell r="B76" t="str">
            <v>ARGORNt3</v>
          </cell>
          <cell r="C76" t="str">
            <v>Arginine/ornithine antiporter</v>
          </cell>
          <cell r="D76" t="str">
            <v>L-Arginine[e] + L-Ornithine[c] &lt;=&gt; L-Arginine[c] + L-Ornithine[e]</v>
          </cell>
        </row>
        <row r="77">
          <cell r="B77" t="str">
            <v>ARGSL</v>
          </cell>
          <cell r="C77" t="str">
            <v>argininosuccinate lyase</v>
          </cell>
          <cell r="D77" t="str">
            <v>N(omega)-(L-Arginino)succinate[c] &lt;=&gt; L-Arginine[c] + Fumarate[c]</v>
          </cell>
          <cell r="E77" t="str">
            <v>4.3.2.1</v>
          </cell>
        </row>
        <row r="78">
          <cell r="B78" t="str">
            <v>ARGSS</v>
          </cell>
          <cell r="C78" t="str">
            <v>argininosuccinate synthase</v>
          </cell>
          <cell r="D78" t="str">
            <v>L-Aspartate[c] + ATP[c] + L-Citrulline[c] =&gt; AMP[c] + N(omega)-(L-Arginino)succinate[c] + H+[c] + Diphosphate[c]</v>
          </cell>
          <cell r="E78" t="str">
            <v>6.3.4.5</v>
          </cell>
        </row>
        <row r="79">
          <cell r="B79" t="str">
            <v>ARGTRS</v>
          </cell>
          <cell r="C79" t="str">
            <v>Arginyl-tRNA synthetase</v>
          </cell>
          <cell r="D79" t="str">
            <v>L-Arginine[c] + ATP[c] + tRNA(Arg)[c] =&gt; AMP[c] + L-Arginyl-tRNA(Arg)[c] + Diphosphate[c]</v>
          </cell>
        </row>
        <row r="80">
          <cell r="B80" t="str">
            <v>ARGabc</v>
          </cell>
          <cell r="C80" t="str">
            <v>L-arginine transport via ABC system</v>
          </cell>
          <cell r="D80" t="str">
            <v>L-Arginine[e] + ATP[c] + H2O[c] =&gt; ADP[c] + L-Arginine[c] + H+[c] + Phosphate[c]</v>
          </cell>
          <cell r="E80" t="str">
            <v>3.6.3.21</v>
          </cell>
        </row>
        <row r="81">
          <cell r="B81" t="str">
            <v>ARGt2</v>
          </cell>
          <cell r="C81" t="str">
            <v>L-arginine transport in via proton symport</v>
          </cell>
          <cell r="D81" t="str">
            <v>L-Arginine[e] + H+[e] =&gt; L-Arginine[c] + H+[c]</v>
          </cell>
        </row>
        <row r="82">
          <cell r="B82" t="str">
            <v>ASAD</v>
          </cell>
          <cell r="C82" t="str">
            <v>aspartate-semialdehyde dehydrogenase</v>
          </cell>
          <cell r="D82" t="str">
            <v>L-Aspartate 4-semialdehyde[c] + Nicotinamide adenine dinucleotide phosphate[c] + Phosphate[c] &lt;=&gt; 4-Phospho-L-aspartate[c] + H+[c] + Nicotinamide adenine dinucleotide phosphate - reduced[c]</v>
          </cell>
          <cell r="E82" t="str">
            <v>1.2.1.11</v>
          </cell>
        </row>
        <row r="83">
          <cell r="B83" t="str">
            <v>ASNN</v>
          </cell>
          <cell r="C83" t="str">
            <v>L-asparaginase</v>
          </cell>
          <cell r="D83" t="str">
            <v>L-Asparagine[c] + H2O[c] =&gt; L-Aspartate[c] + Ammonium[c]</v>
          </cell>
          <cell r="E83" t="str">
            <v>3.5.1.1; 3.5.1.38; 3.5.5.4</v>
          </cell>
        </row>
        <row r="84">
          <cell r="B84" t="str">
            <v>ASNS1</v>
          </cell>
          <cell r="C84" t="str">
            <v>asparagine synthase (glutamine-hydrolysing)</v>
          </cell>
          <cell r="D84" t="str">
            <v>L-Aspartate[c] + ATP[c] + L-Glutamine[c] + H2O[c] =&gt; AMP[c] + L-Asparagine[c] + L-Glutamate[c] + H+[c] + Diphosphate[c]</v>
          </cell>
          <cell r="E84" t="str">
            <v>6.3.5.4</v>
          </cell>
        </row>
        <row r="85">
          <cell r="B85" t="str">
            <v>ASNS2</v>
          </cell>
          <cell r="C85" t="str">
            <v>asparagine synthetase</v>
          </cell>
          <cell r="D85" t="str">
            <v>L-Aspartate[c] + ATP[c] + Ammonium[c] =&gt; AMP[c] + L-Asparagine[c] + H+[c] + Diphosphate[c]</v>
          </cell>
          <cell r="E85" t="str">
            <v>6.3.1.1; 6.3.5.4</v>
          </cell>
        </row>
        <row r="86">
          <cell r="B86" t="str">
            <v>ASNTRS</v>
          </cell>
          <cell r="C86" t="str">
            <v>Asparaginyl-tRNA synthetase</v>
          </cell>
          <cell r="D86" t="str">
            <v>L-Asparagine[c] + ATP[c] + tRNA(Asn)[c] =&gt; AMP[c] + L-Asparaginyl-tRNA(Asn)[c] + Diphosphate[c]</v>
          </cell>
        </row>
        <row r="87">
          <cell r="B87" t="str">
            <v>ASNt6</v>
          </cell>
          <cell r="C87" t="str">
            <v>L-asparagine transport in/out via proton symport</v>
          </cell>
          <cell r="D87" t="str">
            <v>L-Asparagine[e] + H+[e] &lt;=&gt; L-Asparagine[c] + H+[c]</v>
          </cell>
        </row>
        <row r="88">
          <cell r="B88" t="str">
            <v>ASPCT</v>
          </cell>
          <cell r="C88" t="str">
            <v>aspartate carbamoyltransferase</v>
          </cell>
          <cell r="D88" t="str">
            <v>L-Aspartate[c] + Carbamoyl phosphate[c] =&gt; N-Carbamoyl-L-aspartate[c] + H+[c] + Phosphate[c]</v>
          </cell>
          <cell r="E88" t="str">
            <v>2.1.3.2</v>
          </cell>
        </row>
        <row r="89">
          <cell r="B89" t="str">
            <v>ASPK</v>
          </cell>
          <cell r="C89" t="str">
            <v>aspartate kinase</v>
          </cell>
          <cell r="D89" t="str">
            <v>L-Aspartate[c] + ATP[c] &lt;=&gt; 4-Phospho-L-aspartate[c] + ADP[c]</v>
          </cell>
          <cell r="E89" t="str">
            <v>2.7.2.4</v>
          </cell>
        </row>
        <row r="90">
          <cell r="B90" t="str">
            <v>ASPR</v>
          </cell>
          <cell r="C90" t="str">
            <v>aspartase racemase</v>
          </cell>
          <cell r="D90" t="str">
            <v>D-Aspartate[c] &lt;=&gt; L-Aspartate[c]</v>
          </cell>
          <cell r="E90" t="str">
            <v>5.1.1.13</v>
          </cell>
        </row>
        <row r="91">
          <cell r="B91" t="str">
            <v>ASPTA</v>
          </cell>
          <cell r="C91" t="str">
            <v>aspartate transaminase</v>
          </cell>
          <cell r="D91" t="str">
            <v>2-Oxoglutarate[c] + L-Aspartate[c] &lt;=&gt; L-Glutamate[c] + Oxaloacetate[c]</v>
          </cell>
          <cell r="E91" t="str">
            <v>2.6.1.1</v>
          </cell>
        </row>
        <row r="92">
          <cell r="B92" t="str">
            <v>ASPTA2</v>
          </cell>
          <cell r="C92" t="str">
            <v>aspartate transaminase</v>
          </cell>
          <cell r="D92" t="str">
            <v>4-Hydroxy-L-glutamate[c] + 2-Oxoglutarate[c] &lt;=&gt; D-4-Hydroxy-2-oxoglutarate[c] + L-Glutamate[c]</v>
          </cell>
        </row>
        <row r="93">
          <cell r="B93" t="str">
            <v>ASPTA4</v>
          </cell>
          <cell r="C93" t="str">
            <v>aspartate transaminase</v>
          </cell>
          <cell r="D93" t="str">
            <v>2-Oxoglutarate[c] + L-Cysteine[c] &lt;=&gt; L-Glutamate[c] + Mercaptopyruvate[c]</v>
          </cell>
        </row>
        <row r="94">
          <cell r="B94" t="str">
            <v>ASPTA5</v>
          </cell>
          <cell r="C94" t="str">
            <v>aspartate transaminase</v>
          </cell>
          <cell r="D94" t="str">
            <v>2-Oxoglutarate[c] + L-Tyrosine[c] &lt;=&gt; 3-(4-Hydroxyphenyl)pyruvate[c] + L-Glutamate[c]</v>
          </cell>
        </row>
        <row r="95">
          <cell r="B95" t="str">
            <v>ASPTA6</v>
          </cell>
          <cell r="C95" t="str">
            <v>aspartate transaminase</v>
          </cell>
          <cell r="D95" t="str">
            <v>2-Oxoglutarate[c] + L-Phenylalanine[c] &lt;=&gt; L-Glutamate[c] + Phenylpyruvate[c]</v>
          </cell>
        </row>
        <row r="96">
          <cell r="B96" t="str">
            <v>ASPTRS</v>
          </cell>
          <cell r="C96" t="str">
            <v>Aspartyl-tRNA synthetase</v>
          </cell>
          <cell r="D96" t="str">
            <v>L-Aspartate[c] + ATP[c] + tRNA(Asp)[c] =&gt; AMP[c] + L-Aspartyl-tRNA(Asp)[c] + Diphosphate[c]</v>
          </cell>
        </row>
        <row r="97">
          <cell r="B97" t="str">
            <v>ASPt6</v>
          </cell>
          <cell r="C97" t="str">
            <v>L-aspartate transport in via proton symport</v>
          </cell>
          <cell r="D97" t="str">
            <v>L-Aspartate[e] + H+[e] &lt;=&gt; L-Aspartate[c] + H+[c]</v>
          </cell>
        </row>
        <row r="98">
          <cell r="B98" t="str">
            <v>ATPM</v>
          </cell>
          <cell r="C98" t="str">
            <v>ATP maintenance requirment</v>
          </cell>
          <cell r="D98" t="str">
            <v>ATP[c] + H2O[c] =&gt; ADP[c] + H+[c] + Phosphate[c]</v>
          </cell>
          <cell r="E98" t="str">
            <v>3.6.1.15; 3.6.1.3; 3.6.1.5; 3.6.1.8; 3.6.3.1; 3.6.3.10; 3.6.3.11; 3.6.3.12; 3.6.3.14; 3.6.3.15; 3.6.3.16; 3.6.3.17; 3.6.3.18; 3.6.3.19; 3.6.3.2; 3.6.3.20; 3.6.3.21; 3.6.3.22; 3.6.3.23; 3.6.3.24; 3.6.3.25; 3.6.3.26; 3.6.3.27; 3.6.3.28; 3.6.3.29; 3.6.3.3; 3.6.3.30; 3.6.3.31; 3.6.3.32; 3.6.3.33; 3.6.3.34; 3.6.3.35; 3.6.3.36; 3.6.3.37; 3.6.3.38; 3.6.3.39; 3.6.3.4; 3.6.3.40; 3.6.3.41; 3.6.3.42; 3.6.3.43; 3.6.3.44; 3.6.3.46; 3.6.3.47; 3.6.3.48; 3.6.3.49; 3.6.3.5; 3.6.3.50; 3.6.3.51; 3.6.3.52; 3.6.3.53; 3.6.3.54; 3.6.3.6; 3.6.3.7; 3.6.3.8; 3.6.3.9; 3.6.4.1; 3.6.4.10; 3.6.4.11; 3.6.4.12; 3.6.4.13; 3.6.4.2; 3.6.4.3; 3.6.4.4; 3.6.4.5; 3.6.4.6; 3.6.4.7; 3.6.4.8; 3.6.4.9</v>
          </cell>
        </row>
        <row r="99">
          <cell r="B99" t="str">
            <v>ATPS3r</v>
          </cell>
          <cell r="C99" t="str">
            <v>ATP synthase (three protons for one ATP)</v>
          </cell>
          <cell r="D99" t="str">
            <v>ADP[c] + 3 H+[e] + Phosphate[c] &lt;=&gt; ATP[c] + H2O[c] + 2 H+[c]</v>
          </cell>
        </row>
        <row r="100">
          <cell r="B100" t="str">
            <v>BIOMASS</v>
          </cell>
          <cell r="C100" t="str">
            <v>Biomass reaction</v>
          </cell>
          <cell r="D100" t="str">
            <v>0.186 capsular polysaccharide linkage unit, LRE specific[c] + 0.075 DNA, LRE specific[c] + 0.096 Lipids specific for L.reuteri[c] + 0.018 Lipoteichoic acid specific for L.reuteri[c] + 0.145 peptidoglycan with D-lac as C-terminal residue to form pentadepsipeptide[c] + 3.311 Protein, LRE specific[c] + 0.34 RNA, LRE specific[c] + 1e-05 Pseudo Coenzyme B12 (Co-alpha-[alpha-(adenin-7-yl)]-Co-beta-adenosylcobamide)[c] + 10.2 ATP[c] + 1e-05 Biotin[c] + 0.0002 Coenzyme A[c] + 10.2 H2O[c] + 0.0002 Nicotinamide adenine dinucleotide[c] + 1e-06 Pyridoxal 5'-phosphate[c] + 1e-05 5,6,7,8-Tetrahydrofolate[c] + 1e-05 Thiamine diphosphate[c] + 0.0002 Undecaprenyl diphosphate[c] =&gt; 10.2 ADP[c] + 10.2 H+[c] + 10.2 Phosphate[c]</v>
          </cell>
        </row>
        <row r="101">
          <cell r="B101" t="str">
            <v>BTDD_RR</v>
          </cell>
          <cell r="C101" t="str">
            <v>(R,R)-butanediol dehydrogenase</v>
          </cell>
          <cell r="D101" t="str">
            <v>(R,R)-2,3-Butanediol[c] + Nicotinamide adenine dinucleotide[c] &lt;=&gt; (R)-Acetoin[c] + H+[c] + Nicotinamide adenine dinucleotide - reduced[c]</v>
          </cell>
          <cell r="E101" t="str">
            <v>1.1.1.4</v>
          </cell>
        </row>
        <row r="102">
          <cell r="B102" t="str">
            <v>BTDt1_RR</v>
          </cell>
          <cell r="C102" t="str">
            <v>(R,R)-butanediol transport in/out via diffusion reversible</v>
          </cell>
          <cell r="D102" t="str">
            <v>(R,R)-2,3-Butanediol[c] &lt;=&gt; (R,R)-2,3-Butanediol[e]</v>
          </cell>
        </row>
        <row r="103">
          <cell r="B103" t="str">
            <v>BTMAT1</v>
          </cell>
          <cell r="C103" t="str">
            <v>Butyryl-[acyl-carrier protein]:malonyl-CoA C-acyltransferase</v>
          </cell>
          <cell r="D103" t="str">
            <v>But-2-enoyl-[acyl-carrier protein][c] + H+[c] + Nicotinamide adenine dinucleotide - reduced[c] =&gt; Butyryl-[acyl-carrier protein][c] + Nicotinamide adenine dinucleotide[c]</v>
          </cell>
        </row>
        <row r="104">
          <cell r="B104" t="str">
            <v>BTNt2i</v>
          </cell>
          <cell r="C104" t="str">
            <v>Biotin uptake</v>
          </cell>
          <cell r="D104" t="str">
            <v>Biotin[e] + H+[e] =&gt; Biotin[c] + H+[c]</v>
          </cell>
        </row>
        <row r="105">
          <cell r="B105" t="str">
            <v>CBIA</v>
          </cell>
          <cell r="C105" t="str">
            <v>Cobyrinic acid a,c-diamide synthase (EC 6.3.1.-)</v>
          </cell>
          <cell r="D105" t="str">
            <v>2 ATP[c] + Cobyrinate[c] + 2 L-Glutamine[c] + 2 H2O[c] =&gt; 2 ADP[c] + Cob(II)yrinate a,c diamide[c] + 2 L-Glutamate[c] + 2 H+[c] + 2 Phosphate[c]</v>
          </cell>
        </row>
        <row r="106">
          <cell r="B106" t="str">
            <v>CBIAT</v>
          </cell>
          <cell r="C106" t="str">
            <v>Cobinamide adenyltransferase</v>
          </cell>
          <cell r="D106" t="str">
            <v>ATP[c] + Cobinamide[c] + H2O[c] &lt;=&gt; Adenosyl cobinamide[c] + Phosphate[c] + Diphosphate[c]</v>
          </cell>
          <cell r="E106" t="str">
            <v>2.5.1.17</v>
          </cell>
        </row>
        <row r="107">
          <cell r="B107" t="str">
            <v>CBLAT</v>
          </cell>
          <cell r="C107" t="str">
            <v>cob(I)alamin adenosyltransferase</v>
          </cell>
          <cell r="D107" t="str">
            <v>ATP[c] + Cob(I)alamin[c] + H+[c] &lt;=&gt; Cobamide coenzyme[c] + Inorganic triphosphate[c]</v>
          </cell>
          <cell r="E107" t="str">
            <v>2.5.1.17</v>
          </cell>
        </row>
        <row r="108">
          <cell r="B108" t="str">
            <v>CBMKr</v>
          </cell>
          <cell r="C108" t="str">
            <v>Carbamate kinase</v>
          </cell>
          <cell r="D108" t="str">
            <v>ATP[c] + CO2[c] + Ammonium[c] &lt;=&gt; ADP[c] + Carbamoyl phosphate[c] + 2 H+[c]</v>
          </cell>
          <cell r="E108" t="str">
            <v>2.7.2.2</v>
          </cell>
        </row>
        <row r="109">
          <cell r="B109" t="str">
            <v>CBPS</v>
          </cell>
          <cell r="C109" t="str">
            <v>carbamoyl-phosphate synthase (glutamine-hydrolysing)</v>
          </cell>
          <cell r="D109" t="str">
            <v>2 ATP[c] + L-Glutamine[c] + H2O[c] + Bicarbonate[c] =&gt; 2 ADP[c] + Carbamoyl phosphate[c] + L-Glutamate[c] + 2 H+[c] + Phosphate[c]</v>
          </cell>
          <cell r="E109" t="str">
            <v>6.3.5.5</v>
          </cell>
        </row>
        <row r="110">
          <cell r="B110" t="str">
            <v>CDPMEK</v>
          </cell>
          <cell r="C110" t="str">
            <v>4-(cytidine 5'-diphospho)-2-C-methyl-D-erythritol kinase</v>
          </cell>
          <cell r="D110" t="str">
            <v>4-(cytidine 5'-diphospho)-2-C-methyl-D-erythritol[c] + ATP[c] =&gt; 2-phospho-4-(cytidine 5'-diphospho)-2-C-methyl-D-erythritol[c] + ADP[c] + H+[c]</v>
          </cell>
          <cell r="E110" t="str">
            <v>2.7.1.148</v>
          </cell>
        </row>
        <row r="111">
          <cell r="B111" t="str">
            <v>CFAS180</v>
          </cell>
          <cell r="C111" t="str">
            <v>cyclopropane fatty acid synthase (n18:0)</v>
          </cell>
          <cell r="D111" t="str">
            <v>S-Adenosyl-L-methionine[c] + Octadecenoyl-ACP (n-C18:1ACP)[c] =&gt; S-Adenosyl-L-homocysteine[c] + cyclopropanoyl octadecanoyl-[acyl-carrier protein][c] + H+[c]</v>
          </cell>
        </row>
        <row r="112">
          <cell r="B112" t="str">
            <v>CHLabc</v>
          </cell>
          <cell r="C112" t="str">
            <v>choline transport via ABC system</v>
          </cell>
          <cell r="D112" t="str">
            <v>ATP[c] + Choline[e] + H2O[c] =&gt; ADP[c] + Choline[c] + H+[c] + Phosphate[c]</v>
          </cell>
        </row>
        <row r="113">
          <cell r="B113" t="str">
            <v>CHLt6</v>
          </cell>
          <cell r="C113" t="str">
            <v>choline transport in/out via proton symport</v>
          </cell>
          <cell r="D113" t="str">
            <v>Choline[e] + H+[e] &lt;=&gt; Choline[c] + H+[c]</v>
          </cell>
        </row>
        <row r="114">
          <cell r="B114" t="str">
            <v>CLPNS_LRE</v>
          </cell>
          <cell r="C114" t="str">
            <v>Cardiolipin Synthase (LRE specific)</v>
          </cell>
          <cell r="D114" t="str">
            <v>2 Phospatidylglycerol (LRE specific)[c] &lt;=&gt; Cardiolipin (LRE specific)[c] + Glycerol[c]</v>
          </cell>
        </row>
        <row r="115">
          <cell r="B115" t="str">
            <v>CMLDC</v>
          </cell>
          <cell r="C115" t="str">
            <v>4-carboxymuconolactone decarboxylase</v>
          </cell>
          <cell r="D115" t="str">
            <v>2-Carboxy-2,5-dihydro-5-oxofuran-2-acetate[c] =&gt; 5-Oxo-4,5-dihydrofuran-2-acetate[c] + CO2[c] + H+[c]</v>
          </cell>
          <cell r="E115" t="str">
            <v>4.1.1.44</v>
          </cell>
        </row>
        <row r="116">
          <cell r="B116" t="str">
            <v>CO2t</v>
          </cell>
          <cell r="C116" t="str">
            <v>CO2 transport out via diffusion</v>
          </cell>
          <cell r="D116" t="str">
            <v>CO2[e] &lt;=&gt; CO2[c]</v>
          </cell>
        </row>
        <row r="117">
          <cell r="B117" t="str">
            <v>COBALTt5</v>
          </cell>
          <cell r="C117" t="str">
            <v>cobalt transport in/out via permease (no H+)</v>
          </cell>
          <cell r="D117" t="str">
            <v>Co2+[c] &lt;=&gt; Co2+[e]</v>
          </cell>
        </row>
        <row r="118">
          <cell r="B118" t="str">
            <v>COPREC2MT</v>
          </cell>
          <cell r="C118" t="str">
            <v>Precorrin-2 C20-methyltransferase</v>
          </cell>
          <cell r="D118" t="str">
            <v>S-Adenosyl-L-methionine[c] + cobalt-precorrin2[c] =&gt; S-Adenosyl-L-homocysteine[c] + Cobalt-precorrin 3[c] + H+[c]</v>
          </cell>
        </row>
        <row r="119">
          <cell r="B119" t="str">
            <v>COPREC3MT</v>
          </cell>
          <cell r="C119" t="str">
            <v>Precorrin-3B C17-methyltransferase (EC 2.1.1.131)</v>
          </cell>
          <cell r="D119" t="str">
            <v>S-Adenosyl-L-methionine[c] + Cobalt-precorrin 3[c] =&gt; S-Adenosyl-L-homocysteine[c] + Cobalt-precorrin 4[c]</v>
          </cell>
        </row>
        <row r="120">
          <cell r="B120" t="str">
            <v>COPREC4MT</v>
          </cell>
          <cell r="C120" t="str">
            <v>Precorrin-4 C11-methyltransferase (EC 2.1.1.133)</v>
          </cell>
          <cell r="D120" t="str">
            <v>S-Adenosyl-L-methionine[c] + Cobalt-precorrin 4[c] =&gt; S-Adenosyl-L-homocysteine[c] + Cobalt-precorrin 5[c] + H+[c]</v>
          </cell>
        </row>
        <row r="121">
          <cell r="B121" t="str">
            <v>COPREC6MT</v>
          </cell>
          <cell r="C121" t="str">
            <v>Precorrin-6Y C5,15-methyltransferase [decarboxylating] E.C. 2.1.1.132</v>
          </cell>
          <cell r="D121" t="str">
            <v>2 S-Adenosyl-L-methionine[c] + Cobalt-dihydro-precorrin 6[c] =&gt; 2 S-Adenosyl-L-homocysteine[c] + CO2[c] + Cobalt-precorrin 8[c] + H+[c]</v>
          </cell>
        </row>
        <row r="122">
          <cell r="B122" t="str">
            <v>COPREC6R2</v>
          </cell>
          <cell r="C122" t="str">
            <v>Precorrin-6X reductase (EC 1.3.1.54)</v>
          </cell>
          <cell r="D122" t="str">
            <v>Cobalt-precorrin 6[c] + H+[c] + Nicotinamide adenine dinucleotide phosphate - reduced[c] =&gt; Cobalt-dihydro-precorrin 6[c] + Nicotinamide adenine dinucleotide phosphate[c]</v>
          </cell>
        </row>
        <row r="123">
          <cell r="B123" t="str">
            <v>COPRECI</v>
          </cell>
          <cell r="C123" t="str">
            <v>Precorrin-8X methylmutase (EC 5.4.1.2)</v>
          </cell>
          <cell r="D123" t="str">
            <v>Cobalt-precorrin 8[c] =&gt; Cobyrinate[c]</v>
          </cell>
        </row>
        <row r="124">
          <cell r="B124" t="str">
            <v>COPRECT</v>
          </cell>
          <cell r="C124" t="str">
            <v>Precorrin-6A synthase (deacetylating)</v>
          </cell>
          <cell r="D124" t="str">
            <v>S-Adenosyl-L-methionine[c] + Cobalt-precorrin 5[c] + H2O[c] =&gt; Acetaldehyde[c] + S-Adenosyl-L-homocysteine[c] + Cobalt-precorrin 6[c] + H+[c]</v>
          </cell>
        </row>
        <row r="125">
          <cell r="B125" t="str">
            <v>CPSS_LRE</v>
          </cell>
          <cell r="C125" t="str">
            <v>CPS synthase complex, LRE specific</v>
          </cell>
          <cell r="D125" t="str">
            <v>4 H2O[c] + 4 UDPglucose[c] &lt;=&gt; capsular polysaccharide linkage unit, LRE specific[c] + 5 H+[c] + 3 UDP[c] + UMP[c]</v>
          </cell>
        </row>
        <row r="126">
          <cell r="B126" t="str">
            <v>CSND</v>
          </cell>
          <cell r="C126" t="str">
            <v>Cytosine deaminase</v>
          </cell>
          <cell r="D126" t="str">
            <v>Cytosine[c] + H2O[c] + H+[c] =&gt; Ammonium[c] + Uracil[c]</v>
          </cell>
          <cell r="E126" t="str">
            <v>3.5.4.1</v>
          </cell>
        </row>
        <row r="127">
          <cell r="B127" t="str">
            <v>CTPS1__1</v>
          </cell>
          <cell r="C127" t="str">
            <v>CTP synthase (NH3)</v>
          </cell>
          <cell r="D127" t="str">
            <v>ATP[c] + Ammonium[c] + UTP[c] =&gt; ADP[c] + CTP[c] + 2 H+[c] + Phosphate[c]</v>
          </cell>
        </row>
        <row r="128">
          <cell r="B128" t="str">
            <v>CTPS2</v>
          </cell>
          <cell r="C128" t="str">
            <v>CTP synthase (glutamine)</v>
          </cell>
          <cell r="D128" t="str">
            <v>ATP[c] + L-Glutamine[c] + H2O[c] + UTP[c] =&gt; ADP[c] + CTP[c] + L-Glutamate[c] + 2 H+[c] + Phosphate[c]</v>
          </cell>
          <cell r="E128" t="str">
            <v>6.3.4.2</v>
          </cell>
        </row>
        <row r="129">
          <cell r="B129" t="str">
            <v>CYSDabc</v>
          </cell>
          <cell r="C129" t="str">
            <v>D-cysteine transport via ABC system</v>
          </cell>
          <cell r="D129" t="str">
            <v>ATP[c] + D-Cysteine[e] + H2O[c] =&gt; ADP[c] + D-Cysteine[c] + H+[c] + Phosphate[c]</v>
          </cell>
        </row>
        <row r="130">
          <cell r="B130" t="str">
            <v>CYSS</v>
          </cell>
          <cell r="C130" t="str">
            <v>cysteine synthase</v>
          </cell>
          <cell r="D130" t="str">
            <v>O-Acetyl-L-serine[c] + Hydrogen sulfide[c] =&gt; Acetate[c] + L-Cysteine[c] + H+[c]</v>
          </cell>
          <cell r="E130" t="str">
            <v>2.5.1.47; 2.5.1.65</v>
          </cell>
        </row>
        <row r="131">
          <cell r="B131" t="str">
            <v>CYSTGL</v>
          </cell>
          <cell r="C131" t="str">
            <v>cystathionine g-lyase</v>
          </cell>
          <cell r="D131" t="str">
            <v>L-Cystathionine[c] + H2O[c] =&gt; 2-Oxobutanoate[c] + L-Cysteine[c] + Ammonium[c]</v>
          </cell>
          <cell r="E131" t="str">
            <v>4.4.1.1</v>
          </cell>
        </row>
        <row r="132">
          <cell r="B132" t="str">
            <v>CYSTL</v>
          </cell>
          <cell r="C132" t="str">
            <v>cystathionine b-lyase</v>
          </cell>
          <cell r="D132" t="str">
            <v>L-Cystathionine[c] + H2O[c] =&gt; L-Homocysteine[c] + Ammonium[c] + Pyruvate[c]</v>
          </cell>
          <cell r="E132" t="str">
            <v>4.4.1.8</v>
          </cell>
        </row>
        <row r="133">
          <cell r="B133" t="str">
            <v>CYSTL2</v>
          </cell>
          <cell r="C133" t="str">
            <v>cystathionine gamma/beta-lyase</v>
          </cell>
          <cell r="D133" t="str">
            <v>H2O[c] + L-Homocysteine[c] =&gt; 2-Oxobutanoate[c] + Hydrogen sulfide[c] + Ammonium[c]</v>
          </cell>
        </row>
        <row r="134">
          <cell r="B134" t="str">
            <v>CYSTRS</v>
          </cell>
          <cell r="C134" t="str">
            <v>Cysteinyl-tRNA synthetase</v>
          </cell>
          <cell r="D134" t="str">
            <v>ATP[c] + L-Cysteine[c] + tRNA(Cys)[c] =&gt; AMP[c] + L-Cysteinyl-tRNA(Cys)[c] + Diphosphate[c]</v>
          </cell>
        </row>
        <row r="135">
          <cell r="B135" t="str">
            <v>CYSTS</v>
          </cell>
          <cell r="C135" t="str">
            <v>Cystathionine beta synthase</v>
          </cell>
          <cell r="D135" t="str">
            <v>L-Homocysteine[c] + L-Serine[c] =&gt; L-Cystathionine[c] + H2O[c]</v>
          </cell>
          <cell r="E135" t="str">
            <v>4.2.1.22</v>
          </cell>
        </row>
        <row r="136">
          <cell r="B136" t="str">
            <v>CYSabc</v>
          </cell>
          <cell r="C136" t="str">
            <v>L-cysteine transport via ABC system</v>
          </cell>
          <cell r="D136" t="str">
            <v>ATP[c] + L-Cysteine[e] + H2O[c] =&gt; ADP[c] + L-Cysteine[c] + H+[c] + Phosphate[c]</v>
          </cell>
          <cell r="E136" t="str">
            <v>3.6.3.21</v>
          </cell>
        </row>
        <row r="137">
          <cell r="B137" t="str">
            <v>CYSt6</v>
          </cell>
          <cell r="C137" t="str">
            <v>L-cysteine transport in via proton symport</v>
          </cell>
          <cell r="D137" t="str">
            <v>L-Cysteine[e] + H+[e] &lt;=&gt; L-Cysteine[c] + H+[c]</v>
          </cell>
        </row>
        <row r="138">
          <cell r="B138" t="str">
            <v>CYTB_B2</v>
          </cell>
          <cell r="C138" t="str">
            <v>menaquinol oxidase (7:1 protons)</v>
          </cell>
          <cell r="D138" t="str">
            <v>2 H+[c] + Menaquinol 7[c] + 0.5 O2[c] =&gt; H2O[c] + 2 H+[e] + Menaquinone 7[c]</v>
          </cell>
        </row>
        <row r="139">
          <cell r="B139" t="str">
            <v>CYTD</v>
          </cell>
          <cell r="C139" t="str">
            <v>cytidine deaminase</v>
          </cell>
          <cell r="D139" t="str">
            <v>Cytidine[c] + H2O[c] + H+[c] =&gt; Ammonium[c] + Uridine[c]</v>
          </cell>
          <cell r="E139" t="str">
            <v>3.5.4.5</v>
          </cell>
        </row>
        <row r="140">
          <cell r="B140" t="str">
            <v>CYTDK1</v>
          </cell>
          <cell r="C140" t="str">
            <v>cytidine kinase (ATP)</v>
          </cell>
          <cell r="D140" t="str">
            <v>ATP[c] + Cytidine[c] =&gt; ADP[c] + CMP[c] + H+[c]</v>
          </cell>
          <cell r="E140" t="str">
            <v>2.7.1.213; 2.7.1.48</v>
          </cell>
        </row>
        <row r="141">
          <cell r="B141" t="str">
            <v>CYTDK2</v>
          </cell>
          <cell r="C141" t="str">
            <v>cytidine kinase (GTP)</v>
          </cell>
          <cell r="D141" t="str">
            <v>Cytidine[c] + GTP[c] =&gt; CMP[c] + GDP[c] + H+[c]</v>
          </cell>
          <cell r="E141" t="str">
            <v>2.7.1.213; 2.7.1.48</v>
          </cell>
        </row>
        <row r="142">
          <cell r="B142" t="str">
            <v>CYTDK3</v>
          </cell>
          <cell r="C142" t="str">
            <v>cytidine kinase (ITP)</v>
          </cell>
          <cell r="D142" t="str">
            <v>Cytidine[c] + ITP[c] =&gt; CMP[c] + H+[c] + IDP[c]</v>
          </cell>
        </row>
        <row r="143">
          <cell r="B143" t="str">
            <v>CYTK1</v>
          </cell>
          <cell r="C143" t="str">
            <v>cytidylate kinase (CMP)</v>
          </cell>
          <cell r="D143" t="str">
            <v>ATP[c] + CMP[c] &lt;=&gt; ADP[c] + CDP[c]</v>
          </cell>
          <cell r="E143" t="str">
            <v>2.7.4.14; 2.7.4.25</v>
          </cell>
        </row>
        <row r="144">
          <cell r="B144" t="str">
            <v>CYTK2</v>
          </cell>
          <cell r="C144" t="str">
            <v>cytidylate kinase (dCMP)</v>
          </cell>
          <cell r="D144" t="str">
            <v>ATP[c] + dCMP[c] &lt;=&gt; ADP[c] + dCDP[c]</v>
          </cell>
          <cell r="E144" t="str">
            <v>2.7.4.13; 2.7.4.14; 2.7.4.25</v>
          </cell>
        </row>
        <row r="145">
          <cell r="B145" t="str">
            <v>Coabc</v>
          </cell>
          <cell r="C145" t="str">
            <v>Cobalt transport via ABC system</v>
          </cell>
          <cell r="D145" t="str">
            <v>ATP[c] + Co2+[e] + H2O[c] =&gt; ADP[c] + Co2+[c] + H+[c] + Phosphate[c]</v>
          </cell>
        </row>
        <row r="146">
          <cell r="B146" t="str">
            <v>Cuabc</v>
          </cell>
          <cell r="C146" t="str">
            <v>Copper transport via ABC system</v>
          </cell>
          <cell r="D146" t="str">
            <v>ATP[c] + Cu2+[e] + H2O[c] =&gt; ADP[c] + Cu2+[c] + H+[c] + Phosphate[c]</v>
          </cell>
        </row>
        <row r="147">
          <cell r="B147" t="str">
            <v>Cut1</v>
          </cell>
          <cell r="C147" t="str">
            <v>Copper export via ATPase</v>
          </cell>
          <cell r="D147" t="str">
            <v>ATP[c] + Cu2+[c] + H2O[c] =&gt; ADP[c] + Cu2+[e] + H+[c] + Phosphate[c]</v>
          </cell>
          <cell r="E147" t="str">
            <v>3.6.3.-; 3.6.3.4</v>
          </cell>
        </row>
        <row r="148">
          <cell r="B148" t="str">
            <v>DADA</v>
          </cell>
          <cell r="C148" t="str">
            <v>Deoxyadenosine deaminase</v>
          </cell>
          <cell r="D148" t="str">
            <v>Deoxyadenosine[c] + H2O[c] + H+[c] =&gt; Deoxyinosine[c] + Ammonium[c]</v>
          </cell>
          <cell r="E148" t="str">
            <v>3.5.4.4</v>
          </cell>
        </row>
        <row r="149">
          <cell r="B149" t="str">
            <v>DADNK</v>
          </cell>
          <cell r="C149" t="str">
            <v>deoxyadenosine kinase</v>
          </cell>
          <cell r="D149" t="str">
            <v>ATP[c] + Deoxyadenosine[c] =&gt; ADP[c] + dAMP[c] + H+[c]</v>
          </cell>
          <cell r="E149" t="str">
            <v>2.7.1.145; 2.7.1.74; 2.7.1.76</v>
          </cell>
        </row>
        <row r="150">
          <cell r="B150" t="str">
            <v>DAGGT_LRE</v>
          </cell>
          <cell r="C150" t="str">
            <v>1,2-diacylglycerol 3-glucosyltransferase (LRE specific)</v>
          </cell>
          <cell r="D150" t="str">
            <v>1,2-Diacylglycerol, LRE specific[c] + 2 UDPglucose[c] =&gt; Diglucosyl-diacylglycerol[c] + 2 H+[c] + 2 UDP[c]</v>
          </cell>
        </row>
        <row r="151">
          <cell r="B151" t="str">
            <v>DAGK_LRE</v>
          </cell>
          <cell r="C151" t="str">
            <v>Diacylglycerol kinase (LRE specific)</v>
          </cell>
          <cell r="D151" t="str">
            <v>ATP[c] + 1,2-Diacylglycerol, LRE specific[c] =&gt; ADP[c] + H+[c] + phosphatidic acid (Lb reuteri specific)[c]</v>
          </cell>
        </row>
        <row r="152">
          <cell r="B152" t="str">
            <v>DALTAL</v>
          </cell>
          <cell r="C152" t="str">
            <v>D-Alanine lipoteichoic acid ligase</v>
          </cell>
          <cell r="D152" t="str">
            <v>lipoteichoic acid (n=25, LRE specific)[c] + 20 D-Alanine[c] + 20 ATP[c] =&gt; Lipoteichoic acid (n=25) with 100% D-Ala substitutions (LRE specific)[c] + 20 ADP[c] + 20 Phosphate[c]</v>
          </cell>
        </row>
        <row r="153">
          <cell r="B153" t="str">
            <v>DAPDC</v>
          </cell>
          <cell r="C153" t="str">
            <v>diaminopimelate decarboxylase</v>
          </cell>
          <cell r="D153" t="str">
            <v>meso-2,6-Diaminoheptanedioate[c] + H+[c] =&gt; CO2[c] + L-Lysine[c]</v>
          </cell>
          <cell r="E153" t="str">
            <v>4.1.1.20</v>
          </cell>
        </row>
        <row r="154">
          <cell r="B154" t="str">
            <v>DAPE</v>
          </cell>
          <cell r="C154" t="str">
            <v>diaminopimelate epimerase</v>
          </cell>
          <cell r="D154" t="str">
            <v>LL-2,6-Diaminoheptanedioate[c] &lt;=&gt; meso-2,6-Diaminoheptanedioate[c]</v>
          </cell>
          <cell r="E154" t="str">
            <v>5.1.1.7</v>
          </cell>
        </row>
        <row r="155">
          <cell r="B155" t="str">
            <v>DASYN_LRE</v>
          </cell>
          <cell r="C155" t="str">
            <v>CDP-Diacylglycerol synthetase (LRE specific)</v>
          </cell>
          <cell r="D155" t="str">
            <v>CTP[c] + H+[c] + phosphatidic acid (Lb reuteri specific)[c] &lt;=&gt; CDPdiacylglycerol (LRE specific)[c] + Diphosphate[c]</v>
          </cell>
        </row>
        <row r="156">
          <cell r="B156" t="str">
            <v>DB4PS</v>
          </cell>
          <cell r="C156" t="str">
            <v>3,4-Dihydroxy-2-butanone-4-phosphate</v>
          </cell>
          <cell r="D156" t="str">
            <v>D-Ribulose 5-phosphate[c] =&gt; 3,4-dihydroxy-2-butanone 4-phosphate[c] + Formate[c] + H+[c]</v>
          </cell>
          <cell r="E156" t="str">
            <v>4.1.99.12</v>
          </cell>
        </row>
        <row r="157">
          <cell r="B157" t="str">
            <v>DCYTD</v>
          </cell>
          <cell r="C157" t="str">
            <v>deoxycytidine deaminase</v>
          </cell>
          <cell r="D157" t="str">
            <v>Deoxycytidine[c] + H2O[c] + H+[c] =&gt; Deoxyuridine[c] + Ammonium[c]</v>
          </cell>
          <cell r="E157" t="str">
            <v>3.5.4.5</v>
          </cell>
        </row>
        <row r="158">
          <cell r="B158" t="str">
            <v>DDMAT5</v>
          </cell>
          <cell r="C158" t="str">
            <v>Dodecanoyl-[acyl-carrier protein]: malonyl-CoA  C-acyltransferase</v>
          </cell>
          <cell r="D158" t="str">
            <v>trans-Dodec-2-enoyl-[acyl-carrier protein][c] + H+[c] + Nicotinamide adenine dinucleotide - reduced[c] =&gt; Dodecanoyl-[acyl-carrier protein][c] + Nicotinamide adenine dinucleotide[c]</v>
          </cell>
        </row>
        <row r="159">
          <cell r="B159" t="str">
            <v>DEMAT4</v>
          </cell>
          <cell r="C159" t="str">
            <v>Decanoyl-[acyl-carrier protein]:malonyl-CoA  C-acyltransferase</v>
          </cell>
          <cell r="D159" t="str">
            <v>trans-Dec-2-enoyl-[acyl-carrier protein][c] + H+[c] + Nicotinamide adenine dinucleotide - reduced[c] =&gt; Decanoyl-[acyl-carrier protein][c] + Nicotinamide adenine dinucleotide[c]</v>
          </cell>
        </row>
        <row r="160">
          <cell r="B160" t="str">
            <v>DGNSK</v>
          </cell>
          <cell r="C160" t="str">
            <v>deoxyguanosine kinase</v>
          </cell>
          <cell r="D160" t="str">
            <v>ATP[c] + Deoxyguanosine[c] =&gt; ADP[c] + dGMP[c] + H+[c]</v>
          </cell>
          <cell r="E160" t="str">
            <v>2.7.1.113; 2.7.1.145; 2.7.1.74</v>
          </cell>
        </row>
        <row r="161">
          <cell r="B161" t="str">
            <v>DHAt</v>
          </cell>
          <cell r="C161" t="str">
            <v>Dihydroxyacetone transport via facilitated diffusion</v>
          </cell>
          <cell r="D161" t="str">
            <v>Dihydroxyacetone[e] &lt;=&gt; Dihydroxyacetone[c]</v>
          </cell>
        </row>
        <row r="162">
          <cell r="B162" t="str">
            <v>DHDPRy</v>
          </cell>
          <cell r="C162" t="str">
            <v>dihydrodipicolinate reductase (NADPH)</v>
          </cell>
          <cell r="D162" t="str">
            <v>2,3-Dihydrodipicolinate[c] + H+[c] + Nicotinamide adenine dinucleotide phosphate - reduced[c] =&gt; Nicotinamide adenine dinucleotide phosphate[c] + 2,3,4,5-Tetrahydrodipicolinate[c]</v>
          </cell>
          <cell r="E162" t="str">
            <v>1.3.1.26</v>
          </cell>
        </row>
        <row r="163">
          <cell r="B163" t="str">
            <v>DHDPS</v>
          </cell>
          <cell r="C163" t="str">
            <v>dihydrodipicolinate synthase</v>
          </cell>
          <cell r="D163" t="str">
            <v>L-Aspartate 4-semialdehyde[c] + Pyruvate[c] =&gt; 2,3-Dihydrodipicolinate[c] + 2 H2O[c] + H+[c]</v>
          </cell>
        </row>
        <row r="164">
          <cell r="B164" t="str">
            <v>DHFOR2</v>
          </cell>
          <cell r="C164" t="str">
            <v>dihydrofolate reductase</v>
          </cell>
          <cell r="D164" t="str">
            <v>7,8-Dihydrofolate[c] + Nicotinamide adenine dinucleotide phosphate[c] &lt;=&gt; Folate[c] + H+[c] + Nicotinamide adenine dinucleotide phosphate - reduced[c]</v>
          </cell>
        </row>
        <row r="165">
          <cell r="B165" t="str">
            <v>DHFR</v>
          </cell>
          <cell r="C165" t="str">
            <v>dihydrofolate reductase</v>
          </cell>
          <cell r="D165" t="str">
            <v>7,8-Dihydrofolate[c] + H+[c] + Nicotinamide adenine dinucleotide phosphate - reduced[c] &lt;=&gt; Nicotinamide adenine dinucleotide phosphate[c] + 5,6,7,8-Tetrahydrofolate[c]</v>
          </cell>
          <cell r="E165" t="str">
            <v>1.5.1.3</v>
          </cell>
        </row>
        <row r="166">
          <cell r="B166" t="str">
            <v>DHFS</v>
          </cell>
          <cell r="C166" t="str">
            <v>dihydrofolate synthase</v>
          </cell>
          <cell r="D166" t="str">
            <v>ATP[c] + Dihydropteroate[c] + L-Glutamate[c] =&gt; ADP[c] + 7,8-Dihydrofolate[c] + H+[c] + Phosphate[c]</v>
          </cell>
          <cell r="E166" t="str">
            <v>6.3.2.12; 6.3.2.17</v>
          </cell>
        </row>
        <row r="167">
          <cell r="B167" t="str">
            <v>DHNPA</v>
          </cell>
          <cell r="C167" t="str">
            <v>dihydroneopterin aldolase</v>
          </cell>
          <cell r="D167" t="str">
            <v>2-Amino-4-hydroxy-6-(D-erythro-1,2,3-trihydroxypropyl)-7,8-dihydropteridine[c] =&gt; 2-Amino-4-hydroxy-6-hydroxymethyl-7,8-dihydropteridine[c] + Glycolaldehyde[c]</v>
          </cell>
        </row>
        <row r="168">
          <cell r="B168" t="str">
            <v>DHORD6</v>
          </cell>
          <cell r="C168" t="str">
            <v>dihydoorotic acid dehydrogenase (NAD)</v>
          </cell>
          <cell r="D168" t="str">
            <v>(S)-Dihydroorotate[c] + Nicotinamide adenine dinucleotide[c] &lt;=&gt; H+[c] + Nicotinamide adenine dinucleotide - reduced[c] + Orotate[c]</v>
          </cell>
        </row>
        <row r="169">
          <cell r="B169" t="str">
            <v>DHORTS</v>
          </cell>
          <cell r="C169" t="str">
            <v>dihydroorotase</v>
          </cell>
          <cell r="D169" t="str">
            <v>(S)-Dihydroorotate[c] + H2O[c] &lt;=&gt; N-Carbamoyl-L-aspartate[c] + H+[c]</v>
          </cell>
          <cell r="E169" t="str">
            <v>3.5.2.3</v>
          </cell>
        </row>
        <row r="170">
          <cell r="B170" t="str">
            <v>DHPPDA__1</v>
          </cell>
          <cell r="C170" t="str">
            <v>diaminohydroxyphosphoribosylaminopyrimidine deaminase</v>
          </cell>
          <cell r="D170" t="str">
            <v>2,5-Diamino-6-hydroxy-4-(5'-phosphoribosylamino)-pyrimidine[c] + H2O[c] + H+[c] =&gt; 5-Amino-6-(5'-phosphoribosylamino)uracil[c] + Ammonium[c]</v>
          </cell>
        </row>
        <row r="171">
          <cell r="B171" t="str">
            <v>DHPS3</v>
          </cell>
          <cell r="C171" t="str">
            <v>dihydropteroate synthase</v>
          </cell>
          <cell r="D171" t="str">
            <v>2-Amino-4-hydroxy-6-hydroxymethyl-7,8-dihydropteridine diphosphate[c] + 4-Aminobenzoate[c] =&gt; Dihydropteroate[c] + Diphosphate[c]</v>
          </cell>
        </row>
        <row r="172">
          <cell r="B172" t="str">
            <v>DIACTt</v>
          </cell>
          <cell r="C172" t="str">
            <v>diacetyl diffusion</v>
          </cell>
          <cell r="D172" t="str">
            <v>Diacetyl[c] &lt;=&gt; Diacetyl[e]</v>
          </cell>
        </row>
        <row r="173">
          <cell r="B173" t="str">
            <v>DINSK</v>
          </cell>
          <cell r="C173" t="str">
            <v>deoxyinosine kinase</v>
          </cell>
          <cell r="D173" t="str">
            <v>ATP[c] + Deoxyinosine[c] =&gt; ADP[c] + dIMP[c]</v>
          </cell>
        </row>
        <row r="174">
          <cell r="B174" t="str">
            <v>DKGLCNR1</v>
          </cell>
          <cell r="C174" t="str">
            <v>2,5-diketo-D-gluconate reductase</v>
          </cell>
          <cell r="D174" t="str">
            <v>2,5-diketo-D-gluconate[c] + H+[c] + Nicotinamide adenine dinucleotide phosphate - reduced[c] =&gt; 2-Dehydro-L-gulonate[c] + Nicotinamide adenine dinucleotide phosphate[c]</v>
          </cell>
        </row>
        <row r="175">
          <cell r="B175" t="str">
            <v>DKGLCNR2x</v>
          </cell>
          <cell r="C175" t="str">
            <v>2,5-diketo-D-gluconate reductase (NADH)</v>
          </cell>
          <cell r="D175" t="str">
            <v>2,5-diketo-D-gluconate[c] + H+[c] + Nicotinamide adenine dinucleotide - reduced[c] =&gt; 5-Dehydro-D-gluconate[c] + Nicotinamide adenine dinucleotide[c]</v>
          </cell>
        </row>
        <row r="176">
          <cell r="B176" t="str">
            <v>DKGLCNR2y</v>
          </cell>
          <cell r="C176" t="str">
            <v>2,5-diketo-D-gluconate reductase (NADPH)</v>
          </cell>
          <cell r="D176" t="str">
            <v>2,5-diketo-D-gluconate[c] + H+[c] + Nicotinamide adenine dinucleotide phosphate - reduced[c] =&gt; 5-Dehydro-D-gluconate[c] + Nicotinamide adenine dinucleotide phosphate[c]</v>
          </cell>
          <cell r="E176" t="str">
            <v>1.1.1.-; 1.1.1.215</v>
          </cell>
        </row>
        <row r="177">
          <cell r="B177" t="str">
            <v>DMATT</v>
          </cell>
          <cell r="C177" t="str">
            <v>dimethylallyltranstransferase</v>
          </cell>
          <cell r="D177" t="str">
            <v>Dimethylallyl diphosphate[c] + Isopentenyl diphosphate[c] =&gt; Geranyl diphosphate[c] + Diphosphate[c]</v>
          </cell>
          <cell r="E177" t="str">
            <v>2.5.1.1</v>
          </cell>
        </row>
        <row r="178">
          <cell r="B178" t="str">
            <v>DM_2ahbut_c</v>
          </cell>
          <cell r="C178" t="str">
            <v>Demand for secretion of (S)-2-Aceto-2-hydroxybutanoate</v>
          </cell>
          <cell r="D178" t="str">
            <v>(S)-2-Aceto-2-hydroxybutanoate[c] =&gt; </v>
          </cell>
        </row>
        <row r="179">
          <cell r="B179" t="str">
            <v>DNAS_LRE</v>
          </cell>
          <cell r="C179" t="str">
            <v>DNA synthesis, LRE specific</v>
          </cell>
          <cell r="D179" t="str">
            <v>1.37 ATP[c] + 0.31028 dATP[c] + 0.18091 dCTP[c] + 0.20748 dGTP[c] + 0.30132 dTTP[c] + 1.37 H2O[c] =&gt; DNA, LRE specific[c] + 1.37 ADP[c] + 1.37 H+[c] + 1.37 Phosphate[c] + Diphosphate[c]</v>
          </cell>
        </row>
        <row r="180">
          <cell r="B180" t="str">
            <v>DNMPPA</v>
          </cell>
          <cell r="C180" t="str">
            <v>Dihydroneopterin monophosphate dephosphorylase</v>
          </cell>
          <cell r="D180" t="str">
            <v>Dihydroneopterin monophosphate[c] + H2O[c] =&gt; 2-Amino-4-hydroxy-6-(D-erythro-1,2,3-trihydroxypropyl)-7,8-dihydropteridine[c] + Phosphate[c]</v>
          </cell>
          <cell r="E180" t="str">
            <v>3.6.1.-</v>
          </cell>
        </row>
        <row r="181">
          <cell r="B181" t="str">
            <v>DNTPPA</v>
          </cell>
          <cell r="C181" t="str">
            <v>Dihydroneopterin triphosphate pyrophosphatase</v>
          </cell>
          <cell r="D181" t="str">
            <v>2-Amino-4-hydroxy-6-(erythro-1,2,3-trihydroxypropyl)dihydropteridine triphosphate[c] + H2O[c] =&gt; Dihydroneopterin monophosphate[c] + H+[c] + Diphosphate[c]</v>
          </cell>
          <cell r="E181" t="str">
            <v>3.6.1.67</v>
          </cell>
        </row>
        <row r="182">
          <cell r="B182" t="str">
            <v>DPCOAK</v>
          </cell>
          <cell r="C182" t="str">
            <v>dephospho-CoA kinase</v>
          </cell>
          <cell r="D182" t="str">
            <v>ATP[c] + Dephospho-CoA[c] =&gt; ADP[c] + Coenzyme A[c] + H+[c]</v>
          </cell>
          <cell r="E182" t="str">
            <v>2.7.1.24</v>
          </cell>
        </row>
        <row r="183">
          <cell r="B183" t="str">
            <v>DPMVD</v>
          </cell>
          <cell r="C183" t="str">
            <v>diphosphomevalonate decarboxylase</v>
          </cell>
          <cell r="D183" t="str">
            <v>(R)-5-Diphosphomevalonate[c] + ATP[c] =&gt; ADP[c] + CO2[c] + Isopentenyl diphosphate[c] + Phosphate[c]</v>
          </cell>
          <cell r="E183" t="str">
            <v>4.1.1.33</v>
          </cell>
        </row>
        <row r="184">
          <cell r="B184" t="str">
            <v>DPR</v>
          </cell>
          <cell r="C184" t="str">
            <v>2-dehydropantoate 2-reductase</v>
          </cell>
          <cell r="D184" t="str">
            <v>2-Dehydropantoate[c] + H+[c] + Nicotinamide adenine dinucleotide phosphate - reduced[c] =&gt; Nicotinamide adenine dinucleotide phosphate[c] + (R)-Pantoate[c]</v>
          </cell>
          <cell r="E184" t="str">
            <v>1.1.1.169</v>
          </cell>
        </row>
        <row r="185">
          <cell r="B185" t="str">
            <v>DRBK</v>
          </cell>
          <cell r="C185" t="str">
            <v>Deoxyribokinase</v>
          </cell>
          <cell r="D185" t="str">
            <v>ATP[c] + Deoxyribose[c] =&gt; 2-Deoxy-D-ribose 5-phosphate[c] + ADP[c] + H+[c]</v>
          </cell>
          <cell r="E185" t="str">
            <v>2.7.1.15</v>
          </cell>
        </row>
        <row r="186">
          <cell r="B186" t="str">
            <v>DRIBt2</v>
          </cell>
          <cell r="C186" t="str">
            <v>deoxyribose transport in via proton symporter</v>
          </cell>
          <cell r="D186" t="str">
            <v>Deoxyribose[e] + H+[e] =&gt; Deoxyribose[c] + H+[c]</v>
          </cell>
        </row>
        <row r="187">
          <cell r="B187" t="str">
            <v>DRPA</v>
          </cell>
          <cell r="C187" t="str">
            <v>deoxyribose-phosphate aldolase</v>
          </cell>
          <cell r="D187" t="str">
            <v>2-Deoxy-D-ribose 5-phosphate[c] =&gt; Acetaldehyde[c] + Glyceraldehyde 3-phosphate[c]</v>
          </cell>
          <cell r="E187" t="str">
            <v>4.1.2.4</v>
          </cell>
        </row>
        <row r="188">
          <cell r="B188" t="str">
            <v>DTMPK</v>
          </cell>
          <cell r="C188" t="str">
            <v>dTMP kinase</v>
          </cell>
          <cell r="D188" t="str">
            <v>ATP[c] + dTMP[c] &lt;=&gt; ADP[c] + dTDP[c]</v>
          </cell>
          <cell r="E188" t="str">
            <v>2.7.4.12; 2.7.4.13; 2.7.4.9</v>
          </cell>
        </row>
        <row r="189">
          <cell r="B189" t="str">
            <v>DURADy</v>
          </cell>
          <cell r="C189" t="str">
            <v>dihydrouracil dehydrogenase (NADP)</v>
          </cell>
          <cell r="D189" t="str">
            <v>5,6-dihydrouracil[c] + Nicotinamide adenine dinucleotide phosphate[c] &lt;=&gt; H+[c] + Nicotinamide adenine dinucleotide phosphate - reduced[c] + Uracil[c]</v>
          </cell>
        </row>
        <row r="190">
          <cell r="B190" t="str">
            <v>DURIK1</v>
          </cell>
          <cell r="C190" t="str">
            <v>deoxyuridine kinase (ATP:Deoxyuridine)</v>
          </cell>
          <cell r="D190" t="str">
            <v>ATP[c] + Deoxyuridine[c] =&gt; ADP[c] + dUMP[c] + H+[c]</v>
          </cell>
          <cell r="E190" t="str">
            <v>2.7.1.145; 2.7.1.21</v>
          </cell>
        </row>
        <row r="191">
          <cell r="B191" t="str">
            <v>DURIPP</v>
          </cell>
          <cell r="C191" t="str">
            <v>purine-nucleoside phosphatase (deoxyuridine)</v>
          </cell>
          <cell r="D191" t="str">
            <v>Deoxyuridine[c] + Phosphate[c] &lt;=&gt; 2-Deoxy-D-ribose 1-phosphate[c] + Uracil[c]</v>
          </cell>
          <cell r="E191" t="str">
            <v>2.4.2.1; 2.4.2.2; 2.4.2.3; 2.4.2.4</v>
          </cell>
        </row>
        <row r="192">
          <cell r="B192" t="str">
            <v>DUTPDP</v>
          </cell>
          <cell r="C192" t="str">
            <v>dUTP diphosphatase</v>
          </cell>
          <cell r="D192" t="str">
            <v>dUTP[c] + H2O[c] =&gt; dUMP[c] + H+[c] + Diphosphate[c]</v>
          </cell>
          <cell r="E192" t="str">
            <v>3.6.1.-; 3.6.1.23; 3.6.1.9</v>
          </cell>
        </row>
        <row r="193">
          <cell r="B193" t="str">
            <v>DXPS</v>
          </cell>
          <cell r="C193" t="str">
            <v>1-deoxy-D-xylulose 5-phosphate synthase</v>
          </cell>
          <cell r="D193" t="str">
            <v>Glyceraldehyde 3-phosphate[c] + H+[c] + Pyruvate[c] =&gt; CO2[c] + 1-deoxy-D-xylulose 5-phosphate[c]</v>
          </cell>
          <cell r="E193" t="str">
            <v>2.2.1.7</v>
          </cell>
        </row>
        <row r="194">
          <cell r="B194" t="str">
            <v>D_LACt2</v>
          </cell>
          <cell r="C194" t="str">
            <v>D-lactate transport via proton symport</v>
          </cell>
          <cell r="D194" t="str">
            <v>2 H+[e] + D-Lactate[e] &lt;=&gt; 2 H+[c] + D-Lactate[c]</v>
          </cell>
        </row>
        <row r="195">
          <cell r="B195" t="str">
            <v>ENO</v>
          </cell>
          <cell r="C195" t="str">
            <v>enolase</v>
          </cell>
          <cell r="D195" t="str">
            <v>D-Glycerate 2-phosphate[c] &lt;=&gt; H2O[c] + Phosphoenolpyruvate[c]</v>
          </cell>
          <cell r="E195" t="str">
            <v>4.2.1.11</v>
          </cell>
        </row>
        <row r="196">
          <cell r="B196" t="str">
            <v>EPPP</v>
          </cell>
          <cell r="C196" t="str">
            <v>exopolyphosphatase</v>
          </cell>
          <cell r="D196" t="str">
            <v>H2O[c] + Inorganic triphosphate[c] =&gt; H+[c] + Phosphate[c] + Diphosphate[c]</v>
          </cell>
        </row>
        <row r="197">
          <cell r="B197" t="str">
            <v>ETOHt1</v>
          </cell>
          <cell r="C197" t="str">
            <v>ethanol transport in/out via diffusion</v>
          </cell>
          <cell r="D197" t="str">
            <v>Ethanol[e] &lt;=&gt; Ethanol[c]</v>
          </cell>
        </row>
        <row r="198">
          <cell r="B198" t="str">
            <v>EX_12ppd__R_e</v>
          </cell>
          <cell r="C198" t="str">
            <v>(R)-Propane-1,2-diol exchange</v>
          </cell>
          <cell r="D198" t="str">
            <v>(R)-Propane-1,2-diol[c] =&gt; </v>
          </cell>
        </row>
        <row r="199">
          <cell r="B199" t="str">
            <v>EX_13ppd_e</v>
          </cell>
          <cell r="C199" t="str">
            <v>Exchange Propane-1,3-diol</v>
          </cell>
          <cell r="D199" t="str">
            <v>Propane-1,3-diol[e] =&gt; </v>
          </cell>
        </row>
        <row r="200">
          <cell r="B200" t="str">
            <v>EX_3hpp_e</v>
          </cell>
          <cell r="C200" t="str">
            <v>3-hydroxypropanoate exchange</v>
          </cell>
          <cell r="D200" t="str">
            <v>3-Hydroxypropanoate[e] =&gt; </v>
          </cell>
        </row>
        <row r="201">
          <cell r="B201" t="str">
            <v>EX_4abz_e</v>
          </cell>
          <cell r="C201" t="str">
            <v>Exchange 4-Aminobenzoate</v>
          </cell>
          <cell r="D201" t="str">
            <v>4-Aminobenzoate[e] &lt;=&gt; </v>
          </cell>
        </row>
        <row r="202">
          <cell r="B202" t="str">
            <v>EX_ac_e</v>
          </cell>
          <cell r="C202" t="str">
            <v>Exchange Acetate</v>
          </cell>
          <cell r="D202" t="str">
            <v>Acetate[e] =&gt; </v>
          </cell>
        </row>
        <row r="203">
          <cell r="B203" t="str">
            <v>EX_acald_e</v>
          </cell>
          <cell r="C203" t="str">
            <v>Exchange Acetaldehyde</v>
          </cell>
          <cell r="D203" t="str">
            <v>Acetaldehyde[e] =&gt; </v>
          </cell>
        </row>
        <row r="204">
          <cell r="B204" t="str">
            <v>EX_actn__R_e</v>
          </cell>
          <cell r="C204" t="str">
            <v>Exchange (R)-Acetoin</v>
          </cell>
          <cell r="D204" t="str">
            <v>(R)-Acetoin[e] =&gt; </v>
          </cell>
        </row>
        <row r="205">
          <cell r="B205" t="str">
            <v>EX_ade_e</v>
          </cell>
          <cell r="C205" t="str">
            <v>Exchange Adenine</v>
          </cell>
          <cell r="D205" t="str">
            <v>Adenine[e] &lt;=&gt; </v>
          </cell>
        </row>
        <row r="206">
          <cell r="B206" t="str">
            <v>EX_ala__L_e</v>
          </cell>
          <cell r="C206" t="str">
            <v>Exchange L-Alanine</v>
          </cell>
          <cell r="D206" t="str">
            <v>L-Alanine[e] &lt;=&gt; </v>
          </cell>
        </row>
        <row r="207">
          <cell r="B207" t="str">
            <v>EX_arab__L_e</v>
          </cell>
          <cell r="C207" t="str">
            <v>Exchange L-Arabinose</v>
          </cell>
          <cell r="D207" t="str">
            <v>L-Arabinose[e] =&gt; </v>
          </cell>
        </row>
        <row r="208">
          <cell r="B208" t="str">
            <v>EX_arg__L_e</v>
          </cell>
          <cell r="C208" t="str">
            <v>Exchange L-Arginine</v>
          </cell>
          <cell r="D208" t="str">
            <v>L-Arginine[e] &lt;=&gt; </v>
          </cell>
        </row>
        <row r="209">
          <cell r="B209" t="str">
            <v>EX_asn__L_e</v>
          </cell>
          <cell r="C209" t="str">
            <v>Aspargine exchange</v>
          </cell>
          <cell r="D209" t="str">
            <v>L-Asparagine[e] &lt;=&gt; </v>
          </cell>
        </row>
        <row r="210">
          <cell r="B210" t="str">
            <v>EX_asp__L_e</v>
          </cell>
          <cell r="C210" t="str">
            <v>Exchange L-Aspartate</v>
          </cell>
          <cell r="D210" t="str">
            <v>L-Aspartate[e] &lt;=&gt; </v>
          </cell>
        </row>
        <row r="211">
          <cell r="B211" t="str">
            <v>EX_btd_RR_e</v>
          </cell>
          <cell r="C211" t="str">
            <v>Exchange (R,R)-2,3-Butanediol</v>
          </cell>
          <cell r="D211" t="str">
            <v>(R,R)-2,3-Butanediol[e] =&gt; </v>
          </cell>
        </row>
        <row r="212">
          <cell r="B212" t="str">
            <v>EX_btn_e</v>
          </cell>
          <cell r="C212" t="str">
            <v>Exchange Biotin</v>
          </cell>
          <cell r="D212" t="str">
            <v>Biotin[e] &lt;=&gt; </v>
          </cell>
        </row>
        <row r="213">
          <cell r="B213" t="str">
            <v>EX_co2_e</v>
          </cell>
          <cell r="C213" t="str">
            <v>Exchange CO2</v>
          </cell>
          <cell r="D213" t="str">
            <v>CO2[e] =&gt; </v>
          </cell>
        </row>
        <row r="214">
          <cell r="B214" t="str">
            <v>EX_cobalt2_e</v>
          </cell>
          <cell r="C214" t="str">
            <v>Exchange Co2+</v>
          </cell>
          <cell r="D214" t="str">
            <v>Co2+[e] &lt;=&gt; </v>
          </cell>
        </row>
        <row r="215">
          <cell r="B215" t="str">
            <v>EX_cu2_e</v>
          </cell>
          <cell r="C215" t="str">
            <v>Exchange Cu2+</v>
          </cell>
          <cell r="D215" t="str">
            <v>Cu2+[e] =&gt; </v>
          </cell>
        </row>
        <row r="216">
          <cell r="B216" t="str">
            <v>EX_cys__L_e</v>
          </cell>
          <cell r="C216" t="str">
            <v>Exchange L-Cysteine</v>
          </cell>
          <cell r="D216" t="str">
            <v>L-Cysteine[e] &lt;=&gt; </v>
          </cell>
        </row>
        <row r="217">
          <cell r="B217" t="str">
            <v>EX_dha_e</v>
          </cell>
          <cell r="C217" t="str">
            <v>Exchange Dihydroxyacetone</v>
          </cell>
          <cell r="D217" t="str">
            <v>Dihydroxyacetone[e] =&gt; </v>
          </cell>
        </row>
        <row r="218">
          <cell r="B218" t="str">
            <v>EX_diact_e</v>
          </cell>
          <cell r="C218" t="str">
            <v>Exchange Diacetyl</v>
          </cell>
          <cell r="D218" t="str">
            <v>Diacetyl[e] =&gt; </v>
          </cell>
        </row>
        <row r="219">
          <cell r="B219" t="str">
            <v>EX_etoh_e</v>
          </cell>
          <cell r="C219" t="str">
            <v>Exchange Ethanol</v>
          </cell>
          <cell r="D219" t="str">
            <v>Ethanol[e] =&gt; </v>
          </cell>
        </row>
        <row r="220">
          <cell r="B220" t="str">
            <v>EX_fe2_e</v>
          </cell>
          <cell r="C220" t="str">
            <v>Exchange fe2</v>
          </cell>
          <cell r="D220" t="str">
            <v>Fe2+ mitochondria[e] &lt;=&gt; </v>
          </cell>
        </row>
        <row r="221">
          <cell r="B221" t="str">
            <v>EX_for_e</v>
          </cell>
          <cell r="C221" t="str">
            <v>Exchange Formate</v>
          </cell>
          <cell r="D221" t="str">
            <v>Formate[e] =&gt; </v>
          </cell>
        </row>
        <row r="222">
          <cell r="B222" t="str">
            <v>EX_fru_e</v>
          </cell>
          <cell r="C222" t="str">
            <v>Fructose exchange</v>
          </cell>
          <cell r="D222" t="str">
            <v>D-Fructose[e] =&gt; </v>
          </cell>
        </row>
        <row r="223">
          <cell r="B223" t="str">
            <v>EX_gal_e</v>
          </cell>
          <cell r="C223" t="str">
            <v>Exchange Galactose</v>
          </cell>
          <cell r="D223" t="str">
            <v>D-Galactose[e] =&gt; </v>
          </cell>
        </row>
        <row r="224">
          <cell r="B224" t="str">
            <v>EX_gcald_e</v>
          </cell>
          <cell r="C224" t="str">
            <v>Exchange Glycolaldehyde</v>
          </cell>
          <cell r="D224" t="str">
            <v>Glycolaldehyde[e] =&gt; </v>
          </cell>
        </row>
        <row r="225">
          <cell r="B225" t="str">
            <v>EX_glc__D_e</v>
          </cell>
          <cell r="C225" t="str">
            <v>Exchange D-Glucose</v>
          </cell>
          <cell r="D225" t="str">
            <v>D-Glucose[e] &lt;=&gt; </v>
          </cell>
        </row>
        <row r="226">
          <cell r="B226" t="str">
            <v>EX_glcn__D_e</v>
          </cell>
          <cell r="C226" t="str">
            <v>Exchange Gluconate</v>
          </cell>
          <cell r="D226" t="str">
            <v>D-Gluconate[e] =&gt; </v>
          </cell>
        </row>
        <row r="227">
          <cell r="B227" t="str">
            <v>EX_gln__L_e</v>
          </cell>
          <cell r="C227" t="str">
            <v>Exchange L-Glutamine</v>
          </cell>
          <cell r="D227" t="str">
            <v>L-Glutamine[e] =&gt; </v>
          </cell>
        </row>
        <row r="228">
          <cell r="B228" t="str">
            <v>EX_glu__L_e</v>
          </cell>
          <cell r="C228" t="str">
            <v>Exchange L-Glutamate</v>
          </cell>
          <cell r="D228" t="str">
            <v>L-Glutamate[e] &lt;=&gt; </v>
          </cell>
        </row>
        <row r="229">
          <cell r="B229" t="str">
            <v>EX_gly_e</v>
          </cell>
          <cell r="C229" t="str">
            <v>Exchange Glycine</v>
          </cell>
          <cell r="D229" t="str">
            <v>Glycine[e] &lt;=&gt; </v>
          </cell>
        </row>
        <row r="230">
          <cell r="B230" t="str">
            <v>EX_glyc_e</v>
          </cell>
          <cell r="C230" t="str">
            <v>Exchange Glycerol</v>
          </cell>
          <cell r="D230" t="str">
            <v>Glycerol[e] =&gt; </v>
          </cell>
        </row>
        <row r="231">
          <cell r="B231" t="str">
            <v>EX_gua_e</v>
          </cell>
          <cell r="C231" t="str">
            <v>Exchange Guanine</v>
          </cell>
          <cell r="D231" t="str">
            <v>Guanine[e] &lt;=&gt; </v>
          </cell>
        </row>
        <row r="232">
          <cell r="B232" t="str">
            <v>EX_h2o_e</v>
          </cell>
          <cell r="C232" t="str">
            <v>Exchange H2O</v>
          </cell>
          <cell r="D232" t="str">
            <v>H2O[e] &lt;=&gt; </v>
          </cell>
        </row>
        <row r="233">
          <cell r="B233" t="str">
            <v>EX_h2s_e</v>
          </cell>
          <cell r="C233" t="str">
            <v>Exchange h2s</v>
          </cell>
          <cell r="D233" t="str">
            <v>Hydrogen sulfide[e] =&gt; </v>
          </cell>
        </row>
        <row r="234">
          <cell r="B234" t="str">
            <v>EX_h_e</v>
          </cell>
          <cell r="C234" t="str">
            <v>Exchange H+</v>
          </cell>
          <cell r="D234" t="str">
            <v>H+[e] &lt;=&gt; </v>
          </cell>
        </row>
        <row r="235">
          <cell r="B235" t="str">
            <v>EX_hdcea_e</v>
          </cell>
          <cell r="C235" t="str">
            <v>Exchange Hexadecenoate (n-C16:1)</v>
          </cell>
          <cell r="D235" t="str">
            <v>Hexadecenoate (n-C16:1)[e] &lt;=&gt; </v>
          </cell>
        </row>
        <row r="236">
          <cell r="B236" t="str">
            <v>EX_his__L_e</v>
          </cell>
          <cell r="C236" t="str">
            <v>Exchange L-Histidine</v>
          </cell>
          <cell r="D236" t="str">
            <v>L-Histidine[e] &lt;=&gt; </v>
          </cell>
        </row>
        <row r="237">
          <cell r="B237" t="str">
            <v>EX_hxan_e</v>
          </cell>
          <cell r="C237" t="str">
            <v>Exchange Hypoxanthine</v>
          </cell>
          <cell r="D237" t="str">
            <v>Hypoxanthine[e] =&gt; </v>
          </cell>
        </row>
        <row r="238">
          <cell r="B238" t="str">
            <v>EX_ile__L_e</v>
          </cell>
          <cell r="C238" t="str">
            <v>Exchange L-Isoleucine</v>
          </cell>
          <cell r="D238" t="str">
            <v>L-Isoleucine[e] &lt;=&gt; </v>
          </cell>
        </row>
        <row r="239">
          <cell r="B239" t="str">
            <v>EX_ins_e</v>
          </cell>
          <cell r="C239" t="str">
            <v>Exchange Inosine</v>
          </cell>
          <cell r="D239" t="str">
            <v>Inosine[e] =&gt; </v>
          </cell>
        </row>
        <row r="240">
          <cell r="B240" t="str">
            <v>EX_k_e</v>
          </cell>
          <cell r="C240" t="str">
            <v>Exchange K+</v>
          </cell>
          <cell r="D240" t="str">
            <v>K+[e] &lt;=&gt; </v>
          </cell>
        </row>
        <row r="241">
          <cell r="B241" t="str">
            <v>EX_lac__D_e</v>
          </cell>
          <cell r="C241" t="str">
            <v>Exchange D-Lactate</v>
          </cell>
          <cell r="D241" t="str">
            <v>D-Lactate[e] =&gt; </v>
          </cell>
        </row>
        <row r="242">
          <cell r="B242" t="str">
            <v>EX_lac__L_e</v>
          </cell>
          <cell r="C242" t="str">
            <v>Exchange L-Lactate</v>
          </cell>
          <cell r="D242" t="str">
            <v>L-Lactate[e] =&gt; </v>
          </cell>
        </row>
        <row r="243">
          <cell r="B243" t="str">
            <v>EX_lcts_e</v>
          </cell>
          <cell r="C243" t="str">
            <v>Exchange Lactose</v>
          </cell>
          <cell r="D243" t="str">
            <v>Lactose[e] =&gt; </v>
          </cell>
        </row>
        <row r="244">
          <cell r="B244" t="str">
            <v>EX_leu__L_e</v>
          </cell>
          <cell r="C244" t="str">
            <v>Exchange L-Leucine</v>
          </cell>
          <cell r="D244" t="str">
            <v>L-Leucine[e] &lt;=&gt; </v>
          </cell>
        </row>
        <row r="245">
          <cell r="B245" t="str">
            <v>EX_lys__L_e</v>
          </cell>
          <cell r="C245" t="str">
            <v>Exchange L-Lysine</v>
          </cell>
          <cell r="D245" t="str">
            <v>L-Lysine[e] &lt;=&gt; </v>
          </cell>
        </row>
        <row r="246">
          <cell r="B246" t="str">
            <v>EX_mal__L_e</v>
          </cell>
          <cell r="C246" t="str">
            <v>Exchange L-Malate</v>
          </cell>
          <cell r="D246" t="str">
            <v>L-Malate[e] =&gt; </v>
          </cell>
        </row>
        <row r="247">
          <cell r="B247" t="str">
            <v>EX_malt_e</v>
          </cell>
          <cell r="C247" t="str">
            <v>Exchange Maltose</v>
          </cell>
          <cell r="D247" t="str">
            <v>Maltose C12H22O11[e] =&gt; </v>
          </cell>
        </row>
        <row r="248">
          <cell r="B248" t="str">
            <v>EX_melib_e</v>
          </cell>
          <cell r="C248" t="str">
            <v>Exchange Melibiose</v>
          </cell>
          <cell r="D248" t="str">
            <v>Melibiose C12H22O11[e] =&gt; </v>
          </cell>
        </row>
        <row r="249">
          <cell r="B249" t="str">
            <v>EX_met__L_e</v>
          </cell>
          <cell r="C249" t="str">
            <v>Exchange L-Methionine</v>
          </cell>
          <cell r="D249" t="str">
            <v>L-Methionine[e] &lt;=&gt; </v>
          </cell>
        </row>
        <row r="250">
          <cell r="B250" t="str">
            <v>EX_mg2_e</v>
          </cell>
          <cell r="C250" t="str">
            <v>Exchange Mg</v>
          </cell>
          <cell r="D250" t="str">
            <v>Mg[e] &lt;=&gt; </v>
          </cell>
        </row>
        <row r="251">
          <cell r="B251" t="str">
            <v>EX_mn2_e</v>
          </cell>
          <cell r="C251" t="str">
            <v>Exchange Mn2+</v>
          </cell>
          <cell r="D251" t="str">
            <v>Mn2+[e] &lt;=&gt; </v>
          </cell>
        </row>
        <row r="252">
          <cell r="B252" t="str">
            <v>EX_mnl_e</v>
          </cell>
          <cell r="C252" t="str">
            <v>Mannitol exchange</v>
          </cell>
          <cell r="D252" t="str">
            <v>D-Mannitol[e] =&gt; </v>
          </cell>
        </row>
        <row r="253">
          <cell r="B253" t="str">
            <v>EX_na1_e</v>
          </cell>
          <cell r="C253" t="str">
            <v>Exchange Sodium</v>
          </cell>
          <cell r="D253" t="str">
            <v>Sodium[e] &lt;=&gt; </v>
          </cell>
        </row>
        <row r="254">
          <cell r="B254" t="str">
            <v>EX_nac_e</v>
          </cell>
          <cell r="C254" t="str">
            <v>Exchange Nicotinate</v>
          </cell>
          <cell r="D254" t="str">
            <v>Nicotinate[e] &lt;=&gt; </v>
          </cell>
        </row>
        <row r="255">
          <cell r="B255" t="str">
            <v>EX_nh3_e</v>
          </cell>
          <cell r="C255" t="str">
            <v>Exchange Ammonia</v>
          </cell>
          <cell r="D255" t="str">
            <v>Ammonia[e] &lt;=&gt; </v>
          </cell>
        </row>
        <row r="256">
          <cell r="B256" t="str">
            <v>EX_o2_e</v>
          </cell>
          <cell r="C256" t="str">
            <v>Exchange o2</v>
          </cell>
          <cell r="D256" t="str">
            <v>O2 O2[e] =&gt; </v>
          </cell>
        </row>
        <row r="257">
          <cell r="B257" t="str">
            <v>EX_ocdcea_e</v>
          </cell>
          <cell r="C257" t="str">
            <v>Exchange Octadecenoate (n-C18:1)</v>
          </cell>
          <cell r="D257" t="str">
            <v>Octadecenoate (n-C18:1)[e] &lt;=&gt; </v>
          </cell>
        </row>
        <row r="258">
          <cell r="B258" t="str">
            <v>EX_ocdctr_e</v>
          </cell>
          <cell r="C258" t="str">
            <v>Exchange octadecynoate (n-C18:3)</v>
          </cell>
          <cell r="D258" t="str">
            <v>octadecynoate (n-C18:3)[e] &lt;=&gt; </v>
          </cell>
        </row>
        <row r="259">
          <cell r="B259" t="str">
            <v>EX_ocdcya_e</v>
          </cell>
          <cell r="C259" t="str">
            <v>Exchange Octadecadienoate (n-C18:2)</v>
          </cell>
          <cell r="D259" t="str">
            <v>Octadecadienoate[e] &lt;=&gt; </v>
          </cell>
        </row>
        <row r="260">
          <cell r="B260" t="str">
            <v>EX_orn__L_e</v>
          </cell>
          <cell r="C260" t="str">
            <v>Exchange L-Ornithine</v>
          </cell>
          <cell r="D260" t="str">
            <v>L-Ornithine[e] =&gt; </v>
          </cell>
        </row>
        <row r="261">
          <cell r="B261" t="str">
            <v>EX_phe__L_e</v>
          </cell>
          <cell r="C261" t="str">
            <v>Exchange L-Phenylalanine</v>
          </cell>
          <cell r="D261" t="str">
            <v>L-Phenylalanine[e] &lt;=&gt; </v>
          </cell>
        </row>
        <row r="262">
          <cell r="B262" t="str">
            <v>EX_pi_e</v>
          </cell>
          <cell r="C262" t="str">
            <v>Exchange Phosphate</v>
          </cell>
          <cell r="D262" t="str">
            <v>Phosphate[e] &lt;=&gt; </v>
          </cell>
        </row>
        <row r="263">
          <cell r="B263" t="str">
            <v>EX_pnto__R_e</v>
          </cell>
          <cell r="C263" t="str">
            <v>Exchange (R)-Pantothenate</v>
          </cell>
          <cell r="D263" t="str">
            <v>(R)-Pantothenate[e] &lt;=&gt; </v>
          </cell>
        </row>
        <row r="264">
          <cell r="B264" t="str">
            <v>EX_ppoh_e</v>
          </cell>
          <cell r="C264" t="str">
            <v>Propanol exchange</v>
          </cell>
          <cell r="D264" t="str">
            <v>1-Propanol[c] =&gt; </v>
          </cell>
        </row>
        <row r="265">
          <cell r="B265" t="str">
            <v>EX_pro__L_e</v>
          </cell>
          <cell r="C265" t="str">
            <v>Exchange L-Proline</v>
          </cell>
          <cell r="D265" t="str">
            <v>L-Proline[e] &lt;=&gt; </v>
          </cell>
        </row>
        <row r="266">
          <cell r="B266" t="str">
            <v>EX_pydam_e</v>
          </cell>
          <cell r="C266" t="str">
            <v>Exchange Pyridoxamine</v>
          </cell>
          <cell r="D266" t="str">
            <v>Pyridoxamine[e] &lt;=&gt; </v>
          </cell>
        </row>
        <row r="267">
          <cell r="B267" t="str">
            <v>EX_pyr_e</v>
          </cell>
          <cell r="C267" t="str">
            <v>Exchange Pyruvate</v>
          </cell>
          <cell r="D267" t="str">
            <v>Pyruvate[e] =&gt; </v>
          </cell>
        </row>
        <row r="268">
          <cell r="B268" t="str">
            <v>EX_raffin_e</v>
          </cell>
          <cell r="C268" t="str">
            <v>Exchange Raffinose</v>
          </cell>
          <cell r="D268" t="str">
            <v>Raffinose[e] =&gt; </v>
          </cell>
        </row>
        <row r="269">
          <cell r="B269" t="str">
            <v>EX_rib__D_e</v>
          </cell>
          <cell r="C269" t="str">
            <v>Exchange D-Ribose</v>
          </cell>
          <cell r="D269" t="str">
            <v>D-Ribose[e] =&gt; </v>
          </cell>
        </row>
        <row r="270">
          <cell r="B270" t="str">
            <v>EX_ribflv_e</v>
          </cell>
          <cell r="C270" t="str">
            <v>Exchange Riboflavin</v>
          </cell>
          <cell r="D270" t="str">
            <v>Riboflavin[e] &lt;=&gt; </v>
          </cell>
        </row>
        <row r="271">
          <cell r="B271" t="str">
            <v>EX_ser__L_e</v>
          </cell>
          <cell r="C271" t="str">
            <v>Exchange L-Serine</v>
          </cell>
          <cell r="D271" t="str">
            <v>L-Serine[e] &lt;=&gt; </v>
          </cell>
        </row>
        <row r="272">
          <cell r="B272" t="str">
            <v>EX_so4_e</v>
          </cell>
          <cell r="C272" t="str">
            <v>Exchange sulfate</v>
          </cell>
          <cell r="D272" t="str">
            <v>Sulfate[e] &lt;=&gt; </v>
          </cell>
        </row>
        <row r="273">
          <cell r="B273" t="str">
            <v>EX_succ_e</v>
          </cell>
          <cell r="C273" t="str">
            <v>Succinate exchange</v>
          </cell>
          <cell r="D273" t="str">
            <v>Succinate[e] =&gt; </v>
          </cell>
        </row>
        <row r="274">
          <cell r="B274" t="str">
            <v>EX_sucr_e</v>
          </cell>
          <cell r="C274" t="str">
            <v>Exchange Sucrose</v>
          </cell>
          <cell r="D274" t="str">
            <v>Sucrose[e] =&gt; </v>
          </cell>
        </row>
        <row r="275">
          <cell r="B275" t="str">
            <v>EX_thm_e</v>
          </cell>
          <cell r="C275" t="str">
            <v>Exchange Thiamin</v>
          </cell>
          <cell r="D275" t="str">
            <v>Thiamin[e] &lt;=&gt; </v>
          </cell>
        </row>
        <row r="276">
          <cell r="B276" t="str">
            <v>EX_thr__L_e</v>
          </cell>
          <cell r="C276" t="str">
            <v>Exchange L-Threonine</v>
          </cell>
          <cell r="D276" t="str">
            <v>L-Threonine[e] &lt;=&gt; </v>
          </cell>
        </row>
        <row r="277">
          <cell r="B277" t="str">
            <v>EX_tre_e</v>
          </cell>
          <cell r="C277" t="str">
            <v>Exchange Trehalose</v>
          </cell>
          <cell r="D277" t="str">
            <v>Trehalose[e] =&gt; </v>
          </cell>
        </row>
        <row r="278">
          <cell r="B278" t="str">
            <v>EX_trp__L_e</v>
          </cell>
          <cell r="C278" t="str">
            <v>Exchange L-Tryptophan</v>
          </cell>
          <cell r="D278" t="str">
            <v>L-Tryptophan[e] &lt;=&gt; </v>
          </cell>
        </row>
        <row r="279">
          <cell r="B279" t="str">
            <v>EX_tyr__L_e</v>
          </cell>
          <cell r="C279" t="str">
            <v>Exchange L-Tyrosine</v>
          </cell>
          <cell r="D279" t="str">
            <v>L-Tyrosine[e] &lt;=&gt; </v>
          </cell>
        </row>
        <row r="280">
          <cell r="B280" t="str">
            <v>EX_ura_e</v>
          </cell>
          <cell r="C280" t="str">
            <v>Exchange Uracil</v>
          </cell>
          <cell r="D280" t="str">
            <v>Uracil[e] &lt;=&gt; </v>
          </cell>
        </row>
        <row r="281">
          <cell r="B281" t="str">
            <v>EX_val__L_e</v>
          </cell>
          <cell r="C281" t="str">
            <v>Exchange L-Valine</v>
          </cell>
          <cell r="D281" t="str">
            <v>L-Valine[e] &lt;=&gt; </v>
          </cell>
        </row>
        <row r="282">
          <cell r="B282" t="str">
            <v>EX_xan_e</v>
          </cell>
          <cell r="C282" t="str">
            <v>Exchange Xanthine</v>
          </cell>
          <cell r="D282" t="str">
            <v>Xanthine[e] &lt;=&gt; </v>
          </cell>
        </row>
        <row r="283">
          <cell r="B283" t="str">
            <v>FA120ACPH</v>
          </cell>
          <cell r="C283" t="str">
            <v>fatty-acyl-ACP hydrolase</v>
          </cell>
          <cell r="D283" t="str">
            <v>Dodecanoyl-ACP (n-C12:0ACP)[c] + H2O[c] &lt;=&gt; acyl carrier protein[c] + Dodecanoate[c] + H+[c]</v>
          </cell>
        </row>
        <row r="284">
          <cell r="B284" t="str">
            <v>FA140ACPH</v>
          </cell>
          <cell r="C284" t="str">
            <v>fatty-acyl-ACP hydrolase</v>
          </cell>
          <cell r="D284" t="str">
            <v>H2O[c] + Myristoyl-ACP (n-C14:0ACP)[c] &lt;=&gt; acyl carrier protein[c] + H+[c] + tetradecanoate[c]</v>
          </cell>
        </row>
        <row r="285">
          <cell r="B285" t="str">
            <v>FA141ACPH</v>
          </cell>
          <cell r="C285" t="str">
            <v>fatty-acyl-ACP hydrolase</v>
          </cell>
          <cell r="D285" t="str">
            <v>H2O[c] + Tetradecenoyl-ACP (n-C14:1ACP)[c] &lt;=&gt; acyl carrier protein[c] + H+[c] + tetradecenoate (n-C14:1)[c]</v>
          </cell>
        </row>
        <row r="286">
          <cell r="B286" t="str">
            <v>FA160ACPH</v>
          </cell>
          <cell r="C286" t="str">
            <v>fatty-acyl-ACP hydrolase</v>
          </cell>
          <cell r="D286" t="str">
            <v>H2O[c] + Palmitoyl-ACP (n-C16:0ACP)[c] &lt;=&gt; acyl carrier protein[c] + H+[c] + Hexadecanoate (n-C16:0)[c]</v>
          </cell>
        </row>
        <row r="287">
          <cell r="B287" t="str">
            <v>FA161ACPH</v>
          </cell>
          <cell r="C287" t="str">
            <v>fatty-acyl-ACP hydrolase</v>
          </cell>
          <cell r="D287" t="str">
            <v>H2O[c] + Hexadecenoyl-ACP (n-C16:1ACP)[c] &lt;=&gt; acyl carrier protein[c] + H+[c] + hexadecenoate (n-C16:1)[c]</v>
          </cell>
        </row>
        <row r="288">
          <cell r="B288" t="str">
            <v>FA161tr</v>
          </cell>
          <cell r="C288" t="str">
            <v>Transport Hexadecenoate (n-C16:1)</v>
          </cell>
          <cell r="D288" t="str">
            <v>Hexadecenoate (n-C16:1)[e] &lt;=&gt; hexadecenoate (n-C16:1)[c]</v>
          </cell>
        </row>
        <row r="289">
          <cell r="B289" t="str">
            <v>FA180ACPH</v>
          </cell>
          <cell r="C289" t="str">
            <v>fatty-acyl-ACP hydrolase</v>
          </cell>
          <cell r="D289" t="str">
            <v>H2O[c] + Octadecanoyl-ACP (n-C18:0ACP)[c] &lt;=&gt; acyl carrier protein[c] + H+[c] + octadecanoate (n-C18:0)[c]</v>
          </cell>
        </row>
        <row r="290">
          <cell r="B290" t="str">
            <v>FA181ACPH</v>
          </cell>
          <cell r="C290" t="str">
            <v>fatty-acyl-ACP hydrolase</v>
          </cell>
          <cell r="D290" t="str">
            <v>H2O[c] + Octadecenoyl-ACP (n-C18:1ACP)[c] &lt;=&gt; acyl carrier protein[c] + H+[c] + octadecenoate (n-C18:1)[c]</v>
          </cell>
        </row>
        <row r="291">
          <cell r="B291" t="str">
            <v>FA181tr</v>
          </cell>
          <cell r="C291" t="str">
            <v>Transport Octadecenoate (n-C18:1)</v>
          </cell>
          <cell r="D291" t="str">
            <v>Octadecenoate (n-C18:1)[e] &lt;=&gt; octadecenoate (n-C18:1)[c]</v>
          </cell>
        </row>
        <row r="292">
          <cell r="B292" t="str">
            <v>FA182ACPH</v>
          </cell>
          <cell r="C292" t="str">
            <v>fatty-acyl-ACP hydrolase</v>
          </cell>
          <cell r="D292" t="str">
            <v>H2O[c] + Octadecynoyl-ACP (n-C18:2ACP)[c] &lt;=&gt; acyl carrier protein[c] + H+[c] + octadecynoate (n-C18:2)[c]</v>
          </cell>
        </row>
        <row r="293">
          <cell r="B293" t="str">
            <v>FA182tr</v>
          </cell>
          <cell r="C293" t="str">
            <v>Transport Octadecadienoate (n-C18:2)</v>
          </cell>
          <cell r="D293" t="str">
            <v>Octadecadienoate[e] &lt;=&gt; octadecynoate (n-C18:2)[c]</v>
          </cell>
        </row>
        <row r="294">
          <cell r="B294" t="str">
            <v>FA183tr</v>
          </cell>
          <cell r="C294" t="str">
            <v>Transport octadecynoate (n-C18:3)</v>
          </cell>
          <cell r="D294" t="str">
            <v>octadecynoate (n-C18:3)[e] &lt;=&gt; octadecynoate (n-C18:3)[c]</v>
          </cell>
        </row>
        <row r="295">
          <cell r="B295" t="str">
            <v>FBA</v>
          </cell>
          <cell r="C295" t="str">
            <v>fructose-bisphosphate aldolase</v>
          </cell>
          <cell r="D295" t="str">
            <v>D-Fructose 1,6-bisphosphate[c] &lt;=&gt; Dihydroxyacetone phosphate[c] + Glyceraldehyde 3-phosphate[c]</v>
          </cell>
          <cell r="E295" t="str">
            <v>4.1.2.13</v>
          </cell>
        </row>
        <row r="296">
          <cell r="B296" t="str">
            <v>FCLT</v>
          </cell>
          <cell r="C296" t="str">
            <v>Heme B synthesis reaction</v>
          </cell>
          <cell r="D296" t="str">
            <v>Fe2+[c] + Protoporphyrin[c] =&gt; 2 H+[c] + Protoheme[c]</v>
          </cell>
          <cell r="E296" t="str">
            <v>4.99.1.1</v>
          </cell>
        </row>
        <row r="297">
          <cell r="B297" t="str">
            <v>FLVR</v>
          </cell>
          <cell r="C297" t="str">
            <v>flavin reductase</v>
          </cell>
          <cell r="D297" t="str">
            <v>H+[c] + Nicotinamide adenine dinucleotide phosphate - reduced[c] + Riboflavin[c] =&gt; Nicotinamide adenine dinucleotide phosphate[c] + Reduced riboflavin[c]</v>
          </cell>
          <cell r="E297" t="str">
            <v>1.5.1.30; 1.5.1.41</v>
          </cell>
        </row>
        <row r="298">
          <cell r="B298" t="str">
            <v>FMETDF</v>
          </cell>
          <cell r="C298" t="str">
            <v>formylmethionine deformylase</v>
          </cell>
          <cell r="D298" t="str">
            <v>N-Formyl-L-methionine[c] + H2O[c] =&gt; Formate[c] + L-Methionine[c]</v>
          </cell>
          <cell r="E298" t="str">
            <v>3.5.1.31</v>
          </cell>
        </row>
        <row r="299">
          <cell r="B299" t="str">
            <v>FMETTRS</v>
          </cell>
          <cell r="C299" t="str">
            <v>Methionyl-tRNA formyltransferase</v>
          </cell>
          <cell r="D299" t="str">
            <v>10-Formyltetrahydrofolate[c] + L-Methionyl-tRNA (Met)[c] =&gt; N-Formylmethionyl-tRNA[c] + H+[c] + 5,6,7,8-Tetrahydrofolate[c]</v>
          </cell>
        </row>
        <row r="300">
          <cell r="B300" t="str">
            <v>FMNAT</v>
          </cell>
          <cell r="C300" t="str">
            <v>FMN adenylyltransferase</v>
          </cell>
          <cell r="D300" t="str">
            <v>ATP[c] + flavin mononucleotide[c] + H+[c] =&gt; FAD[c] + Diphosphate[c]</v>
          </cell>
          <cell r="E300" t="str">
            <v>2.7.7.2</v>
          </cell>
        </row>
        <row r="301">
          <cell r="B301" t="str">
            <v>FMNRx</v>
          </cell>
          <cell r="C301" t="str">
            <v>FMN reductase</v>
          </cell>
          <cell r="D301" t="str">
            <v>flavin mononucleotide[c] + H+[c] + Nicotinamide adenine dinucleotide - reduced[c] &lt;=&gt; Reduced FMN[c] + Nicotinamide adenine dinucleotide[c]</v>
          </cell>
          <cell r="E301" t="str">
            <v>1.5.1.-; 1.5.1.36; 1.5.1.39; 1.5.1.41; 1.5.1.42</v>
          </cell>
        </row>
        <row r="302">
          <cell r="B302" t="str">
            <v>FORt</v>
          </cell>
          <cell r="C302" t="str">
            <v>formate transport via diffusion</v>
          </cell>
          <cell r="D302" t="str">
            <v>Formate[e] &lt;=&gt; Formate[c]</v>
          </cell>
        </row>
        <row r="303">
          <cell r="B303" t="str">
            <v>FRD</v>
          </cell>
          <cell r="C303" t="str">
            <v>fumarate reductase</v>
          </cell>
          <cell r="D303" t="str">
            <v>Fumarate[c] + Menaquinol 7[c] =&gt; Menaquinone 7[c] + Succinate[c]</v>
          </cell>
        </row>
        <row r="304">
          <cell r="B304" t="str">
            <v>FRTT</v>
          </cell>
          <cell r="C304" t="str">
            <v>farnesyltranstransferase</v>
          </cell>
          <cell r="D304" t="str">
            <v>Farnesyl diphosphate[c] + Isopentenyl diphosphate[c] =&gt; Geranylgeranyl diphosphate[c] + Diphosphate[c]</v>
          </cell>
          <cell r="E304" t="str">
            <v>2.5.1.29</v>
          </cell>
        </row>
        <row r="305">
          <cell r="B305" t="str">
            <v>FRUK</v>
          </cell>
          <cell r="C305" t="str">
            <v>fructokinase</v>
          </cell>
          <cell r="D305" t="str">
            <v>ATP[c] + D-Fructose[c] =&gt; ADP[c] + D-Fructose 6-phosphate[c] + H+[c]</v>
          </cell>
          <cell r="E305" t="str">
            <v>2.7.1.56</v>
          </cell>
        </row>
        <row r="306">
          <cell r="B306" t="str">
            <v>FRUabc</v>
          </cell>
          <cell r="C306" t="str">
            <v>Fructose efflux via ABC system</v>
          </cell>
          <cell r="D306" t="str">
            <v>ATP[c] + D-Fructose[c] + H2O[c] =&gt; ADP[c] + D-Fructose[e] + H+[c] + Phosphate[c]</v>
          </cell>
        </row>
        <row r="307">
          <cell r="B307" t="str">
            <v>FTHFCL</v>
          </cell>
          <cell r="C307" t="str">
            <v>5-formyltetrahydrofolate cyclo-ligase</v>
          </cell>
          <cell r="D307" t="str">
            <v>5-Formyltetrahydrofolate[c] + ATP[c] =&gt; ADP[c] + 5,10-Methenyltetrahydrofolate[c] + Phosphate[c]</v>
          </cell>
        </row>
        <row r="308">
          <cell r="B308" t="str">
            <v>FTHFL</v>
          </cell>
          <cell r="C308" t="str">
            <v>formate-tetrahydrofolate ligase</v>
          </cell>
          <cell r="D308" t="str">
            <v>ATP[c] + Formate[c] + 5,6,7,8-Tetrahydrofolate[c] =&gt; 10-Formyltetrahydrofolate[c] + ADP[c] + Phosphate[c]</v>
          </cell>
        </row>
        <row r="309">
          <cell r="B309" t="str">
            <v>FUCt</v>
          </cell>
          <cell r="C309" t="str">
            <v>L-fucose transport via proton symport</v>
          </cell>
          <cell r="D309" t="str">
            <v>L-Fucose[e] + H+[e] &lt;=&gt; L-Fucose[c] + H+[c]</v>
          </cell>
        </row>
        <row r="310">
          <cell r="B310" t="str">
            <v>FUM</v>
          </cell>
          <cell r="C310" t="str">
            <v>fumarase</v>
          </cell>
          <cell r="D310" t="str">
            <v>Fumarate[c] + H2O[c] &lt;=&gt; L-Malate[c]</v>
          </cell>
          <cell r="E310" t="str">
            <v>4.2.1.2</v>
          </cell>
        </row>
        <row r="311">
          <cell r="B311" t="str">
            <v>G1PACT</v>
          </cell>
          <cell r="C311" t="str">
            <v>glucosamine-1-phosphate N-acetyltransferase</v>
          </cell>
          <cell r="D311" t="str">
            <v>Acetyl-CoA[c] + D-Glucosamine 1-phosphate[c] =&gt; N-Acetyl-D-glucosamine 1-phosphate[c] + Coenzyme A[c] + H+[c]</v>
          </cell>
          <cell r="E311" t="str">
            <v>2.3.1.157; 2.3.1.4</v>
          </cell>
        </row>
        <row r="312">
          <cell r="B312" t="str">
            <v>G1PPDM</v>
          </cell>
          <cell r="C312" t="str">
            <v>glucose-1-phosphate phosphodismutase</v>
          </cell>
          <cell r="D312" t="str">
            <v>2 D-Glucose 1-phosphate[c] =&gt; D-Glucose 1,6-bisphosphate[c] + D-Glucose[c]</v>
          </cell>
        </row>
        <row r="313">
          <cell r="B313" t="str">
            <v>G1PTMT</v>
          </cell>
          <cell r="C313" t="str">
            <v>glucose-1-phosphate thymidylyltransferase</v>
          </cell>
          <cell r="D313" t="str">
            <v>dTTP[c] + D-Glucose 1-phosphate[c] + H+[c] =&gt; dTDPglucose[c] + Diphosphate[c]</v>
          </cell>
        </row>
        <row r="314">
          <cell r="B314" t="str">
            <v>G1SAT</v>
          </cell>
          <cell r="C314" t="str">
            <v>glutamate-1-semialdehyde aminotransferase</v>
          </cell>
          <cell r="D314" t="str">
            <v>L-Glutamate 1-semialdehyde[c] &lt;=&gt; 5-Amino-4-oxopentanoate[c]</v>
          </cell>
          <cell r="E314" t="str">
            <v>5.4.3.8</v>
          </cell>
        </row>
        <row r="315">
          <cell r="B315" t="str">
            <v>G35DP</v>
          </cell>
          <cell r="C315" t="str">
            <v>guanosine-3',5'-bis(diphosphate) 3'-diphosphatase</v>
          </cell>
          <cell r="D315" t="str">
            <v>H2O[c] + Guanosine 3',5'-bis(diphosphate)[c] =&gt; GDP[c] + Diphosphate[c]</v>
          </cell>
        </row>
        <row r="316">
          <cell r="B316" t="str">
            <v>G3PCT</v>
          </cell>
          <cell r="C316" t="str">
            <v>glycerol-3-phosphate cytidylyltransferase</v>
          </cell>
          <cell r="D316" t="str">
            <v>CTP[c] + sn-Glycerol 3-phosphate[c] + H+[c] =&gt; CDPglycerol[c] + Diphosphate[c]</v>
          </cell>
          <cell r="E316" t="str">
            <v>2.7.7.39</v>
          </cell>
        </row>
        <row r="317">
          <cell r="B317" t="str">
            <v>G3PD1</v>
          </cell>
          <cell r="C317" t="str">
            <v>glycerol-3-phosphate dehydrogenase (NAD)</v>
          </cell>
          <cell r="D317" t="str">
            <v>sn-Glycerol 3-phosphate[c] + Nicotinamide adenine dinucleotide[c] &lt;=&gt; Dihydroxyacetone phosphate[c] + H+[c] + Nicotinamide adenine dinucleotide - reduced[c]</v>
          </cell>
        </row>
        <row r="318">
          <cell r="B318" t="str">
            <v>G5SADs</v>
          </cell>
          <cell r="C318" t="str">
            <v>L-glutamate 5-semialdehyde dehydratase (spontaneous)</v>
          </cell>
          <cell r="D318" t="str">
            <v>L-Glutamate 5-semialdehyde[c] =&gt; 1-Pyrroline-5-carboxylate[c] + H2O[c] + H+[c]</v>
          </cell>
        </row>
        <row r="319">
          <cell r="B319" t="str">
            <v>G5SD</v>
          </cell>
          <cell r="C319" t="str">
            <v>glutamate-5-semialdehyde dehydrogenase</v>
          </cell>
          <cell r="D319" t="str">
            <v>L-Glutamate 5-phosphate[c] + H+[c] + Nicotinamide adenine dinucleotide phosphate - reduced[c] =&gt; L-Glutamate 5-semialdehyde[c] + Nicotinamide adenine dinucleotide phosphate[c] + Phosphate[c]</v>
          </cell>
          <cell r="E319" t="str">
            <v>1.2.1.41</v>
          </cell>
        </row>
        <row r="320">
          <cell r="B320" t="str">
            <v>G6PDA</v>
          </cell>
          <cell r="C320" t="str">
            <v>glucosamine-6-phosphate deaminase</v>
          </cell>
          <cell r="D320" t="str">
            <v>D-Glucosamine 6-phosphate[c] + H2O[c] =&gt; D-Fructose 6-phosphate[c] + Ammonium[c]</v>
          </cell>
          <cell r="E320" t="str">
            <v>3.5.99.6</v>
          </cell>
        </row>
        <row r="321">
          <cell r="B321" t="str">
            <v>G6PDH2r</v>
          </cell>
          <cell r="C321" t="str">
            <v>glucose 6-phosphate dehydrogenase</v>
          </cell>
          <cell r="D321" t="str">
            <v>D-Glucose 6-phosphate[c] + Nicotinamide adenine dinucleotide phosphate[c] &lt;=&gt; 6-phospho-D-glucono-1,5-lactone[c] + H+[c] + Nicotinamide adenine dinucleotide phosphate - reduced[c]</v>
          </cell>
          <cell r="E321" t="str">
            <v>1.1.1.363; 1.1.1.49</v>
          </cell>
        </row>
        <row r="322">
          <cell r="B322" t="str">
            <v>G6PI</v>
          </cell>
          <cell r="C322" t="str">
            <v>Glucose-6-phosphate isomerase</v>
          </cell>
          <cell r="D322" t="str">
            <v>D-Glucose 6-phosphate[c] &lt;=&gt; beta-D-glucose 6-phosphate[c]</v>
          </cell>
          <cell r="E322" t="str">
            <v>5.1.3.15; 5.3.1.9</v>
          </cell>
        </row>
        <row r="323">
          <cell r="B323" t="str">
            <v>GALK2</v>
          </cell>
          <cell r="C323" t="str">
            <v>galactokinase</v>
          </cell>
          <cell r="D323" t="str">
            <v>alpha-D galactose[c] + ATP[c] =&gt; ADP[c] + alpha-D-Galactose 1-phosphate[c] + H+[c]</v>
          </cell>
        </row>
        <row r="324">
          <cell r="B324" t="str">
            <v>GALM</v>
          </cell>
          <cell r="C324" t="str">
            <v>aldose 1-epimerase</v>
          </cell>
          <cell r="D324" t="str">
            <v>D-Galactose[c] &lt;=&gt; alpha-D galactose[c]</v>
          </cell>
        </row>
        <row r="325">
          <cell r="B325" t="str">
            <v>GALS3</v>
          </cell>
          <cell r="C325" t="str">
            <v>a-galactosidase (melibiose)</v>
          </cell>
          <cell r="D325" t="str">
            <v>H2O[c] + Melibiose[c] =&gt; D-Galactose[c] + D-Glucose[c]</v>
          </cell>
          <cell r="E325" t="str">
            <v>3.2.1.20; 3.2.1.22</v>
          </cell>
        </row>
        <row r="326">
          <cell r="B326" t="str">
            <v>GALSZ</v>
          </cell>
          <cell r="C326" t="str">
            <v>beta-galactosidase</v>
          </cell>
          <cell r="D326" t="str">
            <v>H2O[c] + Lactose[c] =&gt; D-Galactose[c] + D-Glucose[c]</v>
          </cell>
        </row>
        <row r="327">
          <cell r="B327" t="str">
            <v>GALT</v>
          </cell>
          <cell r="C327" t="str">
            <v>galactose-1-phosphate uridylyltransferase</v>
          </cell>
          <cell r="D327" t="str">
            <v>alpha-D-Galactose 1-phosphate[c] + H+[c] + UTP[c] &lt;=&gt; Diphosphate[c] + UDPgalactose[c]</v>
          </cell>
          <cell r="E327" t="str">
            <v>2.7.7.10; 2.7.7.64</v>
          </cell>
        </row>
        <row r="328">
          <cell r="B328" t="str">
            <v>GALU</v>
          </cell>
          <cell r="C328" t="str">
            <v>UTP-glucose-1-phosphate uridylyltransferase</v>
          </cell>
          <cell r="D328" t="str">
            <v>D-Glucose 1-phosphate[c] + H+[c] + UTP[c] &lt;=&gt; Diphosphate[c] + UDPglucose[c]</v>
          </cell>
        </row>
        <row r="329">
          <cell r="B329" t="str">
            <v>GALt</v>
          </cell>
          <cell r="C329" t="str">
            <v>galactose transport in/out via proton symport</v>
          </cell>
          <cell r="D329" t="str">
            <v>D-Galactose[e] + H+[e] &lt;=&gt; D-Galactose[c] + H+[c]</v>
          </cell>
        </row>
        <row r="330">
          <cell r="B330" t="str">
            <v>GAPD</v>
          </cell>
          <cell r="C330" t="str">
            <v>glyceraldehyde-3-phosphate dehydrogenase (NAD)</v>
          </cell>
          <cell r="D330" t="str">
            <v>Glyceraldehyde 3-phosphate[c] + Nicotinamide adenine dinucleotide[c] + Phosphate[c] &lt;=&gt; 3-Phospho-D-glyceroyl phosphate[c] + H+[c] + Nicotinamide adenine dinucleotide - reduced[c]</v>
          </cell>
          <cell r="E330" t="str">
            <v>1.2.1.12; 1.2.1.59</v>
          </cell>
        </row>
        <row r="331">
          <cell r="B331" t="str">
            <v>GARFT</v>
          </cell>
          <cell r="C331" t="str">
            <v>phosphoribosylglycinamide formyltransferase</v>
          </cell>
          <cell r="D331" t="str">
            <v>10-Formyltetrahydrofolate[c] + N1-(5-Phospho-D-ribosyl)glycinamide[c] &lt;=&gt; N2-Formyl-N1-(5-phospho-D-ribosyl)glycinamide[c] + H+[c] + 5,6,7,8-Tetrahydrofolate[c]</v>
          </cell>
          <cell r="E331" t="str">
            <v>2.1.2.2</v>
          </cell>
        </row>
        <row r="332">
          <cell r="B332" t="str">
            <v>GAT1_LRE</v>
          </cell>
          <cell r="C332" t="str">
            <v>glycerol 3-phosphate acyltransferase (Lb reuteri specific)</v>
          </cell>
          <cell r="D332" t="str">
            <v>0.0211 cyclopropanoyl octadecanoyl-[acyl-carrier protein][c] + sn-Glycerol 3-phosphate[c] + 0.0258 Hexadecenoyl-ACP (n-C16:1ACP)[c] + 0.075 Octadecanoyl-[acyl-carrier protein][c] + 0.0418 octadecatrienoyl-ACP (n-C18:3ACP)[c] + 0.3519 Octadecynoyl-ACP (n-C18:2ACP)[c] + 0.1591 Octadecenoyl-ACP (n-C18:1ACP)[c] + 0.2566 Palmitoyl-ACP (n-C16:0ACP)[c] + 0.0687 Tetradecanoyl-[acyl-carrier protein][c] =&gt; acyl carrier protein[c] + 1-Acyl-sn-glycerol 3-phosphate (Lb reuteri specific)[c]</v>
          </cell>
        </row>
        <row r="333">
          <cell r="B333" t="str">
            <v>GCALDt</v>
          </cell>
          <cell r="C333" t="str">
            <v>Glycoaldehydye reversible transport</v>
          </cell>
          <cell r="D333" t="str">
            <v>Glycolaldehyde[e] &lt;=&gt; Glycolaldehyde[c]</v>
          </cell>
        </row>
        <row r="334">
          <cell r="B334" t="str">
            <v>GF6PTA</v>
          </cell>
          <cell r="C334" t="str">
            <v>glutamine-fructose-6-phosphate transaminase</v>
          </cell>
          <cell r="D334" t="str">
            <v>D-Fructose 6-phosphate[c] + L-Glutamine[c] =&gt; D-Glucosamine 6-phosphate[c] + L-Glutamate[c]</v>
          </cell>
          <cell r="E334" t="str">
            <v>2.6.1.16</v>
          </cell>
        </row>
        <row r="335">
          <cell r="B335" t="str">
            <v>GGGABAH</v>
          </cell>
          <cell r="C335" t="str">
            <v>gammaglutamyl-gamma-aminobutyrate hydrolase</v>
          </cell>
          <cell r="D335" t="str">
            <v>gammaglutamyl-gamma-aminobutyrate[c] + H2O[c] =&gt; 4-Aminobutanoate[c] + L-Glutamate[c]</v>
          </cell>
          <cell r="E335" t="str">
            <v>3.5.1.94</v>
          </cell>
        </row>
        <row r="336">
          <cell r="B336" t="str">
            <v>GHMT2r</v>
          </cell>
          <cell r="C336" t="str">
            <v>glycine hydroxymethyltransferase</v>
          </cell>
          <cell r="D336" t="str">
            <v>L-Serine[c] + 5,6,7,8-Tetrahydrofolate[c] &lt;=&gt; Glycine[c] + H2O[c] + 5,10-Methylenetetrahydrofolate[c]</v>
          </cell>
          <cell r="E336" t="str">
            <v>2.1.2.1</v>
          </cell>
        </row>
        <row r="337">
          <cell r="B337" t="str">
            <v>GK1</v>
          </cell>
          <cell r="C337" t="str">
            <v>guanylate kinase (GMP:ATP)</v>
          </cell>
          <cell r="D337" t="str">
            <v>ATP[c] + GMP[c] &lt;=&gt; ADP[c] + GDP[c]</v>
          </cell>
          <cell r="E337" t="str">
            <v>2.7.4.8</v>
          </cell>
        </row>
        <row r="338">
          <cell r="B338" t="str">
            <v>GLCNt2</v>
          </cell>
          <cell r="C338" t="str">
            <v>D-gluconate transport via proton symport, reversible</v>
          </cell>
          <cell r="D338" t="str">
            <v>D-Gluconate[e] + H+[e] &lt;=&gt; D-Gluconate[c] + H+[c]</v>
          </cell>
        </row>
        <row r="339">
          <cell r="B339" t="str">
            <v>GLCt</v>
          </cell>
          <cell r="C339" t="str">
            <v>D-glucose transport in via proton symport</v>
          </cell>
          <cell r="D339" t="str">
            <v>D-Glucose[e] + H+[e] =&gt; D-Glucose[c] + H+[c]</v>
          </cell>
        </row>
        <row r="340">
          <cell r="B340" t="str">
            <v>GLNS</v>
          </cell>
          <cell r="C340" t="str">
            <v>glutamine synthetase</v>
          </cell>
          <cell r="D340" t="str">
            <v>ATP[c] + L-Glutamate[c] + Ammonium[c] =&gt; ADP[c] + L-Glutamine[c] + H+[c] + Phosphate[c]</v>
          </cell>
          <cell r="E340" t="str">
            <v>6.3.1.2</v>
          </cell>
        </row>
        <row r="341">
          <cell r="B341" t="str">
            <v>GLNTAL</v>
          </cell>
          <cell r="C341" t="str">
            <v>glutamyl-tRNA(Gln):L-glutamine amido-ligase (ADP-forming)</v>
          </cell>
          <cell r="D341" t="str">
            <v>ATP[c] + L-Glutamine[c] + L-Glutamyl-tRNA(Glu)[c] + H2O[c] &lt;=&gt; ADP[c] + L-Glutaminyl-tRNA(Gln)[c] + L-Glutamate[c] + H+[c] + Phosphate[c]</v>
          </cell>
        </row>
        <row r="342">
          <cell r="B342" t="str">
            <v>GLNabc</v>
          </cell>
          <cell r="C342" t="str">
            <v>L-glutamine transport via ABC system</v>
          </cell>
          <cell r="D342" t="str">
            <v>ATP[c] + L-Glutamine[e] + H2O[c] =&gt; ADP[c] + L-Glutamine[c] + H+[c] + Phosphate[c]</v>
          </cell>
          <cell r="E342" t="str">
            <v>3.6.3.21</v>
          </cell>
        </row>
        <row r="343">
          <cell r="B343" t="str">
            <v>GLTAL</v>
          </cell>
          <cell r="C343" t="str">
            <v>Glucose lipoteichoic acid ligase</v>
          </cell>
          <cell r="D343" t="str">
            <v>lipoteichoic acid (n=25, LRE specific)[c] + 20 UDPglucose[c] =&gt; Lipoteichoic acid (n=25 with glucose residues, LRE specific)[c] + 20 H+[c] + 20 UDP[c]</v>
          </cell>
        </row>
        <row r="344">
          <cell r="B344" t="str">
            <v>GLU5K</v>
          </cell>
          <cell r="C344" t="str">
            <v>glutamate 5-kinase</v>
          </cell>
          <cell r="D344" t="str">
            <v>ATP[c] + L-Glutamate[c] =&gt; ADP[c] + L-Glutamate 5-phosphate[c]</v>
          </cell>
          <cell r="E344" t="str">
            <v>2.7.2.11</v>
          </cell>
        </row>
        <row r="345">
          <cell r="B345" t="str">
            <v>GLUCYSL</v>
          </cell>
          <cell r="C345" t="str">
            <v>glutamate-cysteine ligase</v>
          </cell>
          <cell r="D345" t="str">
            <v>ATP[c] + L-Cysteine[c] + L-Glutamate[c] =&gt; ADP[c] + gamma-L-Glutamyl-L-cysteine[c] + H+[c] + Phosphate[c]</v>
          </cell>
        </row>
        <row r="346">
          <cell r="B346" t="str">
            <v>GLUK</v>
          </cell>
          <cell r="C346" t="str">
            <v>glucokinase</v>
          </cell>
          <cell r="D346" t="str">
            <v>ATP[c] + D-Glucose[c] =&gt; ADP[c] + D-Glucose 6-phosphate[c] + H+[c]</v>
          </cell>
        </row>
        <row r="347">
          <cell r="B347" t="str">
            <v>GLUN</v>
          </cell>
          <cell r="C347" t="str">
            <v>glutaminase</v>
          </cell>
          <cell r="D347" t="str">
            <v>L-Glutamine[c] + H2O[c] =&gt; L-Glutamate[c] + Ammonium[c]</v>
          </cell>
          <cell r="E347" t="str">
            <v>1.4.1.13; 1.4.7.1; 3.5.1.2; 3.5.1.38; 4.3.3.6; 6.3.4.2; 6.3.5.2; 6.3.5.4; 6.3.5.5</v>
          </cell>
        </row>
        <row r="348">
          <cell r="B348" t="str">
            <v>GLUPRT</v>
          </cell>
          <cell r="C348" t="str">
            <v>glutamine phosphoribosyldiphosphate amidotransferase</v>
          </cell>
          <cell r="D348" t="str">
            <v>L-Glutamine[c] + H2O[c] + 5-Phospho-alpha-D-ribose 1-diphosphate[c] =&gt; L-Glutamate[c] + Diphosphate[c] + 5-Phospho-beta-D-ribosylamine[c]</v>
          </cell>
          <cell r="E348" t="str">
            <v>2.4.2.14</v>
          </cell>
        </row>
        <row r="349">
          <cell r="B349" t="str">
            <v>GLUR</v>
          </cell>
          <cell r="C349" t="str">
            <v>glutamate racemase</v>
          </cell>
          <cell r="D349" t="str">
            <v>D-Glutamate[c] &lt;=&gt; L-Glutamate[c]</v>
          </cell>
          <cell r="E349" t="str">
            <v>5.1.1.3</v>
          </cell>
        </row>
        <row r="350">
          <cell r="B350" t="str">
            <v>GLUTRR</v>
          </cell>
          <cell r="C350" t="str">
            <v>glutamyl-tRNA reductase</v>
          </cell>
          <cell r="D350" t="str">
            <v>L-Glutamyl-tRNA(Glu)[c] + H+[c] + Nicotinamide adenine dinucleotide phosphate - reduced[c] =&gt; L-Glutamate 1-semialdehyde[c] + Nicotinamide adenine dinucleotide phosphate[c] + tRNA (Glu)[c]</v>
          </cell>
          <cell r="E350" t="str">
            <v>1.2.1.70</v>
          </cell>
        </row>
        <row r="351">
          <cell r="B351" t="str">
            <v>GLUTRS</v>
          </cell>
          <cell r="C351" t="str">
            <v>Glutamyl-tRNA synthetase</v>
          </cell>
          <cell r="D351" t="str">
            <v>ATP[c] + L-Glutamate[c] + tRNA (Glu)[c] =&gt; AMP[c] + L-Glutamyl-tRNA(Glu)[c] + Diphosphate[c]</v>
          </cell>
          <cell r="E351" t="str">
            <v>6.1.1.-; 6.1.1.17; 6.1.1.24</v>
          </cell>
        </row>
        <row r="352">
          <cell r="B352" t="str">
            <v>GLUt6</v>
          </cell>
          <cell r="C352" t="str">
            <v>L-glutamate transport in/out via proton symporter</v>
          </cell>
          <cell r="D352" t="str">
            <v>L-Glutamate[e] + H+[e] &lt;=&gt; L-Glutamate[c] + H+[c]</v>
          </cell>
        </row>
        <row r="353">
          <cell r="B353" t="str">
            <v>GLYBabc</v>
          </cell>
          <cell r="C353" t="str">
            <v>glycine betaine transport via ABC system</v>
          </cell>
          <cell r="D353" t="str">
            <v>ATP[c] + Glycine betaine[e] + H2O[c] =&gt; ADP[c] + Glycine betaine[c] + H+[c] + Phosphate[c]</v>
          </cell>
        </row>
        <row r="354">
          <cell r="B354" t="str">
            <v>GLYBt6</v>
          </cell>
          <cell r="C354" t="str">
            <v>betaine (glycine betaine) transport in/out via proton symport</v>
          </cell>
          <cell r="D354" t="str">
            <v>Glycine betaine[e] + H+[e] &lt;=&gt; Glycine betaine[c] + H+[c]</v>
          </cell>
        </row>
        <row r="355">
          <cell r="B355" t="str">
            <v>GLYCDH</v>
          </cell>
          <cell r="C355" t="str">
            <v>glycerol dehydratase</v>
          </cell>
          <cell r="D355" t="str">
            <v>Glycerol[c] &lt;=&gt; 3-Hydroxypropanal[c] + H2O[c]</v>
          </cell>
        </row>
        <row r="356">
          <cell r="B356" t="str">
            <v>GLYCDx</v>
          </cell>
          <cell r="C356" t="str">
            <v>Glycerol dehydrogenase</v>
          </cell>
          <cell r="D356" t="str">
            <v>Glycerol[c] + Nicotinamide adenine dinucleotide[c] =&gt; Dihydroxyacetone[c] + H+[c] + Nicotinamide adenine dinucleotide - reduced[c]</v>
          </cell>
          <cell r="E356" t="str">
            <v>1.1.1.6</v>
          </cell>
        </row>
        <row r="357">
          <cell r="B357" t="str">
            <v>GLYCK</v>
          </cell>
          <cell r="C357" t="str">
            <v>glycerate kinase</v>
          </cell>
          <cell r="D357" t="str">
            <v>ATP[c] + (R)-Glycerate[c] =&gt; 3-Phospho-D-glycerate[c] + ADP[c] + H+[c]</v>
          </cell>
          <cell r="E357" t="str">
            <v>2.7.1.31</v>
          </cell>
        </row>
        <row r="358">
          <cell r="B358" t="str">
            <v>GLYCt5</v>
          </cell>
          <cell r="C358" t="str">
            <v>glycerol transport in/out via diffusion reversible</v>
          </cell>
          <cell r="D358" t="str">
            <v>Glycerol[c] &lt;=&gt; Glycerol[e]</v>
          </cell>
        </row>
        <row r="359">
          <cell r="B359" t="str">
            <v>GLYK</v>
          </cell>
          <cell r="C359" t="str">
            <v>glycerol kinase</v>
          </cell>
          <cell r="D359" t="str">
            <v>ATP[c] + Glycerol[c] =&gt; ADP[c] + sn-Glycerol 3-phosphate[c] + H+[c]</v>
          </cell>
          <cell r="E359" t="str">
            <v>2.7.1.30</v>
          </cell>
        </row>
        <row r="360">
          <cell r="B360" t="str">
            <v>GLYTRS</v>
          </cell>
          <cell r="C360" t="str">
            <v>Glycyl-tRNA synthetase</v>
          </cell>
          <cell r="D360" t="str">
            <v>ATP[c] + Glycine[c] + tRNA(Gly)[c] =&gt; AMP[c] + Glycyl-tRNA(Gly)[c] + Diphosphate[c]</v>
          </cell>
        </row>
        <row r="361">
          <cell r="B361" t="str">
            <v>GLYt6</v>
          </cell>
          <cell r="C361" t="str">
            <v>glycine transport in/out via proton symport</v>
          </cell>
          <cell r="D361" t="str">
            <v>Glycine[e] + H+[e] &lt;=&gt; Glycine[c] + H+[c]</v>
          </cell>
        </row>
        <row r="362">
          <cell r="B362" t="str">
            <v>GMPR</v>
          </cell>
          <cell r="C362" t="str">
            <v>GMP reductase</v>
          </cell>
          <cell r="D362" t="str">
            <v>GMP[c] + 2 H+[c] + Nicotinamide adenine dinucleotide phosphate - reduced[c] =&gt; IMP[c] + Nicotinamide adenine dinucleotide phosphate[c] + Ammonium[c]</v>
          </cell>
          <cell r="E362" t="str">
            <v>1.7.1.7</v>
          </cell>
        </row>
        <row r="363">
          <cell r="B363" t="str">
            <v>GMPS2</v>
          </cell>
          <cell r="C363" t="str">
            <v>GMP synthase (glutamine-hydrolysing)</v>
          </cell>
          <cell r="D363" t="str">
            <v>ATP[c] + L-Glutamine[c] + H2O[c] + Xanthosine 5'-phosphate[c] =&gt; AMP[c] + L-Glutamate[c] + GMP[c] + 2 H+[c] + Diphosphate[c]</v>
          </cell>
          <cell r="E363" t="str">
            <v>6.3.5.2</v>
          </cell>
        </row>
        <row r="364">
          <cell r="B364" t="str">
            <v>GND</v>
          </cell>
          <cell r="C364" t="str">
            <v>phosphogluconate dehydrogenase</v>
          </cell>
          <cell r="D364" t="str">
            <v>6-Phospho-D-gluconate[c] + Nicotinamide adenine dinucleotide phosphate[c] =&gt; CO2[c] + Nicotinamide adenine dinucleotide phosphate - reduced[c] + D-Ribulose 5-phosphate[c]</v>
          </cell>
          <cell r="E364" t="str">
            <v>1.1.1.351; 1.1.1.44</v>
          </cell>
        </row>
        <row r="365">
          <cell r="B365" t="str">
            <v>GNK</v>
          </cell>
          <cell r="C365" t="str">
            <v>gluconokinase</v>
          </cell>
          <cell r="D365" t="str">
            <v>ATP[c] + D-Gluconate[c] =&gt; 6-Phospho-D-gluconate[c] + ADP[c] + H+[c]</v>
          </cell>
          <cell r="E365" t="str">
            <v>2.7.1.12</v>
          </cell>
        </row>
        <row r="366">
          <cell r="B366" t="str">
            <v>GPDDA1</v>
          </cell>
          <cell r="C366" t="str">
            <v>Glycerophosphodiester phosphodiesterase (sn-Glycero-3-phosphocholine)</v>
          </cell>
          <cell r="D366" t="str">
            <v>sn-Glycero-3-phosphocholine[c] + H2O[c] =&gt; Choline[c] + sn-Glycerol 3-phosphate[c] + H+[c]</v>
          </cell>
          <cell r="E366" t="str">
            <v>3.1.4.2; 3.1.4.46</v>
          </cell>
        </row>
        <row r="367">
          <cell r="B367" t="str">
            <v>GPDDA2</v>
          </cell>
          <cell r="C367" t="str">
            <v>Glycerophosphodiester phosphodiesterase (Glycerophosphoethanolamine)</v>
          </cell>
          <cell r="D367" t="str">
            <v>sn-Glycero-3-phosphoethanolamine[c] + H2O[c] =&gt; Ethanolamine[c] + sn-Glycerol 3-phosphate[c] + H+[c]</v>
          </cell>
          <cell r="E367" t="str">
            <v>3.1.4.2; 3.1.4.46</v>
          </cell>
        </row>
        <row r="368">
          <cell r="B368" t="str">
            <v>GPDDA3</v>
          </cell>
          <cell r="C368" t="str">
            <v>Glycerophosphodiester phosphodiesterase (Glycerophosphoserine)</v>
          </cell>
          <cell r="D368" t="str">
            <v>Glycerophosphoserine[c] + H2O[c] =&gt; sn-Glycerol 3-phosphate[c] + H+[c] + L-Serine[c]</v>
          </cell>
          <cell r="E368" t="str">
            <v>3.1.4.46</v>
          </cell>
        </row>
        <row r="369">
          <cell r="B369" t="str">
            <v>GPDDA4</v>
          </cell>
          <cell r="C369" t="str">
            <v>Glycerophosphodiester phosphodiesterase (Glycerophosphoglycerol)</v>
          </cell>
          <cell r="D369" t="str">
            <v>Glycerophosphoglycerol[c] + H2O[c] =&gt; sn-Glycerol 3-phosphate[c] + Glycerol[c] + H+[c]</v>
          </cell>
          <cell r="E369" t="str">
            <v>3.1.4.46</v>
          </cell>
        </row>
        <row r="370">
          <cell r="B370" t="str">
            <v>GPDDA5</v>
          </cell>
          <cell r="C370" t="str">
            <v>Glycerophosphodiester phosphodiesterase (Glycerophosphoinositol)</v>
          </cell>
          <cell r="D370" t="str">
            <v>sn-Glycero-3-phospho-1-inositol[c] + H2O[c] =&gt; sn-Glycerol 3-phosphate[c] + H+[c] + myo-Inositol[c]</v>
          </cell>
          <cell r="E370" t="str">
            <v>3.1.4.44</v>
          </cell>
        </row>
        <row r="371">
          <cell r="B371" t="str">
            <v>GRTT</v>
          </cell>
          <cell r="C371" t="str">
            <v>geranyltranstransferase</v>
          </cell>
          <cell r="D371" t="str">
            <v>Geranyl diphosphate[c] + Isopentenyl diphosphate[c] =&gt; Farnesyl diphosphate[c] + Diphosphate[c]</v>
          </cell>
          <cell r="E371" t="str">
            <v>2.5.1.10</v>
          </cell>
        </row>
        <row r="372">
          <cell r="B372" t="str">
            <v>GTHRD</v>
          </cell>
          <cell r="C372" t="str">
            <v>glutathione-disulfide reductase</v>
          </cell>
          <cell r="D372" t="str">
            <v>2 Reduced glutathione[c] + Nicotinamide adenine dinucleotide phosphate[c] &lt;=&gt; Oxidized glutathione[c] + H+[c] + Nicotinamide adenine dinucleotide phosphate - reduced[c]</v>
          </cell>
        </row>
        <row r="373">
          <cell r="B373" t="str">
            <v>GTHS</v>
          </cell>
          <cell r="C373" t="str">
            <v>glutathione synthase</v>
          </cell>
          <cell r="D373" t="str">
            <v>ATP[c] + gamma-L-Glutamyl-L-cysteine[c] + Glycine[c] =&gt; ADP[c] + Reduced glutathione[c] + H+[c] + Phosphate[c]</v>
          </cell>
          <cell r="E373" t="str">
            <v>6.3.2.3</v>
          </cell>
        </row>
        <row r="374">
          <cell r="B374" t="str">
            <v>GTPCI</v>
          </cell>
          <cell r="C374" t="str">
            <v>GTP cyclohydrolase I</v>
          </cell>
          <cell r="D374" t="str">
            <v>GTP[c] + H2O[c] =&gt; 2-Amino-4-hydroxy-6-(erythro-1,2,3-trihydroxypropyl)dihydropteridine triphosphate[c] + Formate[c] + H+[c]</v>
          </cell>
          <cell r="E374" t="str">
            <v>3.5.4.16</v>
          </cell>
        </row>
        <row r="375">
          <cell r="B375" t="str">
            <v>GTPCII</v>
          </cell>
          <cell r="C375" t="str">
            <v>GTP cyclohydrolase II</v>
          </cell>
          <cell r="D375" t="str">
            <v>GTP[c] + 3 H2O[c] =&gt; 2,5-Diamino-6-hydroxy-4-(5'-phosphoribosylamino)-pyrimidine[c] + Formate[c] + 2 H+[c] + Diphosphate[c]</v>
          </cell>
        </row>
        <row r="376">
          <cell r="B376" t="str">
            <v>GTPDPK</v>
          </cell>
          <cell r="C376" t="str">
            <v>GTP diphosphokinase</v>
          </cell>
          <cell r="D376" t="str">
            <v>ATP[c] + GTP[c] =&gt; AMP[c] + Guanosine 3'-diphosphate 5'-triphosphate[c] + H+[c]</v>
          </cell>
          <cell r="E376" t="str">
            <v>2.7.6.5</v>
          </cell>
        </row>
        <row r="377">
          <cell r="B377" t="str">
            <v>GUAPRT</v>
          </cell>
          <cell r="C377" t="str">
            <v>guanine phosphoribosyltransferase</v>
          </cell>
          <cell r="D377" t="str">
            <v>Guanine[c] + 5-Phospho-alpha-D-ribose 1-diphosphate[c] =&gt; GMP[c] + Diphosphate[c]</v>
          </cell>
          <cell r="E377" t="str">
            <v>2.4.2.22; 2.4.2.7; 2.4.2.8</v>
          </cell>
        </row>
        <row r="378">
          <cell r="B378" t="str">
            <v>GUAt2</v>
          </cell>
          <cell r="C378" t="str">
            <v>guanine transport in via proton symport</v>
          </cell>
          <cell r="D378" t="str">
            <v>Guanine[e] + H+[e] =&gt; Guanine[c] + H+[c]</v>
          </cell>
        </row>
        <row r="379">
          <cell r="B379" t="str">
            <v>H2Ot5</v>
          </cell>
          <cell r="C379" t="str">
            <v>H2O transport via diffusion</v>
          </cell>
          <cell r="D379" t="str">
            <v>H2O[e] &lt;=&gt; H2O[c]</v>
          </cell>
        </row>
        <row r="380">
          <cell r="B380" t="str">
            <v>HACD1</v>
          </cell>
          <cell r="C380" t="str">
            <v>3-hydroxyacyl-CoA dehydrogenase (acetoacetyl-CoA)</v>
          </cell>
          <cell r="D380" t="str">
            <v>Acetoacetyl-CoA[c] + H+[c] + Nicotinamide adenine dinucleotide - reduced[c] &lt;=&gt; (S)-3-Hydroxybutyryl-CoA[c] + Nicotinamide adenine dinucleotide[c]</v>
          </cell>
          <cell r="E380" t="str">
            <v>1.1.1.35</v>
          </cell>
        </row>
        <row r="381">
          <cell r="B381" t="str">
            <v>HBUHL1</v>
          </cell>
          <cell r="C381" t="str">
            <v>(3R)-3-Hydroxybutanoyl-[acyl-carrier-protein] hydro-lyase</v>
          </cell>
          <cell r="D381" t="str">
            <v>(3R)-3-Hydroxybutanoyl-[acyl-carrier protein][c] =&gt; But-2-enoyl-[acyl-carrier protein][c] + H2O[c]</v>
          </cell>
        </row>
        <row r="382">
          <cell r="B382" t="str">
            <v>HBUR1</v>
          </cell>
          <cell r="C382" t="str">
            <v>(3R)-3-Hydroxybutanoyl-[acyl-carrier protein]:NADP+ oxidoreductase</v>
          </cell>
          <cell r="D382" t="str">
            <v>Acetoacetyl-[acyl-carrier protein][c] + H+[c] + Nicotinamide adenine dinucleotide phosphate - reduced[c] =&gt; (3R)-3-Hydroxybutanoyl-[acyl-carrier protein][c] + Nicotinamide adenine dinucleotide phosphate[c]</v>
          </cell>
        </row>
        <row r="383">
          <cell r="B383" t="str">
            <v>HCO3E</v>
          </cell>
          <cell r="C383" t="str">
            <v>carbonate dehydratase (HCO3 equilibration reaction)</v>
          </cell>
          <cell r="D383" t="str">
            <v>CO2[c] + H2O[c] &lt;=&gt; H+[c] + Bicarbonate[c]</v>
          </cell>
          <cell r="E383" t="str">
            <v>4.2.1.1</v>
          </cell>
        </row>
        <row r="384">
          <cell r="B384" t="str">
            <v>HCYSMT</v>
          </cell>
          <cell r="C384" t="str">
            <v>homocysteine S-methyltransferase</v>
          </cell>
          <cell r="D384" t="str">
            <v>S-Adenosyl-L-methionine[c] + L-Homocysteine[c] =&gt; S-Adenosyl-L-homocysteine[c] + H+[c] + L-Methionine[c]</v>
          </cell>
          <cell r="E384" t="str">
            <v>2.1.1.-; 2.1.1.10</v>
          </cell>
        </row>
        <row r="385">
          <cell r="B385" t="str">
            <v>HDDHL5</v>
          </cell>
          <cell r="C385" t="str">
            <v>(3R)-3-Hydroxybutanoyl-[acyl-carrier-protein] hydro-lyase</v>
          </cell>
          <cell r="D385" t="str">
            <v>(R)-3-Hydroxydodecanoyl-[acyl-carrier protein][c] =&gt; trans-Dodec-2-enoyl-[acyl-carrier protein][c] + H2O[c]</v>
          </cell>
        </row>
        <row r="386">
          <cell r="B386" t="str">
            <v>HDDR5</v>
          </cell>
          <cell r="C386" t="str">
            <v>3R)-3-Hydroxydodecanoyl-[acyl-carrier-protein]:NADP+ oxidoreductase</v>
          </cell>
          <cell r="D386" t="str">
            <v>3-Oxododecanoyl-[acyl-carrier protein][c] + H+[c] + Nicotinamide adenine dinucleotide phosphate - reduced[c] =&gt; (R)-3-Hydroxydodecanoyl-[acyl-carrier protein][c] + Nicotinamide adenine dinucleotide phosphate[c]</v>
          </cell>
        </row>
        <row r="387">
          <cell r="B387" t="str">
            <v>HDEHL4</v>
          </cell>
          <cell r="C387" t="str">
            <v>(3R)-3-Hydroxybutanoyl-[acyl-carrier-protein] hydro-lyase</v>
          </cell>
          <cell r="D387" t="str">
            <v>(3R)-3-Hydroxydecanoyl-[acyl-carrier protein][c] =&gt; trans-Dec-2-enoyl-[acyl-carrier protein][c] + H2O[c]</v>
          </cell>
        </row>
        <row r="388">
          <cell r="B388" t="str">
            <v>HDER4</v>
          </cell>
          <cell r="C388" t="str">
            <v>(3R)-3-Hydroxydecanoyl-[acyl-carrier-protein]:NADP+ oxidoreductase</v>
          </cell>
          <cell r="D388" t="str">
            <v>3-Oxodecanoyl-[acyl-carrier protein][c] + H+[c] + Nicotinamide adenine dinucleotide phosphate - reduced[c] =&gt; (3R)-3-Hydroxydecanoyl-[acyl-carrier protein][c] + Nicotinamide adenine dinucleotide phosphate[c]</v>
          </cell>
        </row>
        <row r="389">
          <cell r="B389" t="str">
            <v>HDMAT7</v>
          </cell>
          <cell r="C389" t="str">
            <v>Hexadecanoyl-[acyl-carrier protein]:malonyl-CoA  C-acyltransferase</v>
          </cell>
          <cell r="D389" t="str">
            <v>trans-Hexadec-2-enoyl-[acyl-carrier protein][c] + H+[c] + Nicotinamide adenine dinucleotide - reduced[c] =&gt; Nicotinamide adenine dinucleotide[c] + Palmitoyl-ACP (n-C16:0ACP)[c]</v>
          </cell>
        </row>
        <row r="390">
          <cell r="B390" t="str">
            <v>HEMAT2</v>
          </cell>
          <cell r="C390" t="str">
            <v>Hexanoyl-[acyl-carrier protein]:malonyl-CoA C-acyltransferase</v>
          </cell>
          <cell r="D390" t="str">
            <v>trans-Hex-2-enoyl-[acp][c] + H+[c] + Nicotinamide adenine dinucleotide - reduced[c] =&gt; Hexanoyl-[acyl-carrier protein][c] + Nicotinamide adenine dinucleotide[c]</v>
          </cell>
        </row>
        <row r="391">
          <cell r="B391" t="str">
            <v>HETZK</v>
          </cell>
          <cell r="C391" t="str">
            <v>hydroxyethylthiazole kinase</v>
          </cell>
          <cell r="D391" t="str">
            <v>4-Methyl-5-(2-hydroxyethyl)-thiazole[c] + ATP[c] =&gt; 4-Methyl-5-(2-phosphoethyl)-thiazole[c] + ADP[c] + H+[c]</v>
          </cell>
          <cell r="E391" t="str">
            <v>2.7.1.50</v>
          </cell>
        </row>
        <row r="392">
          <cell r="B392" t="str">
            <v>HEXTT</v>
          </cell>
          <cell r="C392" t="str">
            <v>trans-hexaprenyltranstransferase</v>
          </cell>
          <cell r="D392" t="str">
            <v>all-trans-Hexaprenyl diphosphate[c] + Isopentenyl diphosphate[c] =&gt; all-trans-Heptaprenyl diphosphate[c] + Diphosphate[c]</v>
          </cell>
          <cell r="E392" t="str">
            <v>2.5.1.-</v>
          </cell>
        </row>
        <row r="393">
          <cell r="B393" t="str">
            <v>HHDHL7</v>
          </cell>
          <cell r="C393" t="str">
            <v>(3R)-3-Hydroxypalmitoyl-[acyl-carrier-protein] hydro-lyase</v>
          </cell>
          <cell r="D393" t="str">
            <v>(3R)-3-Hydroxypalmitoyl-[acyl-carrier protein][c] =&gt; trans-Hexadec-2-enoyl-[acyl-carrier protein][c] + H2O[c]</v>
          </cell>
        </row>
        <row r="394">
          <cell r="B394" t="str">
            <v>HHDR7</v>
          </cell>
          <cell r="C394" t="str">
            <v>(3R)-3-Hydroxypalmitoyl-[acyl-carrier-protein]:NADP+ oxidoreductase</v>
          </cell>
          <cell r="D394" t="str">
            <v>3-Oxohexadecanoyl-[acp][c] + H+[c] + Nicotinamide adenine dinucleotide phosphate - reduced[c] =&gt; (3R)-3-Hydroxypalmitoyl-[acyl-carrier protein][c] + Nicotinamide adenine dinucleotide phosphate[c]</v>
          </cell>
        </row>
        <row r="395">
          <cell r="B395" t="str">
            <v>HHYHL2</v>
          </cell>
          <cell r="C395" t="str">
            <v>(3R)-3-Hydroxybutanoyl-[acyl-carrier-protein] hydro-lyase</v>
          </cell>
          <cell r="D395" t="str">
            <v>(R)-3-Hydroxyhexanoyl-[acp][c] =&gt; trans-Hex-2-enoyl-[acp][c] + H2O[c]</v>
          </cell>
        </row>
        <row r="396">
          <cell r="B396" t="str">
            <v>HHYR2</v>
          </cell>
          <cell r="C396" t="str">
            <v>(3R)-3-Hydroxyhexanoyl-[acyl-carrier-protein]:NADP+ oxidoreductase</v>
          </cell>
          <cell r="D396" t="str">
            <v>3-Oxohexanoyl-[acyl-carrier protein][c] + H+[c] + Nicotinamide adenine dinucleotide phosphate - reduced[c] =&gt; (R)-3-Hydroxyhexanoyl-[acp][c] + Nicotinamide adenine dinucleotide phosphate[c]</v>
          </cell>
        </row>
        <row r="397">
          <cell r="B397" t="str">
            <v>HISDC</v>
          </cell>
          <cell r="C397" t="str">
            <v>histidine decarboxylase</v>
          </cell>
          <cell r="D397" t="str">
            <v>H+[c] + L-Histidine[c] =&gt; CO2[c] + Histamine[c]</v>
          </cell>
        </row>
        <row r="398">
          <cell r="B398" t="str">
            <v>HISTAap</v>
          </cell>
          <cell r="C398" t="str">
            <v>histide/histamine antiporter</v>
          </cell>
          <cell r="D398" t="str">
            <v>L-Histidine[c] + Histamine[e] &lt;=&gt; L-Histidine[e] + Histamine[c]</v>
          </cell>
        </row>
        <row r="399">
          <cell r="B399" t="str">
            <v>HISTRS</v>
          </cell>
          <cell r="C399" t="str">
            <v>Histidyl-tRNA synthetase</v>
          </cell>
          <cell r="D399" t="str">
            <v>ATP[c] + L-Histidine[c] + tRNA(His)[c] =&gt; AMP[c] + L-Histidyl-tRNA(His)[c] + Diphosphate[c]</v>
          </cell>
        </row>
        <row r="400">
          <cell r="B400" t="str">
            <v>HISabc</v>
          </cell>
          <cell r="C400" t="str">
            <v>L-histidine transport via ABC system</v>
          </cell>
          <cell r="D400" t="str">
            <v>ATP[c] + H2O[c] + L-Histidine[e] =&gt; ADP[c] + H+[c] + L-Histidine[c] + Phosphate[c]</v>
          </cell>
        </row>
        <row r="401">
          <cell r="B401" t="str">
            <v>HMBS</v>
          </cell>
          <cell r="C401" t="str">
            <v>hydroxymethylbilane synthase</v>
          </cell>
          <cell r="D401" t="str">
            <v>H2O[c] + 4 Porphobilinogen[c] =&gt; Hydroxymethylbilane[c] + 4 Ammonium[c]</v>
          </cell>
          <cell r="E401" t="str">
            <v>2.5.1.61; 4.3.1.8</v>
          </cell>
        </row>
        <row r="402">
          <cell r="B402" t="str">
            <v>HMGCOAR</v>
          </cell>
          <cell r="C402" t="str">
            <v>Hydroxymethylglutaryl CoA reductase</v>
          </cell>
          <cell r="D402" t="str">
            <v>Coenzyme A[c] + (R)-Mevalonate[c] + 2 Nicotinamide adenine dinucleotide phosphate[c] &lt;=&gt; 2 H+[c] + Hydroxymethylglutaryl-CoA[c] + 2 Nicotinamide adenine dinucleotide phosphate - reduced[c]</v>
          </cell>
          <cell r="E402" t="str">
            <v>1.1.1.34</v>
          </cell>
        </row>
        <row r="403">
          <cell r="B403" t="str">
            <v>HMGCOAS</v>
          </cell>
          <cell r="C403" t="str">
            <v>Hydroxymethylglutaryl CoA synthase</v>
          </cell>
          <cell r="D403" t="str">
            <v>Coenzyme A[c] + H+[c] + Hydroxymethylglutaryl-CoA[c] &lt;=&gt; Acetoacetyl-CoA[c] + Acetyl-CoA[c] + H2O[c]</v>
          </cell>
          <cell r="E403" t="str">
            <v>2.3.3.10</v>
          </cell>
        </row>
        <row r="404">
          <cell r="B404" t="str">
            <v>HMPK1</v>
          </cell>
          <cell r="C404" t="str">
            <v>hydroxymethylpyrimidine kinase (ATP)</v>
          </cell>
          <cell r="D404" t="str">
            <v>4-Amino-5-hydroxymethyl-2-methylpyrimidine[c] + ATP[c] =&gt; 4-Amino-2-methyl-5-phosphomethylpyrimidine[c] + ADP[c] + H+[c]</v>
          </cell>
          <cell r="E404" t="str">
            <v>2.7.1.49</v>
          </cell>
        </row>
        <row r="405">
          <cell r="B405" t="str">
            <v>HMPabc</v>
          </cell>
          <cell r="C405" t="str">
            <v>Hydroxymethylpyrimidine ABC transporter</v>
          </cell>
          <cell r="D405" t="str">
            <v>4-Amino-5-hydroxymethyl-2-methylpyrimidine[e] + ATP[c] + H2O[c] =&gt; 4-Amino-5-hydroxymethyl-2-methylpyrimidine[c] + ADP[c] + H+[c] + Phosphate[c]</v>
          </cell>
        </row>
        <row r="406">
          <cell r="B406" t="str">
            <v>HOCHL3</v>
          </cell>
          <cell r="C406" t="str">
            <v>((3R)-3-Hydroxybutanoyl-[acyl-carrier-protein] hydro-lyase</v>
          </cell>
          <cell r="D406" t="str">
            <v>(R)-3-Hydroxyoctanoyl-[acyl-carrier protein][c] =&gt; trans-Oct-2-enoyl-[acp][c] + H2O[c]</v>
          </cell>
        </row>
        <row r="407">
          <cell r="B407" t="str">
            <v>HOCR3</v>
          </cell>
          <cell r="C407" t="str">
            <v>(3R)-3-Hydroxyoctanoyl-[acyl-carrier-protein]:NADP+ oxidoreductase</v>
          </cell>
          <cell r="D407" t="str">
            <v>3-Oxooctanoyl-[acyl-carrier protein][c] + H+[c] + Nicotinamide adenine dinucleotide phosphate - reduced[c] =&gt; (R)-3-Hydroxyoctanoyl-[acyl-carrier protein][c] + Nicotinamide adenine dinucleotide phosphate[c]</v>
          </cell>
        </row>
        <row r="408">
          <cell r="B408" t="str">
            <v>HODHL8</v>
          </cell>
          <cell r="C408" t="str">
            <v>(3R)-3-Hydroxyoctadecanoyl-[acyl-carrier-protein] hydro-lyase</v>
          </cell>
          <cell r="D408" t="str">
            <v>(3R)-3-Hydroxyoctadecanoyl-[acyl-carrier protein[c] =&gt; trans-Octadec-2-enoyl-[acyl-carrier-protein][c] + H2O[c]</v>
          </cell>
        </row>
        <row r="409">
          <cell r="B409" t="str">
            <v>HODR8</v>
          </cell>
          <cell r="C409" t="str">
            <v>(3R)-3-Hydroxyoctadecanoyl-[acyl-carrier-protein]:NADP+ oxidoreductase</v>
          </cell>
          <cell r="D409" t="str">
            <v>3-Oxooctadecanoyl-[acp][c] + H+[c] + Nicotinamide adenine dinucleotide phosphate - reduced[c] =&gt; (3R)-3-Hydroxyoctadecanoyl-[acyl-carrier protein[c] + Nicotinamide adenine dinucleotide phosphate[c]</v>
          </cell>
        </row>
        <row r="410">
          <cell r="B410" t="str">
            <v>HPPK</v>
          </cell>
          <cell r="C410" t="str">
            <v>2-amino-4-hydroxy-6-hydroxymethyldihydropteridine diphosphokinase</v>
          </cell>
          <cell r="D410" t="str">
            <v>2-Amino-4-hydroxy-6-hydroxymethyl-7,8-dihydropteridine[c] + ATP[c] =&gt; 2-Amino-4-hydroxy-6-hydroxymethyl-7,8-dihydropteridine diphosphate[c] + AMP[c] + H+[c]</v>
          </cell>
        </row>
        <row r="411">
          <cell r="B411" t="str">
            <v>HSAT</v>
          </cell>
          <cell r="C411" t="str">
            <v>Acetyl-CoA:L-homoserine O-acetyltransferase</v>
          </cell>
          <cell r="D411" t="str">
            <v>Acetyl-CoA[c] + L-Homoserine[c] &lt;=&gt; O-Acetyl-L-homoserine[c] + Coenzyme A[c]</v>
          </cell>
        </row>
        <row r="412">
          <cell r="B412" t="str">
            <v>HSDy</v>
          </cell>
          <cell r="C412" t="str">
            <v>homoserine dehydrogenase (NADPH)</v>
          </cell>
          <cell r="D412" t="str">
            <v>L-Homoserine[c] + Nicotinamide adenine dinucleotide phosphate[c] &lt;=&gt; L-Aspartate 4-semialdehyde[c] + H+[c] + Nicotinamide adenine dinucleotide phosphate - reduced[c]</v>
          </cell>
          <cell r="E412" t="str">
            <v>1.1.1.3</v>
          </cell>
        </row>
        <row r="413">
          <cell r="B413" t="str">
            <v>HTDHL6</v>
          </cell>
          <cell r="C413" t="str">
            <v>(3R)-3-Hydroxypalmitoyl-[acyl-carrier-protein] hydro-lyase</v>
          </cell>
          <cell r="D413" t="str">
            <v>(3R)-3-Hydroxytetradecanoyl-[acyl-carrier protein][c] =&gt; trans-Tetradec-2-enoyl-[acyl-carrier protein][c] + H2O[c]</v>
          </cell>
        </row>
        <row r="414">
          <cell r="B414" t="str">
            <v>HTDR6</v>
          </cell>
          <cell r="C414" t="str">
            <v>3R)-3-Hydroxytetradecanoyl-[acyl-carrier-protein]:NADP+ oxidoreductase</v>
          </cell>
          <cell r="D414" t="str">
            <v>3-Oxotetradecanoyl-[acyl-carrier protein][c] + H+[c] + Nicotinamide adenine dinucleotide phosphate - reduced[c] =&gt; (3R)-3-Hydroxytetradecanoyl-[acyl-carrier protein][c] + Nicotinamide adenine dinucleotide phosphate[c]</v>
          </cell>
        </row>
        <row r="415">
          <cell r="B415" t="str">
            <v>HXANt2</v>
          </cell>
          <cell r="C415" t="str">
            <v>hypoxanthine transport in via proton symport</v>
          </cell>
          <cell r="D415" t="str">
            <v>H+[e] + Hypoxanthine[e] =&gt; H+[c] + Hypoxanthine[c]</v>
          </cell>
        </row>
        <row r="416">
          <cell r="B416" t="str">
            <v>HXPRT</v>
          </cell>
          <cell r="C416" t="str">
            <v>hypoxanthine phosphoribosyltransferase (Hypoxanthine)</v>
          </cell>
          <cell r="D416" t="str">
            <v>Hypoxanthine[c] + 5-Phospho-alpha-D-ribose 1-diphosphate[c] =&gt; IMP[c] + Diphosphate[c]</v>
          </cell>
          <cell r="E416" t="str">
            <v>2.4.2.8</v>
          </cell>
        </row>
        <row r="417">
          <cell r="B417" t="str">
            <v>HYPOE</v>
          </cell>
          <cell r="C417" t="str">
            <v>hypothetical enzyme</v>
          </cell>
          <cell r="D417" t="str">
            <v>H2O[c] + Pyridoxamine 5'-phosphate[c] =&gt; Phosphate[c] + Pyridoxamine[c]</v>
          </cell>
          <cell r="E417" t="str">
            <v>3.1.3.74</v>
          </cell>
        </row>
        <row r="418">
          <cell r="B418" t="str">
            <v>ICDHy</v>
          </cell>
          <cell r="C418" t="str">
            <v>isocitrate dehydrogenase (NADP)</v>
          </cell>
          <cell r="D418" t="str">
            <v>Isocitrate[c] + Nicotinamide adenine dinucleotide phosphate[c] &lt;=&gt; 2-Oxoglutarate[c] + CO2[c] + Nicotinamide adenine dinucleotide phosphate - reduced[c]</v>
          </cell>
        </row>
        <row r="419">
          <cell r="B419" t="str">
            <v>ILETRS</v>
          </cell>
          <cell r="C419" t="str">
            <v>Isoleucyl-tRNA synthetase</v>
          </cell>
          <cell r="D419" t="str">
            <v>ATP[c] + L-Isoleucine[c] + tRNA(Ile)[c] =&gt; AMP[c] + L-Isoleucyl-tRNA(Ile)[c] + Diphosphate[c]</v>
          </cell>
        </row>
        <row r="420">
          <cell r="B420" t="str">
            <v>ILEt2</v>
          </cell>
          <cell r="C420" t="str">
            <v>L-isoleucine transport in via proton symport</v>
          </cell>
          <cell r="D420" t="str">
            <v>H+[e] + L-Isoleucine[e] =&gt; H+[c] + L-Isoleucine[c]</v>
          </cell>
        </row>
        <row r="421">
          <cell r="B421" t="str">
            <v>ILEt6</v>
          </cell>
          <cell r="C421" t="str">
            <v>L-isoeucine transport in/out via proton symport</v>
          </cell>
          <cell r="D421" t="str">
            <v>H+[e] + L-Isoleucine[e] &lt;=&gt; H+[c] + L-Isoleucine[c]</v>
          </cell>
        </row>
        <row r="422">
          <cell r="B422" t="str">
            <v>IMPC</v>
          </cell>
          <cell r="C422" t="str">
            <v>IMP cyclohydrolase</v>
          </cell>
          <cell r="D422" t="str">
            <v>H2O[c] + IMP[c] &lt;=&gt; 5-Formamido-1-(5-phospho-D-ribosyl)imidazole-4-carboxamide[c]</v>
          </cell>
          <cell r="E422" t="str">
            <v>2.1.2.3; 3.5.4.10</v>
          </cell>
        </row>
        <row r="423">
          <cell r="B423" t="str">
            <v>INSt2r</v>
          </cell>
          <cell r="C423" t="str">
            <v>inosine transport in via proton symport, reversible</v>
          </cell>
          <cell r="D423" t="str">
            <v>H+[e] + Inosine[e] &lt;=&gt; H+[c] + Inosine[c]</v>
          </cell>
        </row>
        <row r="424">
          <cell r="B424" t="str">
            <v>IPDDI</v>
          </cell>
          <cell r="C424" t="str">
            <v>isopentenyl-diphosphate D-isomerase</v>
          </cell>
          <cell r="D424" t="str">
            <v>Isopentenyl diphosphate[c] &lt;=&gt; Dimethylallyl diphosphate[c]</v>
          </cell>
          <cell r="E424" t="str">
            <v>5.3.3.2</v>
          </cell>
        </row>
        <row r="425">
          <cell r="B425" t="str">
            <v>Kabc</v>
          </cell>
          <cell r="C425" t="str">
            <v>potassium transport via ABC system</v>
          </cell>
          <cell r="D425" t="str">
            <v>ATP[c] + H2O[c] + K+[e] =&gt; ADP[c] + H+[c] + K+[c] + Phosphate[c]</v>
          </cell>
        </row>
        <row r="426">
          <cell r="B426" t="str">
            <v>LCTSt6</v>
          </cell>
          <cell r="C426" t="str">
            <v>lactose transport in/out via proton symport</v>
          </cell>
          <cell r="D426" t="str">
            <v>H+[e] + Lactose[e] &lt;=&gt; H+[c] + Lactose[c]</v>
          </cell>
        </row>
        <row r="427">
          <cell r="B427" t="str">
            <v>LDH_D</v>
          </cell>
          <cell r="C427" t="str">
            <v>D-lactate dehydrogenase</v>
          </cell>
          <cell r="D427" t="str">
            <v>D-Lactate[c] + Nicotinamide adenine dinucleotide[c] &lt;=&gt; H+[c] + Nicotinamide adenine dinucleotide - reduced[c] + Pyruvate[c]</v>
          </cell>
          <cell r="E427" t="str">
            <v>1.1.1.28</v>
          </cell>
        </row>
        <row r="428">
          <cell r="B428" t="str">
            <v>LDH_L</v>
          </cell>
          <cell r="C428" t="str">
            <v>L-lactate dehydrogenase</v>
          </cell>
          <cell r="D428" t="str">
            <v>L-Lactate[c] + Nicotinamide adenine dinucleotide[c] &lt;=&gt; H+[c] + Nicotinamide adenine dinucleotide - reduced[c] + Pyruvate[c]</v>
          </cell>
          <cell r="E428" t="str">
            <v>1.1.1.27</v>
          </cell>
        </row>
        <row r="429">
          <cell r="B429" t="str">
            <v>LEUTRS</v>
          </cell>
          <cell r="C429" t="str">
            <v>Leucyl-tRNA synthetase</v>
          </cell>
          <cell r="D429" t="str">
            <v>ATP[c] + L-Leucine[c] + tRNA(Leu)[c] =&gt; AMP[c] + L-Leucyl-tRNA(Leu)[c] + Diphosphate[c]</v>
          </cell>
        </row>
        <row r="430">
          <cell r="B430" t="str">
            <v>LEUt2</v>
          </cell>
          <cell r="C430" t="str">
            <v>L-leucine transport in via proton symport</v>
          </cell>
          <cell r="D430" t="str">
            <v>H+[e] + L-Leucine[e] =&gt; H+[c] + L-Leucine[c]</v>
          </cell>
        </row>
        <row r="431">
          <cell r="B431" t="str">
            <v>LEUt6</v>
          </cell>
          <cell r="C431" t="str">
            <v>L-leucine transport in/out via proton symport</v>
          </cell>
          <cell r="D431" t="str">
            <v>H+[e] + L-Leucine[e] &lt;=&gt; H+[c] + L-Leucine[c]</v>
          </cell>
        </row>
        <row r="432">
          <cell r="B432" t="str">
            <v>LIP_LRE</v>
          </cell>
          <cell r="C432" t="str">
            <v>Lipid reaction (Lb. plantarum specific)</v>
          </cell>
          <cell r="D432" t="str">
            <v>0.02 Cardiolipin (LRE specific)[c] + 0.23 1-lysyl-phosphatidyl glycerol (LRE specific)[c] + 0.75 Phospatidylglycerol (LRE specific)[c] =&gt; Lipids specific for L.reuteri[c]</v>
          </cell>
        </row>
        <row r="433">
          <cell r="B433" t="str">
            <v>LPGS_LRE</v>
          </cell>
          <cell r="C433" t="str">
            <v>lysylphosphatidyl-glycerol synthetase</v>
          </cell>
          <cell r="D433" t="str">
            <v>L-Lysine-tRNA (Lys)[c] + Phospatidylglycerol (LRE specific)[c] =&gt; 1-lysyl-phosphatidyl glycerol (LRE specific)[c] + tRNA(Lys)[c]</v>
          </cell>
        </row>
        <row r="434">
          <cell r="B434" t="str">
            <v>LTAS_LRE</v>
          </cell>
          <cell r="C434" t="str">
            <v>Lipoteichoic acid synthase (LRE specific)</v>
          </cell>
          <cell r="D434" t="str">
            <v>Diglucosyl-diacylglycerol[c] + 20 Phospatidylglycerol (LRE specific)[c] =&gt; lipoteichoic acid (n=25, LRE specific)[c] + 20 1,2-Diacylglycerol, LRE specific[c]</v>
          </cell>
        </row>
        <row r="435">
          <cell r="B435" t="str">
            <v>LTA_total</v>
          </cell>
          <cell r="C435" t="str">
            <v>Lipteichoic acid reaction (Lb.reuteri specific)</v>
          </cell>
          <cell r="D435" t="str">
            <v>0.175 lipoteichoic acid (n=25, LRE specific)[c] + 0.765 Lipoteichoic acid (n=25) with 100% D-Ala substitutions (LRE specific)[c] + 0.06 Lipoteichoic acid (n=25 with glucose residues, LRE specific)[c] =&gt; Lipoteichoic acid specific for L.reuteri[c]</v>
          </cell>
        </row>
        <row r="436">
          <cell r="B436" t="str">
            <v>LYSDC</v>
          </cell>
          <cell r="C436" t="str">
            <v>lysine decarboxylase</v>
          </cell>
          <cell r="D436" t="str">
            <v>H+[c] + L-Lysine[c] =&gt; 1,5-Diaminopentane[c] + CO2[c]</v>
          </cell>
          <cell r="E436" t="str">
            <v>4.1.1.18</v>
          </cell>
        </row>
        <row r="437">
          <cell r="B437" t="str">
            <v>LYSTRS</v>
          </cell>
          <cell r="C437" t="str">
            <v>Lysyl-tRNA synthetase</v>
          </cell>
          <cell r="D437" t="str">
            <v>ATP[c] + L-Lysine[c] + tRNA(Lys)[c] =&gt; AMP[c] + L-Lysine-tRNA (Lys)[c] + Diphosphate[c]</v>
          </cell>
        </row>
        <row r="438">
          <cell r="B438" t="str">
            <v>LYSt6</v>
          </cell>
          <cell r="C438" t="str">
            <v>L-lysine transport in/out via proton symport</v>
          </cell>
          <cell r="D438" t="str">
            <v>H+[e] + L-Lysine[e] &lt;=&gt; H+[c] + L-Lysine[c]</v>
          </cell>
        </row>
        <row r="439">
          <cell r="B439" t="str">
            <v>L_LACt2</v>
          </cell>
          <cell r="C439" t="str">
            <v>L-lactate reversible transport via proton symport</v>
          </cell>
          <cell r="D439" t="str">
            <v>2 H+[e] + L-Lactate[e] &lt;=&gt; 2 H+[c] + L-Lactate[c]</v>
          </cell>
        </row>
        <row r="440">
          <cell r="B440" t="str">
            <v>M1PD</v>
          </cell>
          <cell r="C440" t="str">
            <v>mannitol-1-phosphate 5-dehydrogenase</v>
          </cell>
          <cell r="D440" t="str">
            <v>D-Mannitol 1-phosphate[c] + Nicotinamide adenine dinucleotide[c] &lt;=&gt; D-Fructose 6-phosphate[c] + H+[c] + Nicotinamide adenine dinucleotide - reduced[c]</v>
          </cell>
          <cell r="E440" t="str">
            <v>1.1.1.17</v>
          </cell>
        </row>
        <row r="441">
          <cell r="B441" t="str">
            <v>MALLAC</v>
          </cell>
          <cell r="C441" t="str">
            <v>malolactic enzyme</v>
          </cell>
          <cell r="D441" t="str">
            <v>H+[c] + L-Malate[c] =&gt; CO2[c] + L-Lactate[c]</v>
          </cell>
        </row>
        <row r="442">
          <cell r="B442" t="str">
            <v>MALP</v>
          </cell>
          <cell r="C442" t="str">
            <v>maltose phosphorylase</v>
          </cell>
          <cell r="D442" t="str">
            <v>Maltose[c] + Phosphate[c] &lt;=&gt; beta-D-Glucose 1-phosphate[c] + D-Glucose[c]</v>
          </cell>
        </row>
        <row r="443">
          <cell r="B443" t="str">
            <v>MALT</v>
          </cell>
          <cell r="C443" t="str">
            <v>alpha-glucosidase</v>
          </cell>
          <cell r="D443" t="str">
            <v>H2O[c] + Maltose[c] =&gt; 2 D-Glucose[c]</v>
          </cell>
          <cell r="E443" t="str">
            <v>3.2.1.20</v>
          </cell>
        </row>
        <row r="444">
          <cell r="B444" t="str">
            <v>MALTt</v>
          </cell>
          <cell r="C444" t="str">
            <v>maltose transport in/out via proton symport</v>
          </cell>
          <cell r="D444" t="str">
            <v>H+[e] + Maltose C12H22O11[e] &lt;=&gt; H+[c] + Maltose[c]</v>
          </cell>
        </row>
        <row r="445">
          <cell r="B445" t="str">
            <v>MALt6</v>
          </cell>
          <cell r="C445" t="str">
            <v>malate symporter</v>
          </cell>
          <cell r="D445" t="str">
            <v>H+[e] + L-Malate[e] &lt;=&gt; H+[c] + L-Malate[c]</v>
          </cell>
        </row>
        <row r="446">
          <cell r="B446" t="str">
            <v>MAN6PI</v>
          </cell>
          <cell r="C446" t="str">
            <v>mannose-6-phosphate isomerase</v>
          </cell>
          <cell r="D446" t="str">
            <v>D-Mannose 6-phosphate[c] &lt;=&gt; D-Fructose 6-phosphate[c]</v>
          </cell>
          <cell r="E446" t="str">
            <v>5.3.1.8</v>
          </cell>
        </row>
        <row r="447">
          <cell r="B447" t="str">
            <v>MCMAT2</v>
          </cell>
          <cell r="C447" t="str">
            <v>Butyryl-[acyl-carrier protein]:malonyl-[acyl-carrier-protein]C-acyltransferase (decarboxylating)</v>
          </cell>
          <cell r="D447" t="str">
            <v>Butyryl-[acyl-carrier protein][c] + H+[c] + Malonyl-[acyl-carrier protein][c] =&gt; 3-Oxohexanoyl-[acyl-carrier protein][c] + acyl carrier protein[c] + CO2[c]</v>
          </cell>
        </row>
        <row r="448">
          <cell r="B448" t="str">
            <v>MCMAT3</v>
          </cell>
          <cell r="C448" t="str">
            <v>Hexanoyl-[acyl-carrier protein]:malonyl-[acyl-carrier-protein] C-acyltransferase</v>
          </cell>
          <cell r="D448" t="str">
            <v>H+[c] + Hexanoyl-[acyl-carrier protein][c] + Malonyl-[acyl-carrier protein][c] =&gt; 3-Oxooctanoyl-[acyl-carrier protein][c] + acyl carrier protein[c] + CO2[c]</v>
          </cell>
        </row>
        <row r="449">
          <cell r="B449" t="str">
            <v>MCMAT4</v>
          </cell>
          <cell r="C449" t="str">
            <v>Octanoyl-[acyl-carrier protein]:malonyl-[acyl-carrier-protein]   C-acyltransferase (decarboxylating)</v>
          </cell>
          <cell r="D449" t="str">
            <v>H+[c] + Malonyl-[acyl-carrier protein][c] + Octanoyl-[acyl-carrier protein][c] =&gt; 3-Oxodecanoyl-[acyl-carrier protein][c] + acyl carrier protein[c] + CO2[c]</v>
          </cell>
        </row>
        <row r="450">
          <cell r="B450" t="str">
            <v>MCMAT5</v>
          </cell>
          <cell r="C450" t="str">
            <v>Decanoyl-[acyl-carrier protein]:malonyl-[acyl-carrier-protein] C-acyltransferase</v>
          </cell>
          <cell r="D450" t="str">
            <v>Decanoyl-[acyl-carrier protein][c] + H+[c] + Malonyl-[acyl-carrier protein][c] =&gt; 3-Oxododecanoyl-[acyl-carrier protein][c] + acyl carrier protein[c] + CO2[c]</v>
          </cell>
        </row>
        <row r="451">
          <cell r="B451" t="str">
            <v>MCMAT6</v>
          </cell>
          <cell r="C451" t="str">
            <v>Dodecanoyl-[acyl-carrier-protein]:malonyl-[acyl-carrier-protein]  C-acyltransferase</v>
          </cell>
          <cell r="D451" t="str">
            <v>Dodecanoyl-[acyl-carrier protein][c] + H+[c] + Malonyl-[acyl-carrier protein][c] =&gt; 3-Oxotetradecanoyl-[acyl-carrier protein][c] + acyl carrier protein[c] + CO2[c]</v>
          </cell>
        </row>
        <row r="452">
          <cell r="B452" t="str">
            <v>MCMAT7</v>
          </cell>
          <cell r="C452" t="str">
            <v>Tetradecanoyl-[acyl-carrier-protein]:malonyl-[acyl-carrier-protein]  C-acyltransferase</v>
          </cell>
          <cell r="D452" t="str">
            <v>H+[c] + Malonyl-[acyl-carrier protein][c] + Tetradecanoyl-[acyl-carrier protein][c] =&gt; 3-Oxohexadecanoyl-[acp][c] + acyl carrier protein[c] + CO2[c]</v>
          </cell>
        </row>
        <row r="453">
          <cell r="B453" t="str">
            <v>MCMAT8</v>
          </cell>
          <cell r="C453" t="str">
            <v>Hexadecanoyl-[acyl-carrier-protein]:malonyl-[acyl-carrier-protein]  C-acyltransferase</v>
          </cell>
          <cell r="D453" t="str">
            <v>H+[c] + Malonyl-[acyl-carrier protein][c] + Palmitoyl-ACP (n-C16:0ACP)[c] =&gt; 3-Oxooctadecanoyl-[acp][c] + acyl carrier protein[c] + CO2[c]</v>
          </cell>
        </row>
        <row r="454">
          <cell r="B454" t="str">
            <v>MCOATA</v>
          </cell>
          <cell r="C454" t="str">
            <v>Malonyl-CoA:[acyl-carrier-protein] S-malonyltransferase</v>
          </cell>
          <cell r="D454" t="str">
            <v>acyl carrier protein[c] + Malonyl-CoA[c] &lt;=&gt; Coenzyme A[c] + Malonyl-[acyl-carrier protein][c]</v>
          </cell>
          <cell r="E454" t="str">
            <v>2.3.1.-; 2.3.1.0; 2.3.1.39; 2.3.1.85; 2.3.1.86</v>
          </cell>
        </row>
        <row r="455">
          <cell r="B455" t="str">
            <v>MDH</v>
          </cell>
          <cell r="C455" t="str">
            <v>malate dehydrogenase</v>
          </cell>
          <cell r="D455" t="str">
            <v>L-Malate[c] + Nicotinamide adenine dinucleotide[c] &lt;=&gt; H+[c] + Nicotinamide adenine dinucleotide - reduced[c] + Oxaloacetate[c]</v>
          </cell>
          <cell r="E455" t="str">
            <v>1.1.1.299; 1.1.1.37</v>
          </cell>
        </row>
        <row r="456">
          <cell r="B456" t="str">
            <v>MELIBt</v>
          </cell>
          <cell r="C456" t="str">
            <v>Melibiose transport</v>
          </cell>
          <cell r="D456" t="str">
            <v>Melibiose C12H22O11[e] &lt;=&gt; Melibiose[c]</v>
          </cell>
        </row>
        <row r="457">
          <cell r="B457" t="str">
            <v>METACH</v>
          </cell>
          <cell r="C457" t="str">
            <v>O-Acetyl-L-homoserine acetate-lyase (adding methanethiol)</v>
          </cell>
          <cell r="D457" t="str">
            <v>O-Acetyl-L-homoserine[c] + Hydrogen sulfide[c] &lt;=&gt; Acetate[c] + H+[c] + L-Homocysteine[c]</v>
          </cell>
        </row>
        <row r="458">
          <cell r="B458" t="str">
            <v>METAT</v>
          </cell>
          <cell r="C458" t="str">
            <v>methionine adenosyltransferase</v>
          </cell>
          <cell r="D458" t="str">
            <v>ATP[c] + H2O[c] + L-Methionine[c] =&gt; S-Adenosyl-L-methionine[c] + Phosphate[c] + Diphosphate[c]</v>
          </cell>
          <cell r="E458" t="str">
            <v>2.5.1.6</v>
          </cell>
        </row>
        <row r="459">
          <cell r="B459" t="str">
            <v>METDabc</v>
          </cell>
          <cell r="C459" t="str">
            <v>D-methionine transport via ABC system</v>
          </cell>
          <cell r="D459" t="str">
            <v>ATP[c] + H2O[c] + D-Methionine[e] =&gt; ADP[c] + H+[c] + D-Methionine[c] + Phosphate[c]</v>
          </cell>
        </row>
        <row r="460">
          <cell r="B460" t="str">
            <v>METTRS</v>
          </cell>
          <cell r="C460" t="str">
            <v>Methionyl-tRNA synthetase</v>
          </cell>
          <cell r="D460" t="str">
            <v>ATP[c] + L-Methionine[c] + tRNA(Met)[c] =&gt; AMP[c] + L-Methionyl-tRNA (Met)[c] + Diphosphate[c]</v>
          </cell>
          <cell r="E460" t="str">
            <v>6.1.1.10</v>
          </cell>
        </row>
        <row r="461">
          <cell r="B461" t="str">
            <v>METabc</v>
          </cell>
          <cell r="C461" t="str">
            <v>L-methionine transport via ABC system</v>
          </cell>
          <cell r="D461" t="str">
            <v>ATP[c] + H2O[c] + L-Methionine[e] =&gt; ADP[c] + H+[c] + L-Methionine[c] + Phosphate[c]</v>
          </cell>
        </row>
        <row r="462">
          <cell r="B462" t="str">
            <v>METt6</v>
          </cell>
          <cell r="C462" t="str">
            <v>L-methionine transport in/out via proton symport</v>
          </cell>
          <cell r="D462" t="str">
            <v>H+[e] + L-Methionine[e] &lt;=&gt; H+[c] + L-Methionine[c]</v>
          </cell>
        </row>
        <row r="463">
          <cell r="B463" t="str">
            <v>MEVK</v>
          </cell>
          <cell r="C463" t="str">
            <v>mevalonate kinase</v>
          </cell>
          <cell r="D463" t="str">
            <v>ATP[c] + (R)-Mevalonate[c] =&gt; (R)-5-Phosphomevalonate[c] + ADP[c] + H+[c]</v>
          </cell>
        </row>
        <row r="464">
          <cell r="B464" t="str">
            <v>MEVK2</v>
          </cell>
          <cell r="C464" t="str">
            <v>mevalonate kinase (ctp)</v>
          </cell>
          <cell r="D464" t="str">
            <v>CTP[c] + (R)-Mevalonate[c] =&gt; (R)-5-Phosphomevalonate[c] + CDP[c] + H+[c]</v>
          </cell>
        </row>
        <row r="465">
          <cell r="B465" t="str">
            <v>MEVK3</v>
          </cell>
          <cell r="C465" t="str">
            <v>mevalonate kinase (gtp)</v>
          </cell>
          <cell r="D465" t="str">
            <v>GTP[c] + (R)-Mevalonate[c] =&gt; (R)-5-Phosphomevalonate[c] + GDP[c] + H+[c]</v>
          </cell>
        </row>
        <row r="466">
          <cell r="B466" t="str">
            <v>MEVK4</v>
          </cell>
          <cell r="C466" t="str">
            <v>mevalonate kinase (utp)</v>
          </cell>
          <cell r="D466" t="str">
            <v>(R)-Mevalonate[c] + UTP[c] =&gt; (R)-5-Phosphomevalonate[c] + H+[c] + UDP[c]</v>
          </cell>
        </row>
        <row r="467">
          <cell r="B467" t="str">
            <v>MGt5</v>
          </cell>
          <cell r="C467" t="str">
            <v>magnesium transport in/out via permease (no H+)</v>
          </cell>
          <cell r="D467" t="str">
            <v>Mg[c] &lt;=&gt; Mg[e]</v>
          </cell>
        </row>
        <row r="468">
          <cell r="B468" t="str">
            <v>MI1PP</v>
          </cell>
          <cell r="C468" t="str">
            <v>myo-inositol 1-phosphatase</v>
          </cell>
          <cell r="D468" t="str">
            <v>H2O[c] + 1D-myo-Inositol 1-phosphate[c] =&gt; myo-Inositol[c] + Phosphate[c]</v>
          </cell>
          <cell r="E468" t="str">
            <v>3.1.3.25</v>
          </cell>
        </row>
        <row r="469">
          <cell r="B469" t="str">
            <v>MNLabc</v>
          </cell>
          <cell r="C469" t="str">
            <v>Mannitol efflux via ABC system</v>
          </cell>
          <cell r="D469" t="str">
            <v>ATP[c] + H2O[c] + D-Mannitol[c] =&gt; ADP[c] + H+[c] + D-Mannitol[e] + Phosphate[c]</v>
          </cell>
        </row>
        <row r="470">
          <cell r="B470" t="str">
            <v>MNTD</v>
          </cell>
          <cell r="C470" t="str">
            <v>D-mannitol dehydrogenase</v>
          </cell>
          <cell r="D470" t="str">
            <v>D-Mannitol[c] + Nicotinamide adenine dinucleotide[c] &lt;=&gt; D-Fructose[c] + H+[c] + Nicotinamide adenine dinucleotide - reduced[c]</v>
          </cell>
        </row>
        <row r="471">
          <cell r="B471" t="str">
            <v>MNabc</v>
          </cell>
          <cell r="C471" t="str">
            <v>manganese transport via ABC system</v>
          </cell>
          <cell r="D471" t="str">
            <v>ATP[c] + H2O[c] + Mn2+[e] =&gt; ADP[c] + H+[c] + Mn2+[c] + Phosphate[c]</v>
          </cell>
          <cell r="E471" t="str">
            <v>3.6.3.35</v>
          </cell>
        </row>
        <row r="472">
          <cell r="B472" t="str">
            <v>MNt6</v>
          </cell>
          <cell r="C472" t="str">
            <v>manganese transport in/out via proton symport</v>
          </cell>
          <cell r="D472" t="str">
            <v>H+[e] + Mn2+[e] &lt;=&gt; H+[c] + Mn2+[c]</v>
          </cell>
        </row>
        <row r="473">
          <cell r="B473" t="str">
            <v>MOADCST</v>
          </cell>
          <cell r="C473" t="str">
            <v>MoaD:cysteine sulfur transferase</v>
          </cell>
          <cell r="D473" t="str">
            <v>MPT synthase small subunit MoaD[c] + ATP[c] + L-Cysteine[c] + H2O[c] =&gt; MPT synthase sulfurylated small subunit (MoaD-SH)[c] + AMP[c] + Diphosphate[c] + L-Serine[c]</v>
          </cell>
        </row>
        <row r="474">
          <cell r="B474" t="str">
            <v>MTAN</v>
          </cell>
          <cell r="C474" t="str">
            <v>methylthioadenosine nucleosidase</v>
          </cell>
          <cell r="D474" t="str">
            <v>5-Methylthioadenosine[c] + H2O[c] =&gt; 5-Methylthio-D-ribose[c] + Adenine[c]</v>
          </cell>
          <cell r="E474" t="str">
            <v>3.2.2.16; 3.2.2.9</v>
          </cell>
        </row>
        <row r="475">
          <cell r="B475" t="str">
            <v>MTHFC</v>
          </cell>
          <cell r="C475" t="str">
            <v>methenyltetrahydrofolate cyclohydrolase</v>
          </cell>
          <cell r="D475" t="str">
            <v>H2O[c] + 5,10-Methenyltetrahydrofolate[c] &lt;=&gt; 10-Formyltetrahydrofolate[c] + H+[c]</v>
          </cell>
          <cell r="E475" t="str">
            <v>3.5.4.9</v>
          </cell>
        </row>
        <row r="476">
          <cell r="B476" t="str">
            <v>MTHFD</v>
          </cell>
          <cell r="C476" t="str">
            <v>methylenetetrahydrofolate dehydrogenase (NADP)</v>
          </cell>
          <cell r="D476" t="str">
            <v>5,10-Methylenetetrahydrofolate[c] + Nicotinamide adenine dinucleotide phosphate[c] &lt;=&gt; 5,10-Methenyltetrahydrofolate[c] + Nicotinamide adenine dinucleotide phosphate - reduced[c]</v>
          </cell>
          <cell r="E476" t="str">
            <v>1.5.1.5</v>
          </cell>
        </row>
        <row r="477">
          <cell r="B477" t="str">
            <v>MTHPTGHM</v>
          </cell>
          <cell r="C477" t="str">
            <v>5-methyltetrahydropteroyltriglutamate-homocysteine S-methyltransferase</v>
          </cell>
          <cell r="D477" t="str">
            <v>5-Methyltetrahydropteroyltri-L-glutamate[c] + L-Homocysteine[c] =&gt; L-Methionine[c] + Tetrahydropteroyltri-L-glutamate[c]</v>
          </cell>
        </row>
        <row r="478">
          <cell r="B478" t="str">
            <v>NACUP</v>
          </cell>
          <cell r="C478" t="str">
            <v>Nicotinic acid uptake</v>
          </cell>
          <cell r="D478" t="str">
            <v>Nicotinate[e] =&gt; Nicotinate[c]</v>
          </cell>
        </row>
        <row r="479">
          <cell r="B479" t="str">
            <v>NADH4</v>
          </cell>
          <cell r="C479" t="str">
            <v>NADH dehydrogenase (Menaquinone 7 &amp; no proton)</v>
          </cell>
          <cell r="D479" t="str">
            <v>H+[c] + Menaquinone 7[c] + Nicotinamide adenine dinucleotide - reduced[c] =&gt; Menaquinol 7[c] + Nicotinamide adenine dinucleotide[c]</v>
          </cell>
        </row>
        <row r="480">
          <cell r="B480" t="str">
            <v>NADK</v>
          </cell>
          <cell r="C480" t="str">
            <v>NAD kinase</v>
          </cell>
          <cell r="D480" t="str">
            <v>ATP[c] + Nicotinamide adenine dinucleotide[c] =&gt; ADP[c] + H+[c] + Nicotinamide adenine dinucleotide phosphate[c]</v>
          </cell>
          <cell r="E480" t="str">
            <v>2.7.1.23</v>
          </cell>
        </row>
        <row r="481">
          <cell r="B481" t="str">
            <v>NADN</v>
          </cell>
          <cell r="C481" t="str">
            <v>NAD nucleosidase</v>
          </cell>
          <cell r="D481" t="str">
            <v>H2O[c] + Nicotinamide adenine dinucleotide[c] =&gt; ADPribose[c] + H+[c] + Nicotinamide[c]</v>
          </cell>
          <cell r="E481" t="str">
            <v>3.2.2.5; 3.2.2.6; 3.5.1.-</v>
          </cell>
        </row>
        <row r="482">
          <cell r="B482" t="str">
            <v>NADPH12</v>
          </cell>
          <cell r="C482" t="str">
            <v>Quinone oxidoreductase</v>
          </cell>
          <cell r="D482" t="str">
            <v>H+[c] + Nicotinamide adenine dinucleotide phosphate - reduced[c] + Ubiquinone-8[c] =&gt; Nicotinamide adenine dinucleotide phosphate[c] + Ubiquinol-8[c]</v>
          </cell>
        </row>
        <row r="483">
          <cell r="B483" t="str">
            <v>NADS1</v>
          </cell>
          <cell r="C483" t="str">
            <v>NAD synthase (nh4)</v>
          </cell>
          <cell r="D483" t="str">
            <v>ATP[c] + Deamino-NAD+[c] + Ammonium[c] =&gt; AMP[c] + H+[c] + Nicotinamide adenine dinucleotide[c] + Diphosphate[c]</v>
          </cell>
          <cell r="E483" t="str">
            <v>6.3.1.5; 6.3.5.1</v>
          </cell>
        </row>
        <row r="484">
          <cell r="B484" t="str">
            <v>NAPRT</v>
          </cell>
          <cell r="C484" t="str">
            <v>NAPRTase</v>
          </cell>
          <cell r="D484" t="str">
            <v>H+[c] + Nicotinate[c] + 5-Phospho-alpha-D-ribose 1-diphosphate[c] =&gt; Nicotinate D-ribonucleotide[c] + Diphosphate[c]</v>
          </cell>
          <cell r="E484" t="str">
            <v>2.4.2.11</v>
          </cell>
        </row>
        <row r="485">
          <cell r="B485" t="str">
            <v>NAt7</v>
          </cell>
          <cell r="C485" t="str">
            <v>sodium transport in/out via proton antiport (one H+)</v>
          </cell>
          <cell r="D485" t="str">
            <v>H+[e] + Sodium[c] &lt;=&gt; H+[c] + Sodium[e]</v>
          </cell>
        </row>
        <row r="486">
          <cell r="B486" t="str">
            <v>NDPK1</v>
          </cell>
          <cell r="C486" t="str">
            <v>nucleoside-diphosphate kinase (ATP:GDP)</v>
          </cell>
          <cell r="D486" t="str">
            <v>ATP[c] + GDP[c] &lt;=&gt; ADP[c] + GTP[c]</v>
          </cell>
          <cell r="E486" t="str">
            <v>2.7.4.6</v>
          </cell>
        </row>
        <row r="487">
          <cell r="B487" t="str">
            <v>NDPK2</v>
          </cell>
          <cell r="C487" t="str">
            <v>nucleoside-diphosphate kinase (ATP:UDP)</v>
          </cell>
          <cell r="D487" t="str">
            <v>ATP[c] + UDP[c] &lt;=&gt; ADP[c] + UTP[c]</v>
          </cell>
          <cell r="E487" t="str">
            <v>2.7.4.6</v>
          </cell>
        </row>
        <row r="488">
          <cell r="B488" t="str">
            <v>NDPK3</v>
          </cell>
          <cell r="C488" t="str">
            <v>nucleoside-diphosphate kinase (ATP:CDP)</v>
          </cell>
          <cell r="D488" t="str">
            <v>ATP[c] + CDP[c] &lt;=&gt; ADP[c] + CTP[c]</v>
          </cell>
          <cell r="E488" t="str">
            <v>2.7.4.6</v>
          </cell>
        </row>
        <row r="489">
          <cell r="B489" t="str">
            <v>NDPK4</v>
          </cell>
          <cell r="C489" t="str">
            <v>nucleoside-diphosphate kinase (ATP:dTDP)</v>
          </cell>
          <cell r="D489" t="str">
            <v>ATP[c] + dTDP[c] &lt;=&gt; ADP[c] + dTTP[c]</v>
          </cell>
          <cell r="E489" t="str">
            <v>2.7.4.6</v>
          </cell>
        </row>
        <row r="490">
          <cell r="B490" t="str">
            <v>NDPK5</v>
          </cell>
          <cell r="C490" t="str">
            <v>nucleoside-diphosphate kinase (ATP:dGDP)</v>
          </cell>
          <cell r="D490" t="str">
            <v>ATP[c] + dGDP[c] &lt;=&gt; ADP[c] + dGTP[c]</v>
          </cell>
          <cell r="E490" t="str">
            <v>2.7.4.6</v>
          </cell>
        </row>
        <row r="491">
          <cell r="B491" t="str">
            <v>NDPK6</v>
          </cell>
          <cell r="C491" t="str">
            <v>nucleoside-diphosphate kinase (ATP:dUDP)</v>
          </cell>
          <cell r="D491" t="str">
            <v>ATP[c] + dUDP[c] &lt;=&gt; ADP[c] + dUTP[c]</v>
          </cell>
          <cell r="E491" t="str">
            <v>2.7.4.6</v>
          </cell>
        </row>
        <row r="492">
          <cell r="B492" t="str">
            <v>NDPK7</v>
          </cell>
          <cell r="C492" t="str">
            <v>nucleoside-diphosphate kinase (ATP:dCDP)</v>
          </cell>
          <cell r="D492" t="str">
            <v>ATP[c] + dCDP[c] &lt;=&gt; ADP[c] + dCTP[c]</v>
          </cell>
          <cell r="E492" t="str">
            <v>2.7.4.6</v>
          </cell>
        </row>
        <row r="493">
          <cell r="B493" t="str">
            <v>NDPK8</v>
          </cell>
          <cell r="C493" t="str">
            <v>nucleoside-diphosphate kinase (ATP:dADP)</v>
          </cell>
          <cell r="D493" t="str">
            <v>ATP[c] + dADP[c] &lt;=&gt; ADP[c] + dATP[c]</v>
          </cell>
          <cell r="E493" t="str">
            <v>2.7.4.6</v>
          </cell>
        </row>
        <row r="494">
          <cell r="B494" t="str">
            <v>NDPK9</v>
          </cell>
          <cell r="C494" t="str">
            <v>nucleoside-diphophate kinase (ATP:IDP)</v>
          </cell>
          <cell r="D494" t="str">
            <v>ATP[c] + IDP[c] &lt;=&gt; ADP[c] + ITP[c]</v>
          </cell>
          <cell r="E494" t="str">
            <v>2.7.4.6</v>
          </cell>
        </row>
        <row r="495">
          <cell r="B495" t="str">
            <v>NH3t</v>
          </cell>
          <cell r="C495" t="str">
            <v>ammonia transport via diffusion</v>
          </cell>
          <cell r="D495" t="str">
            <v>Ammonia[e] &lt;=&gt; Ammonia[c]</v>
          </cell>
        </row>
        <row r="496">
          <cell r="B496" t="str">
            <v>NH4DIS</v>
          </cell>
          <cell r="C496" t="str">
            <v>nh4 Dissociation</v>
          </cell>
          <cell r="D496" t="str">
            <v>Ammonium[c] &lt;=&gt; H+[c] + Ammonia[c]</v>
          </cell>
        </row>
        <row r="497">
          <cell r="B497" t="str">
            <v>NH4DISex</v>
          </cell>
          <cell r="C497" t="str">
            <v>nh4 Dissociation extracellular</v>
          </cell>
          <cell r="D497" t="str">
            <v>Ammonium[e] &lt;=&gt; H+[e] + Ammonia[e]</v>
          </cell>
        </row>
        <row r="498">
          <cell r="B498" t="str">
            <v>NNAM</v>
          </cell>
          <cell r="C498" t="str">
            <v>nicotinamidase, reversible</v>
          </cell>
          <cell r="D498" t="str">
            <v>H2O[c] + Nicotinamide[c] =&gt; Nicotinate[c] + Ammonium[c]</v>
          </cell>
          <cell r="E498" t="str">
            <v>3.5.1.19</v>
          </cell>
        </row>
        <row r="499">
          <cell r="B499" t="str">
            <v>NNATr</v>
          </cell>
          <cell r="C499" t="str">
            <v>nicotinate-nucleotide adenylyltransferase</v>
          </cell>
          <cell r="D499" t="str">
            <v>ATP[c] + H+[c] + Nicotinate D-ribonucleotide[c] &lt;=&gt; Deamino-NAD+[c] + Diphosphate[c]</v>
          </cell>
          <cell r="E499" t="str">
            <v>2.7.7.1; 2.7.7.18</v>
          </cell>
        </row>
        <row r="500">
          <cell r="B500" t="str">
            <v>NNDMBRT</v>
          </cell>
          <cell r="C500" t="str">
            <v>nicotinate-nucleotide-dimethylbenzimidazole phosphoribosyltransferase</v>
          </cell>
          <cell r="D500" t="str">
            <v>Adenine[c] + Nicotinate D-ribonucleotide[c] =&gt; H+[c] + Nicotinate[c] + adenine ribotide phosphate (7-(5-phospho-伪-D-ribosyl)adenine)[c]</v>
          </cell>
          <cell r="E500" t="str">
            <v>2.4.2.21</v>
          </cell>
        </row>
        <row r="501">
          <cell r="B501" t="str">
            <v>NOX1</v>
          </cell>
          <cell r="C501" t="str">
            <v>NADH oxidase (H2O2 forming)</v>
          </cell>
          <cell r="D501" t="str">
            <v>H+[c] + Nicotinamide adenine dinucleotide - reduced[c] + O2[c] =&gt; Hydrogen peroxide[c] + Nicotinamide adenine dinucleotide[c]</v>
          </cell>
        </row>
        <row r="502">
          <cell r="B502" t="str">
            <v>NOX2</v>
          </cell>
          <cell r="C502" t="str">
            <v>NADH oxidase (H2O forming)</v>
          </cell>
          <cell r="D502" t="str">
            <v>2 H+[c] + 2 Nicotinamide adenine dinucleotide - reduced[c] + O2[c] =&gt; 2 H2O[c] + 2 Nicotinamide adenine dinucleotide[c]</v>
          </cell>
        </row>
        <row r="503">
          <cell r="B503" t="str">
            <v>NPHS</v>
          </cell>
          <cell r="C503" t="str">
            <v>naphthoate synthase</v>
          </cell>
          <cell r="D503" t="str">
            <v>O-Succinylbenzoyl-CoA[c] =&gt; Coenzyme A[c] + 1,4-Dihydroxy-2-naphthoate[c]</v>
          </cell>
          <cell r="E503" t="str">
            <v>4.1.3.36</v>
          </cell>
        </row>
        <row r="504">
          <cell r="B504" t="str">
            <v>NTD1</v>
          </cell>
          <cell r="C504" t="str">
            <v>5'-nucleotidase (dUMP)</v>
          </cell>
          <cell r="D504" t="str">
            <v>dUMP[c] + H2O[c] =&gt; Deoxyuridine[c] + Phosphate[c]</v>
          </cell>
          <cell r="E504" t="str">
            <v>3.1.3.5; 3.1.3.89</v>
          </cell>
        </row>
        <row r="505">
          <cell r="B505" t="str">
            <v>NTD10</v>
          </cell>
          <cell r="C505" t="str">
            <v>5'-nucleotidase (XMP)</v>
          </cell>
          <cell r="D505" t="str">
            <v>H2O[c] + Xanthosine 5'-phosphate[c] =&gt; Phosphate[c] + Xanthosine[c]</v>
          </cell>
          <cell r="E505" t="str">
            <v>3.1.3.5</v>
          </cell>
        </row>
        <row r="506">
          <cell r="B506" t="str">
            <v>NTD11</v>
          </cell>
          <cell r="C506" t="str">
            <v>5'-nucleotidase (IMP)</v>
          </cell>
          <cell r="D506" t="str">
            <v>H2O[c] + IMP[c] =&gt; Inosine[c] + Phosphate[c]</v>
          </cell>
          <cell r="E506" t="str">
            <v>3.1.3.5; 3.1.3.99</v>
          </cell>
        </row>
        <row r="507">
          <cell r="B507" t="str">
            <v>NTD2</v>
          </cell>
          <cell r="C507" t="str">
            <v>5'-nucleotidase (UMP)</v>
          </cell>
          <cell r="D507" t="str">
            <v>H2O[c] + UMP[c] =&gt; Phosphate[c] + Uridine[c]</v>
          </cell>
          <cell r="E507" t="str">
            <v>3.1.3.5</v>
          </cell>
        </row>
        <row r="508">
          <cell r="B508" t="str">
            <v>NTD3</v>
          </cell>
          <cell r="C508" t="str">
            <v>5'-nucleotidase (dCMP)</v>
          </cell>
          <cell r="D508" t="str">
            <v>dCMP[c] + H2O[c] =&gt; Deoxycytidine[c] + Phosphate[c]</v>
          </cell>
          <cell r="E508" t="str">
            <v>3.1.3.5; 3.1.3.89</v>
          </cell>
        </row>
        <row r="509">
          <cell r="B509" t="str">
            <v>NTD4</v>
          </cell>
          <cell r="C509" t="str">
            <v>5'-nucleotidase (CMP)</v>
          </cell>
          <cell r="D509" t="str">
            <v>CMP[c] + H2O[c] =&gt; Cytidine[c] + Phosphate[c]</v>
          </cell>
          <cell r="E509" t="str">
            <v>3.1.3.5; 3.1.3.91</v>
          </cell>
        </row>
        <row r="510">
          <cell r="B510" t="str">
            <v>NTD5</v>
          </cell>
          <cell r="C510" t="str">
            <v>5'-nucleotidase (dTMP)</v>
          </cell>
          <cell r="D510" t="str">
            <v>dTMP[c] + H2O[c] =&gt; Phosphate[c] + Thymidine[c]</v>
          </cell>
          <cell r="E510" t="str">
            <v>3.1.3.35; 3.1.3.5; 3.1.3.89</v>
          </cell>
        </row>
        <row r="511">
          <cell r="B511" t="str">
            <v>NTD6</v>
          </cell>
          <cell r="C511" t="str">
            <v>5'-nucleotidase (dAMP)</v>
          </cell>
          <cell r="D511" t="str">
            <v>dAMP[c] + H2O[c] =&gt; Deoxyadenosine[c] + Phosphate[c]</v>
          </cell>
          <cell r="E511" t="str">
            <v>3.1.3.5; 3.1.3.89</v>
          </cell>
        </row>
        <row r="512">
          <cell r="B512" t="str">
            <v>NTD7</v>
          </cell>
          <cell r="C512" t="str">
            <v>5'-nucleotidase (AMP)</v>
          </cell>
          <cell r="D512" t="str">
            <v>AMP[c] + H2O[c] =&gt; Adenosine[c] + Phosphate[c]</v>
          </cell>
          <cell r="E512" t="str">
            <v>3.1.3.5</v>
          </cell>
        </row>
        <row r="513">
          <cell r="B513" t="str">
            <v>NTD8</v>
          </cell>
          <cell r="C513" t="str">
            <v>5'-nucleotidase (dGMP)</v>
          </cell>
          <cell r="D513" t="str">
            <v>dGMP[c] + H2O[c] =&gt; Deoxyguanosine[c] + Phosphate[c]</v>
          </cell>
          <cell r="E513" t="str">
            <v>3.1.3.5; 3.1.3.89</v>
          </cell>
        </row>
        <row r="514">
          <cell r="B514" t="str">
            <v>NTD9</v>
          </cell>
          <cell r="C514" t="str">
            <v>5'-nucleotidase (GMP)</v>
          </cell>
          <cell r="D514" t="str">
            <v>GMP[c] + H2O[c] =&gt; Guanosine[c] + Phosphate[c]</v>
          </cell>
          <cell r="E514" t="str">
            <v>3.1.3.5</v>
          </cell>
        </row>
        <row r="515">
          <cell r="B515" t="str">
            <v>NTR3B</v>
          </cell>
          <cell r="C515" t="str">
            <v>nitrate reductase</v>
          </cell>
          <cell r="D515" t="str">
            <v>2 H+[c] + Menaquinol 7[c] + Nitrate[c] =&gt; H2O[c] + 2 H+[e] + Menaquinone 7[c] + Nitrite[c]</v>
          </cell>
        </row>
        <row r="516">
          <cell r="B516" t="str">
            <v>OCBT</v>
          </cell>
          <cell r="C516" t="str">
            <v>ornithine carbamoyltransferase</v>
          </cell>
          <cell r="D516" t="str">
            <v>Carbamoyl phosphate[c] + L-Ornithine[c] &lt;=&gt; L-Citrulline[c] + H+[c] + Phosphate[c]</v>
          </cell>
          <cell r="E516" t="str">
            <v>2.1.3.3</v>
          </cell>
        </row>
        <row r="517">
          <cell r="B517" t="str">
            <v>OCDMAT8</v>
          </cell>
          <cell r="C517" t="str">
            <v>Octadecanoyl-[acyl-carrier protein]:malonyl-CoA  C-acyltransferase</v>
          </cell>
          <cell r="D517" t="str">
            <v>trans-Octadec-2-enoyl-[acyl-carrier-protein][c] + H+[c] + Nicotinamide adenine dinucleotide - reduced[c] =&gt; Nicotinamide adenine dinucleotide[c] + Octadecanoyl-[acyl-carrier protein][c]</v>
          </cell>
        </row>
        <row r="518">
          <cell r="B518" t="str">
            <v>OCMAT3</v>
          </cell>
          <cell r="C518" t="str">
            <v>Octanoyl-[acyl-carrier protein]:malonyl-CoA C-acyltransferase</v>
          </cell>
          <cell r="D518" t="str">
            <v>trans-Oct-2-enoyl-[acp][c] + H+[c] + Nicotinamide adenine dinucleotide - reduced[c] =&gt; Nicotinamide adenine dinucleotide[c] + Octanoyl-[acyl-carrier protein][c]</v>
          </cell>
        </row>
        <row r="519">
          <cell r="B519" t="str">
            <v>OMPDC</v>
          </cell>
          <cell r="C519" t="str">
            <v>orotidine-5'-phosphate decarboxylase</v>
          </cell>
          <cell r="D519" t="str">
            <v>H+[c] + Orotidine 5'-phosphate[c] =&gt; CO2[c] + UMP[c]</v>
          </cell>
          <cell r="E519" t="str">
            <v>4.1.1.23</v>
          </cell>
        </row>
        <row r="520">
          <cell r="B520" t="str">
            <v>ORNTA</v>
          </cell>
          <cell r="C520" t="str">
            <v>Ornithine transaminase</v>
          </cell>
          <cell r="D520" t="str">
            <v>2-Oxoglutarate[c] + L-Ornithine[c] &lt;=&gt; L-Glutamate 5-semialdehyde[c] + L-Glutamate[c]</v>
          </cell>
        </row>
        <row r="521">
          <cell r="B521" t="str">
            <v>ORNTAC</v>
          </cell>
          <cell r="C521" t="str">
            <v>ornithine transacetylase</v>
          </cell>
          <cell r="D521" t="str">
            <v>N2-Acetyl-L-ornithine[c] + L-Glutamate[c] &lt;=&gt; N-Acetyl-L-glutamate[c] + L-Ornithine[c]</v>
          </cell>
        </row>
        <row r="522">
          <cell r="B522" t="str">
            <v>ORNt2</v>
          </cell>
          <cell r="C522" t="str">
            <v>ornithine transport in via proton symport</v>
          </cell>
          <cell r="D522" t="str">
            <v>H+[e] + L-Ornithine[e] =&gt; H+[c] + L-Ornithine[c]</v>
          </cell>
        </row>
        <row r="523">
          <cell r="B523" t="str">
            <v>OROt6</v>
          </cell>
          <cell r="C523" t="str">
            <v>Orotic acid transport in/out via proton symporter</v>
          </cell>
          <cell r="D523" t="str">
            <v>H+[e] + Orotate[e] &lt;=&gt; H+[c] + Orotate[c]</v>
          </cell>
        </row>
        <row r="524">
          <cell r="B524" t="str">
            <v>ORPT</v>
          </cell>
          <cell r="C524" t="str">
            <v>orotate phosphoribosyltransferase</v>
          </cell>
          <cell r="D524" t="str">
            <v>Orotidine 5'-phosphate[c] + Diphosphate[c] &lt;=&gt; Orotate[c] + 5-Phospho-alpha-D-ribose 1-diphosphate[c]</v>
          </cell>
          <cell r="E524" t="str">
            <v>2.4.2.10</v>
          </cell>
        </row>
        <row r="525">
          <cell r="B525" t="str">
            <v>P5CRr</v>
          </cell>
          <cell r="C525" t="str">
            <v>pyrroline-5-carboxylate reductase</v>
          </cell>
          <cell r="D525" t="str">
            <v>1-Pyrroline-5-carboxylate[c] + 2 H+[c] + Nicotinamide adenine dinucleotide phosphate - reduced[c] &lt;=&gt; Nicotinamide adenine dinucleotide phosphate[c] + L-Proline[c]</v>
          </cell>
        </row>
        <row r="526">
          <cell r="B526" t="str">
            <v>PABAt</v>
          </cell>
          <cell r="C526" t="str">
            <v>para aminobenzoic acid transport</v>
          </cell>
          <cell r="D526" t="str">
            <v>4-Aminobenzoate[e] &lt;=&gt; 4-Aminobenzoate[c]</v>
          </cell>
        </row>
        <row r="527">
          <cell r="B527" t="str">
            <v>PAPPT5</v>
          </cell>
          <cell r="C527" t="str">
            <v>phospho-N-acetylmuramoyl-pentapeptide-transferase (meso-2,6-diaminopimelate)</v>
          </cell>
          <cell r="D527" t="str">
            <v>Undecaprenyl phosphate[c] + UDP-N-acetylmuramoyl-L-alanyl-D-glutamyl-meso-2,6-diaminopimeloyl-D-alanyl-D-lactate[c] =&gt; Undecaprenyl-diphospho-N-acetylmuramoyl-L-alanyl-D-glutamyl-meso-2,6-diaminopimeloyl-D-alanyl-D-lactate[c] + UMP[c]</v>
          </cell>
        </row>
        <row r="528">
          <cell r="B528" t="str">
            <v>PAP_LRE</v>
          </cell>
          <cell r="C528" t="str">
            <v>phosphatidic acid phosphatase</v>
          </cell>
          <cell r="D528" t="str">
            <v>H2O[c] + phosphatidic acid (Lb reuteri specific)[c] =&gt; 1,2-Diacylglycerol, LRE specific[c] + Phosphate[c]</v>
          </cell>
        </row>
        <row r="529">
          <cell r="B529" t="str">
            <v>PDH</v>
          </cell>
          <cell r="C529" t="str">
            <v>pyruvate dehydrogenase</v>
          </cell>
          <cell r="D529" t="str">
            <v>Coenzyme A[c] + Nicotinamide adenine dinucleotide[c] + Pyruvate[c] =&gt; Acetyl-CoA[c] + CO2[c] + Nicotinamide adenine dinucleotide - reduced[c]</v>
          </cell>
          <cell r="E529" t="str">
            <v>1.2.1.-; 1.2.1.51; 1.2.4.1; 1.8.1.4; 2.3.1.12</v>
          </cell>
        </row>
        <row r="530">
          <cell r="B530" t="str">
            <v>PDUL</v>
          </cell>
          <cell r="C530" t="str">
            <v>phosphate propanoyltransferase</v>
          </cell>
          <cell r="D530" t="str">
            <v>Phosphate[c] + Propanoyl-CoA[c] &lt;=&gt; Coenzyme A[c] + Propanoyl phosphate[c]</v>
          </cell>
        </row>
        <row r="531">
          <cell r="B531" t="str">
            <v>PDUL2</v>
          </cell>
          <cell r="C531" t="str">
            <v>Phosphate propanoyltransferase</v>
          </cell>
          <cell r="D531" t="str">
            <v>3-Hydroxypropionyl-CoA[c] + Phosphate[c] =&gt; 3-Hydroxypropionyl phosphate[c] + Coenzyme A[c]</v>
          </cell>
        </row>
        <row r="532">
          <cell r="B532" t="str">
            <v>PDUP</v>
          </cell>
          <cell r="C532" t="str">
            <v>propanal dehydrogenase (CoA-propanoylating)</v>
          </cell>
          <cell r="D532" t="str">
            <v>Coenzyme A[c] + Nicotinamide adenine dinucleotide[c] + Propanal[c] &lt;=&gt; H+[c] + Nicotinamide adenine dinucleotide - reduced[c] + Propanoyl-CoA[c]</v>
          </cell>
        </row>
        <row r="533">
          <cell r="B533" t="str">
            <v>PDUP2</v>
          </cell>
          <cell r="C533" t="str">
            <v>aldehyde dehydrogenase</v>
          </cell>
          <cell r="D533" t="str">
            <v>3-Hydroxypropanal[c] + Coenzyme A[c] + Nicotinamide adenine dinucleotide[c] =&gt; 3-Hydroxypropionyl-CoA[c] + H+[c] + Nicotinamide adenine dinucleotide - reduced[c]</v>
          </cell>
        </row>
        <row r="534">
          <cell r="B534" t="str">
            <v>PDUW</v>
          </cell>
          <cell r="C534" t="str">
            <v>propionate kinase</v>
          </cell>
          <cell r="D534" t="str">
            <v>ADP[c] + Propanoyl phosphate[c] &lt;=&gt; ATP[c] + Propionate (n-C3:0)[c]</v>
          </cell>
        </row>
        <row r="535">
          <cell r="B535" t="str">
            <v>PDUW2</v>
          </cell>
          <cell r="C535" t="str">
            <v>Propionate kinase</v>
          </cell>
          <cell r="D535" t="str">
            <v>3-Hydroxypropionyl phosphate[c] + ADP[c] =&gt; 3-Hydroxypropanoate[c] + ATP[c]</v>
          </cell>
        </row>
        <row r="536">
          <cell r="B536" t="str">
            <v>PFK</v>
          </cell>
          <cell r="C536" t="str">
            <v>Phosphofructokinase, PfkB</v>
          </cell>
          <cell r="D536" t="str">
            <v>ATP[c] + D-Fructose 6-phosphate[c] &lt;=&gt; ADP[c] + D-Fructose 1,6-bisphosphate[c] + H+[c]</v>
          </cell>
          <cell r="E536" t="str">
            <v>2.7.1.11</v>
          </cell>
        </row>
        <row r="537">
          <cell r="B537" t="str">
            <v>PGAMT</v>
          </cell>
          <cell r="C537" t="str">
            <v>phosphoglucosamine mutase</v>
          </cell>
          <cell r="D537" t="str">
            <v>D-Glucosamine 1-phosphate[c] &lt;=&gt; D-Glucosamine 6-phosphate[c]</v>
          </cell>
          <cell r="E537" t="str">
            <v>5.4.2.10</v>
          </cell>
        </row>
        <row r="538">
          <cell r="B538" t="str">
            <v>PGGH</v>
          </cell>
          <cell r="C538" t="str">
            <v>6-phospho-beta-glucosidase</v>
          </cell>
          <cell r="D538" t="str">
            <v>6-Phospho-beta-D-glucosyl-(1,4)-D-glucose[c] + H2O[c] =&gt; D-Glucose 6-phosphate[c] + D-Glucose[c]</v>
          </cell>
        </row>
        <row r="539">
          <cell r="B539" t="str">
            <v>PGGT4</v>
          </cell>
          <cell r="C539" t="str">
            <v>peptidoglycan glycosyltransferase</v>
          </cell>
          <cell r="D539" t="str">
            <v>Undecaprenyl-diphospho-N-acetylmuramoyl-(N-acetylglucosamine)-L-alanyl-D-glutamyl-meso-2,6-diaminopimeloyl-D-alanyl-D-lactate[c] =&gt; peptidoglycan with D-lac as C-terminal residue to form pentadepsipeptide[c] + Undecaprenyl diphosphate[c]</v>
          </cell>
        </row>
        <row r="540">
          <cell r="B540" t="str">
            <v>PGI</v>
          </cell>
          <cell r="C540" t="str">
            <v>glucose-6-phosphate isomerase</v>
          </cell>
          <cell r="D540" t="str">
            <v>D-Glucose 6-phosphate[c] &lt;=&gt; D-Fructose 6-phosphate[c]</v>
          </cell>
          <cell r="E540" t="str">
            <v>5.3.1.9</v>
          </cell>
        </row>
        <row r="541">
          <cell r="B541" t="str">
            <v>PGK</v>
          </cell>
          <cell r="C541" t="str">
            <v>phosphoglycerate kinase</v>
          </cell>
          <cell r="D541" t="str">
            <v>3-Phospho-D-glyceroyl phosphate[c] + ADP[c] &lt;=&gt; 3-Phospho-D-glycerate[c] + ATP[c]</v>
          </cell>
          <cell r="E541" t="str">
            <v>2.7.2.3</v>
          </cell>
        </row>
        <row r="542">
          <cell r="B542" t="str">
            <v>PGL</v>
          </cell>
          <cell r="C542" t="str">
            <v>6-phosphogluconolactonase</v>
          </cell>
          <cell r="D542" t="str">
            <v>6-phospho-D-glucono-1,5-lactone[c] + H2O[c] =&gt; 6-Phospho-D-gluconate[c] + H+[c]</v>
          </cell>
          <cell r="E542" t="str">
            <v>3.1.1.31</v>
          </cell>
        </row>
        <row r="543">
          <cell r="B543" t="str">
            <v>PGLYCP</v>
          </cell>
          <cell r="C543" t="str">
            <v>phosphoglycolate phosphatase</v>
          </cell>
          <cell r="D543" t="str">
            <v>2-Phosphoglycolate[c] + H2O[c] =&gt; Glycolate[c] + Phosphate[c]</v>
          </cell>
          <cell r="E543" t="str">
            <v>3.1.3.18</v>
          </cell>
        </row>
        <row r="544">
          <cell r="B544" t="str">
            <v>PGM</v>
          </cell>
          <cell r="C544" t="str">
            <v>phosphoglycerate mutase</v>
          </cell>
          <cell r="D544" t="str">
            <v>3-Phospho-D-glycerate[c] &lt;=&gt; D-Glycerate 2-phosphate[c]</v>
          </cell>
          <cell r="E544" t="str">
            <v>5.4.2.1; 5.4.2.11; 5.4.2.12</v>
          </cell>
        </row>
        <row r="545">
          <cell r="B545" t="str">
            <v>PGMT</v>
          </cell>
          <cell r="C545" t="str">
            <v>phosphoglucomutase</v>
          </cell>
          <cell r="D545" t="str">
            <v>D-Glucose 1-phosphate[c] &lt;=&gt; D-Glucose 6-phosphate[c]</v>
          </cell>
          <cell r="E545" t="str">
            <v>5.4.2.2; 5.4.2.5; 5.4.2.8</v>
          </cell>
        </row>
        <row r="546">
          <cell r="B546" t="str">
            <v>PGMT_B</v>
          </cell>
          <cell r="C546" t="str">
            <v>b-phosphoglucomutase</v>
          </cell>
          <cell r="D546" t="str">
            <v>beta-D-glucose 6-phosphate[c] &lt;=&gt; beta-D-Glucose 1-phosphate[c]</v>
          </cell>
          <cell r="E546" t="str">
            <v>5.4.2.6</v>
          </cell>
        </row>
        <row r="547">
          <cell r="B547" t="str">
            <v>PGPP_LRE</v>
          </cell>
          <cell r="C547" t="str">
            <v>Phosphatidylglycerol phosphate phosphatase (LRE specific)</v>
          </cell>
          <cell r="D547" t="str">
            <v>H2O[c] + Phosphatidylglycerophosphate (LRE specific)[c] =&gt; Phospatidylglycerol (LRE specific)[c] + Phosphate[c]</v>
          </cell>
        </row>
        <row r="548">
          <cell r="B548" t="str">
            <v>PGSA_LRE</v>
          </cell>
          <cell r="C548" t="str">
            <v>Phosphatidylglycerol synthase (LRE specific)</v>
          </cell>
          <cell r="D548" t="str">
            <v>CDPdiacylglycerol (LRE specific)[c] + sn-Glycerol 3-phosphate[c] &lt;=&gt; CMP[c] + H+[c] + Phosphatidylglycerophosphate (LRE specific)[c]</v>
          </cell>
        </row>
        <row r="549">
          <cell r="B549" t="str">
            <v>PHETRS</v>
          </cell>
          <cell r="C549" t="str">
            <v>Phenylalanyl-tRNA synthetase</v>
          </cell>
          <cell r="D549" t="str">
            <v>ATP[c] + L-Phenylalanine[c] + tRNA(Phe)[c] =&gt; AMP[c] + L-Phenylalanyl-tRNA(Phe)[c] + Diphosphate[c]</v>
          </cell>
        </row>
        <row r="550">
          <cell r="B550" t="str">
            <v>PHEt6</v>
          </cell>
          <cell r="C550" t="str">
            <v>L-phenylalanine transport in/out via proton symport</v>
          </cell>
          <cell r="D550" t="str">
            <v>H+[e] + L-Phenylalanine[e] &lt;=&gt; H+[c] + L-Phenylalanine[c]</v>
          </cell>
        </row>
        <row r="551">
          <cell r="B551" t="str">
            <v>PIabc</v>
          </cell>
          <cell r="C551" t="str">
            <v>phosphate transport via ABC system</v>
          </cell>
          <cell r="D551" t="str">
            <v>ATP[c] + H2O[c] + Phosphate[e] =&gt; ADP[c] + H+[c] + 2 Phosphate[c]</v>
          </cell>
          <cell r="E551" t="str">
            <v>3.6.3.27</v>
          </cell>
        </row>
        <row r="552">
          <cell r="B552" t="str">
            <v>PIt6</v>
          </cell>
          <cell r="C552" t="str">
            <v>phosphate transport in/out via proton symporter</v>
          </cell>
          <cell r="D552" t="str">
            <v>H+[e] + Phosphate[e] &lt;=&gt; H+[c] + Phosphate[c]</v>
          </cell>
        </row>
        <row r="553">
          <cell r="B553" t="str">
            <v>PKL</v>
          </cell>
          <cell r="C553" t="str">
            <v>phosphoketolase</v>
          </cell>
          <cell r="D553" t="str">
            <v>Phosphate[c] + D-Xylulose 5-phosphate[c] &lt;=&gt; Acetyl phosphate[c] + Glyceraldehyde 3-phosphate[c] + H2O[c]</v>
          </cell>
        </row>
        <row r="554">
          <cell r="B554" t="str">
            <v>PMANM</v>
          </cell>
          <cell r="C554" t="str">
            <v>phosphomannomutase</v>
          </cell>
          <cell r="D554" t="str">
            <v>D-Mannose 1-phosphate[c] &lt;=&gt; D-Mannose 6-phosphate[c]</v>
          </cell>
          <cell r="E554" t="str">
            <v>5.4.2.8</v>
          </cell>
        </row>
        <row r="555">
          <cell r="B555" t="str">
            <v>PMEVK</v>
          </cell>
          <cell r="C555" t="str">
            <v>phosphomevalonate kinase</v>
          </cell>
          <cell r="D555" t="str">
            <v>(R)-5-Phosphomevalonate[c] + ATP[c] =&gt; (R)-5-Diphosphomevalonate[c] + ADP[c]</v>
          </cell>
          <cell r="E555" t="str">
            <v>2.7.4.2</v>
          </cell>
        </row>
        <row r="556">
          <cell r="B556" t="str">
            <v>PMPK</v>
          </cell>
          <cell r="C556" t="str">
            <v>phosphomethylpyrimidine kinase</v>
          </cell>
          <cell r="D556" t="str">
            <v>4-Amino-2-methyl-5-phosphomethylpyrimidine[c] + ATP[c] =&gt; 2-Methyl-4-amino-5-hydroxymethylpyrimidine diphosphate[c] + ADP[c]</v>
          </cell>
          <cell r="E556" t="str">
            <v>2.7.4.7</v>
          </cell>
        </row>
        <row r="557">
          <cell r="B557" t="str">
            <v>PNS1</v>
          </cell>
          <cell r="C557" t="str">
            <v>purine nucleosidase (adenosine)</v>
          </cell>
          <cell r="D557" t="str">
            <v>Adenosine[c] + H2O[c] =&gt; Adenine[c] + D-Ribose[c]</v>
          </cell>
        </row>
        <row r="558">
          <cell r="B558" t="str">
            <v>PNS2</v>
          </cell>
          <cell r="C558" t="str">
            <v>purine nucleosidase (guanosine)</v>
          </cell>
          <cell r="D558" t="str">
            <v>Guanosine[c] + H2O[c] =&gt; Guanine[c] + D-Ribose[c]</v>
          </cell>
        </row>
        <row r="559">
          <cell r="B559" t="str">
            <v>PNS3</v>
          </cell>
          <cell r="C559" t="str">
            <v>purine nucleosidase (inosine)</v>
          </cell>
          <cell r="D559" t="str">
            <v>H2O[c] + Inosine[c] =&gt; Hypoxanthine[c] + D-Ribose[c]</v>
          </cell>
        </row>
        <row r="560">
          <cell r="B560" t="str">
            <v>PNS4</v>
          </cell>
          <cell r="C560" t="str">
            <v>purine nucleosidase (xanthosine)</v>
          </cell>
          <cell r="D560" t="str">
            <v>H2O[c] + Xanthosine[c] =&gt; D-Ribose[c] + Xanthine[c]</v>
          </cell>
        </row>
        <row r="561">
          <cell r="B561" t="str">
            <v>PNTK</v>
          </cell>
          <cell r="C561" t="str">
            <v>pantothenate kinase</v>
          </cell>
          <cell r="D561" t="str">
            <v>ATP[c] + (R)-Pantothenate[c] =&gt; D-4'-Phosphopantothenate[c] + ADP[c] + H+[c]</v>
          </cell>
          <cell r="E561" t="str">
            <v>2.7.1.33</v>
          </cell>
        </row>
        <row r="562">
          <cell r="B562" t="str">
            <v>PNTOt2</v>
          </cell>
          <cell r="C562" t="str">
            <v>Pantothenate reversible transport via proton symport</v>
          </cell>
          <cell r="D562" t="str">
            <v>H+[e] + (R)-Pantothenate[e] &lt;=&gt; H+[c] + (R)-Pantothenate[c]</v>
          </cell>
        </row>
        <row r="563">
          <cell r="B563" t="str">
            <v>PPA</v>
          </cell>
          <cell r="C563" t="str">
            <v>inorganic diphosphatase</v>
          </cell>
          <cell r="D563" t="str">
            <v>H2O[c] + Diphosphate[c] =&gt; H+[c] + 2 Phosphate[c]</v>
          </cell>
          <cell r="E563" t="str">
            <v>3.6.1.1</v>
          </cell>
        </row>
        <row r="564">
          <cell r="B564" t="str">
            <v>PPBNGS</v>
          </cell>
          <cell r="C564" t="str">
            <v>porphobilinogen synthase</v>
          </cell>
          <cell r="D564" t="str">
            <v>2 5-Amino-4-oxopentanoate[c] =&gt; 2 H2O[c] + H+[c] + Porphobilinogen[c]</v>
          </cell>
          <cell r="E564" t="str">
            <v>4.2.1.24</v>
          </cell>
        </row>
        <row r="565">
          <cell r="B565" t="str">
            <v>PPCDC</v>
          </cell>
          <cell r="C565" t="str">
            <v>phosphopantothenoylcysteine decarboxylase</v>
          </cell>
          <cell r="D565" t="str">
            <v>N-((R)-4-Phosphopantothenoyl)-L-cysteine[c] + H+[c] =&gt; CO2[c] + Pantetheine 4'-phosphate[c]</v>
          </cell>
          <cell r="E565" t="str">
            <v>4.1.1.36</v>
          </cell>
        </row>
        <row r="566">
          <cell r="B566" t="str">
            <v>PPCK</v>
          </cell>
          <cell r="C566" t="str">
            <v>phosphoenolpyruvate carboxykinase</v>
          </cell>
          <cell r="D566" t="str">
            <v>ATP[c] + Oxaloacetate[c] =&gt; ADP[c] + CO2[c] + Phosphoenolpyruvate[c]</v>
          </cell>
          <cell r="E566" t="str">
            <v>4.1.1.49</v>
          </cell>
        </row>
        <row r="567">
          <cell r="B567" t="str">
            <v>PPDD</v>
          </cell>
          <cell r="C567" t="str">
            <v>propanediol dehydratase</v>
          </cell>
          <cell r="D567" t="str">
            <v>(R)-Propane-1,2-diol[c] =&gt; H2O[c] + Propanal[c]</v>
          </cell>
        </row>
        <row r="568">
          <cell r="B568" t="str">
            <v>PPDt1</v>
          </cell>
          <cell r="C568" t="str">
            <v>1,3-propanediol transport in/out via diffusion reversible</v>
          </cell>
          <cell r="D568" t="str">
            <v>Propane-1,3-diol[c] &lt;=&gt; Propane-1,3-diol[e]</v>
          </cell>
        </row>
        <row r="569">
          <cell r="B569" t="str">
            <v>PPK2r</v>
          </cell>
          <cell r="C569" t="str">
            <v>polyphosphate kinase</v>
          </cell>
          <cell r="D569" t="str">
            <v>ATP[c] + Diphosphate[c] &lt;=&gt; ADP[c] + Inorganic triphosphate[c]</v>
          </cell>
        </row>
        <row r="570">
          <cell r="B570" t="str">
            <v>PPM</v>
          </cell>
          <cell r="C570" t="str">
            <v>phosphopentomutase</v>
          </cell>
          <cell r="D570" t="str">
            <v>alpha-D-Ribose 1-phosphate[c] &lt;=&gt; alpha-D-Ribose 5-phosphate[c]</v>
          </cell>
          <cell r="E570" t="str">
            <v>5.4.2.-; 5.4.2.2; 5.4.2.7</v>
          </cell>
        </row>
        <row r="571">
          <cell r="B571" t="str">
            <v>PPM2</v>
          </cell>
          <cell r="C571" t="str">
            <v>phosphopentomutase (deoxyribose)</v>
          </cell>
          <cell r="D571" t="str">
            <v>2-Deoxy-D-ribose 1-phosphate[c] &lt;=&gt; 2-Deoxy-D-ribose 5-phosphate[c]</v>
          </cell>
          <cell r="E571" t="str">
            <v>5.4.2.7</v>
          </cell>
        </row>
        <row r="572">
          <cell r="B572" t="str">
            <v>PPN13D</v>
          </cell>
          <cell r="C572" t="str">
            <v>1,3-propanediol dehydrogenase</v>
          </cell>
          <cell r="D572" t="str">
            <v>Propane-1,3-diol[c] + Nicotinamide adenine dinucleotide[c] &lt;=&gt; 3-Hydroxypropanal[c] + H+[c] + Nicotinamide adenine dinucleotide - reduced[c]</v>
          </cell>
        </row>
        <row r="573">
          <cell r="B573" t="str">
            <v>PPNCL</v>
          </cell>
          <cell r="C573" t="str">
            <v>phosphopantothenate-cysteine ligase</v>
          </cell>
          <cell r="D573" t="str">
            <v>D-4'-Phosphopantothenate[c] + CTP[c] + L-Cysteine[c] =&gt; N-((R)-4-Phosphopantothenoyl)-L-cysteine[c] + CDP[c] + H+[c] + Phosphate[c]</v>
          </cell>
          <cell r="E573" t="str">
            <v>6.3.2.5</v>
          </cell>
        </row>
        <row r="574">
          <cell r="B574" t="str">
            <v>PRAGSr</v>
          </cell>
          <cell r="C574" t="str">
            <v>phosphoribosylglycinamide synthetase</v>
          </cell>
          <cell r="D574" t="str">
            <v>ATP[c] + Glycine[c] + 5-Phospho-beta-D-ribosylamine[c] &lt;=&gt; ADP[c] + N1-(5-Phospho-D-ribosyl)glycinamide[c] + H+[c] + Phosphate[c]</v>
          </cell>
          <cell r="E574" t="str">
            <v>6.3.4.13</v>
          </cell>
        </row>
        <row r="575">
          <cell r="B575" t="str">
            <v>PRAIS</v>
          </cell>
          <cell r="C575" t="str">
            <v>phosphoribosylaminoimidazole synthetase</v>
          </cell>
          <cell r="D575" t="str">
            <v>ATP[c] + 2-(Formamido)-N1-(5-phospho-D-ribosyl)acetamidine[c] =&gt; ADP[c] + 5-amino-1-(5-phospho-D-ribosyl)imidazole[c] + 2 H+[c] + Phosphate[c]</v>
          </cell>
          <cell r="E575" t="str">
            <v>6.3.3.1</v>
          </cell>
        </row>
        <row r="576">
          <cell r="B576" t="str">
            <v>PRASCS</v>
          </cell>
          <cell r="C576" t="str">
            <v>phosphoribosylaminoimidazolesuccinocarboxamide synthase</v>
          </cell>
          <cell r="D576" t="str">
            <v>5-amino-1-(5-phospho-D-ribosyl)imidazole-4-carboxylate[c] + L-Aspartate[c] + ATP[c] &lt;=&gt; (S)-2-[5-Amino-1-(5-phospho-D-ribosyl)imidazole-4-carboxamido]succinate[c] + ADP[c] + H+[c] + Phosphate[c]</v>
          </cell>
        </row>
        <row r="577">
          <cell r="B577" t="str">
            <v>PRFGS</v>
          </cell>
          <cell r="C577" t="str">
            <v>phosphoribosylformylglycinamidine synthase</v>
          </cell>
          <cell r="D577" t="str">
            <v>ATP[c] + N2-Formyl-N1-(5-phospho-D-ribosyl)glycinamide[c] + L-Glutamine[c] + H2O[c] =&gt; ADP[c] + 2-(Formamido)-N1-(5-phospho-D-ribosyl)acetamidine[c] + L-Glutamate[c] + H+[c] + Phosphate[c]</v>
          </cell>
          <cell r="E577" t="str">
            <v>6.3.5.3</v>
          </cell>
        </row>
        <row r="578">
          <cell r="B578" t="str">
            <v>PROTRS</v>
          </cell>
          <cell r="C578" t="str">
            <v>Prolyl-tRNA synthetase</v>
          </cell>
          <cell r="D578" t="str">
            <v>ATP[c] + L-Proline[c] + tRNA(Pro)[c] =&gt; AMP[c] + Diphosphate[c] + L-Prolyl-tRNA(Pro)[c]</v>
          </cell>
        </row>
        <row r="579">
          <cell r="B579" t="str">
            <v>PROTS_LRE</v>
          </cell>
          <cell r="C579" t="str">
            <v>protein synthesis_LRE belonging to biomass version 6.0</v>
          </cell>
          <cell r="D579" t="str">
            <v>0.0068 L-Alanyl-tRNA(Ala)[c] + 0.0409 L-Arginyl-tRNA(Arg)[c] + 0.0768 L-Asparaginyl-tRNA(Asn)[c] + 0.0768 L-Aspartyl-tRNA(Asp)[c] + 0.306 ATP[c] + 0.0095 L-Cysteinyl-tRNA(Cys)[c] + 0.0714 L-Glutaminyl-tRNA(Gln)[c] + 0.0275 L-Glutamyl-tRNA(Glu)[c] + 0.1058 Glycyl-tRNA(Gly)[c] + 2 GTP[c] + 2.306 H2O[c] + 0.0209 L-Histidyl-tRNA(His)[c] + 0.0572 L-Isoleucyl-tRNA(Ile)[c] + 0.0849 L-Leucyl-tRNA(Leu)[c] + 0.0977 L-Lysine-tRNA (Lys)[c] + 0.027 L-Methionyl-tRNA (Met)[c] + 0.0326 L-Phenylalanyl-tRNA(Phe)[c] + 0.0401 L-Prolyl-tRNA(Pro)[c] + 0.0543 L-Seryl-tRNA(Ser)[c] + 0.0644 L-Threonyl-tRNA(Thr)[c] + 0.007 L-Tryptophanyl-tRNA(Trp)[c] + 0.0281 L-Tyrosyl-tRNA(Tyr)[c] + 0.0705 L-Valyl-tRNA(Val)[c] =&gt; Protein, LRE specific[c] + 0.306 ADP[c] + 2 GDP[c] + 2.306 H+[c] + 2.306 Phosphate[c] + 0.0068 tRNA(Ala)[c] + 0.0409 tRNA(Arg)[c] + 0.0768 tRNA(Asn)[c] + 0.0768 tRNA(Asp)[c] + 0.0095 tRNA(Cys)[c] + 0.0989 tRNA (Glu)[c] + 0.1058 tRNA(Gly)[c] + 0.0209 tRNA(His)[c] + 0.0572 tRNA(Ile)[c] + 0.0849 tRNA(Leu)[c] + 0.0977 tRNA(Lys)[c] + 0.027 tRNA(Met)[c] + 0.0326 tRNA(Phe)[c] + 0.0401 tRNA(Pro)[c] + 0.0543 tRNA(Ser)[c] + 0.0644 tRNA(Thr)[c] + 0.007 tRNA(Trp)[c] + 0.0281 tRNA(Tyr)[c] + 0.0705 tRNA(Val)[c]</v>
          </cell>
        </row>
        <row r="580">
          <cell r="B580" t="str">
            <v>PROt6</v>
          </cell>
          <cell r="C580" t="str">
            <v>L-proline transport in/out via proton symport</v>
          </cell>
          <cell r="D580" t="str">
            <v>H+[e] + L-Proline[e] &lt;=&gt; H+[c] + L-Proline[c]</v>
          </cell>
        </row>
        <row r="581">
          <cell r="B581" t="str">
            <v>PRPPS</v>
          </cell>
          <cell r="C581" t="str">
            <v>phosphoribosylpyrophosphate synthetase</v>
          </cell>
          <cell r="D581" t="str">
            <v>ATP[c] + alpha-D-Ribose 5-phosphate[c] &lt;=&gt; AMP[c] + H+[c] + 5-Phospho-alpha-D-ribose 1-diphosphate[c]</v>
          </cell>
          <cell r="E581" t="str">
            <v>2.7.6.1</v>
          </cell>
        </row>
        <row r="582">
          <cell r="B582" t="str">
            <v>PTAr</v>
          </cell>
          <cell r="C582" t="str">
            <v>phosphotransacetylase</v>
          </cell>
          <cell r="D582" t="str">
            <v>Acetyl-CoA[c] + Phosphate[c] &lt;=&gt; Acetyl phosphate[c] + Coenzyme A[c]</v>
          </cell>
          <cell r="E582" t="str">
            <v>2.3.1.8</v>
          </cell>
        </row>
        <row r="583">
          <cell r="B583" t="str">
            <v>PTPAT</v>
          </cell>
          <cell r="C583" t="str">
            <v>pantetheine-phosphate adenylyltransferase</v>
          </cell>
          <cell r="D583" t="str">
            <v>ATP[c] + H+[c] + Pantetheine 4'-phosphate[c] &lt;=&gt; Dephospho-CoA[c] + Diphosphate[c]</v>
          </cell>
        </row>
        <row r="584">
          <cell r="B584" t="str">
            <v>PTRCabc</v>
          </cell>
          <cell r="C584" t="str">
            <v>putrescine transport via ABC system</v>
          </cell>
          <cell r="D584" t="str">
            <v>ATP[c] + H2O[c] + Putrescine[e] =&gt; ADP[c] + H+[c] + Phosphate[c] + Putrescine[c]</v>
          </cell>
          <cell r="E584" t="str">
            <v>3.6.3.31</v>
          </cell>
        </row>
        <row r="585">
          <cell r="B585" t="str">
            <v>PUNP1</v>
          </cell>
          <cell r="C585" t="str">
            <v>purine-nucleoside phosphorylase (Adenosine)</v>
          </cell>
          <cell r="D585" t="str">
            <v>Adenosine[c] + Phosphate[c] &lt;=&gt; Adenine[c] + alpha-D-Ribose 1-phosphate[c]</v>
          </cell>
          <cell r="E585" t="str">
            <v>2.4.2.1</v>
          </cell>
        </row>
        <row r="586">
          <cell r="B586" t="str">
            <v>PUNP2</v>
          </cell>
          <cell r="C586" t="str">
            <v>purine-nucleoside phosphorylase (Deoxyadenosine)</v>
          </cell>
          <cell r="D586" t="str">
            <v>Deoxyadenosine[c] + Phosphate[c] &lt;=&gt; 2-Deoxy-D-ribose 1-phosphate[c] + Adenine[c]</v>
          </cell>
          <cell r="E586" t="str">
            <v>2.4.2.1</v>
          </cell>
        </row>
        <row r="587">
          <cell r="B587" t="str">
            <v>PUNP3</v>
          </cell>
          <cell r="C587" t="str">
            <v>purine-nucleoside phosphorylase (Guanosine)</v>
          </cell>
          <cell r="D587" t="str">
            <v>Guanosine[c] + Phosphate[c] &lt;=&gt; Guanine[c] + alpha-D-Ribose 1-phosphate[c]</v>
          </cell>
          <cell r="E587" t="str">
            <v>2.4.2.1; 2.4.2.15</v>
          </cell>
        </row>
        <row r="588">
          <cell r="B588" t="str">
            <v>PUNP4</v>
          </cell>
          <cell r="C588" t="str">
            <v>purine-nucleoside phosphorylase (Deoxyguanosine)</v>
          </cell>
          <cell r="D588" t="str">
            <v>Deoxyguanosine[c] + Phosphate[c] &lt;=&gt; 2-Deoxy-D-ribose 1-phosphate[c] + Guanine[c]</v>
          </cell>
          <cell r="E588" t="str">
            <v>2.4.2.1; 2.4.2.4</v>
          </cell>
        </row>
        <row r="589">
          <cell r="B589" t="str">
            <v>PUNP5</v>
          </cell>
          <cell r="C589" t="str">
            <v>purine-nucleoside phosphorylase (Inosine)</v>
          </cell>
          <cell r="D589" t="str">
            <v>Inosine[c] + Phosphate[c] &lt;=&gt; Hypoxanthine[c] + alpha-D-Ribose 1-phosphate[c]</v>
          </cell>
          <cell r="E589" t="str">
            <v>2.4.2.1; 2.4.2.15</v>
          </cell>
        </row>
        <row r="590">
          <cell r="B590" t="str">
            <v>PUNP6</v>
          </cell>
          <cell r="C590" t="str">
            <v>purine-nucleoside phosphorylase (Deoxyinosine)</v>
          </cell>
          <cell r="D590" t="str">
            <v>Deoxyinosine[c] + Phosphate[c] &lt;=&gt; 2-Deoxy-D-ribose 1-phosphate[c] + Hypoxanthine[c]</v>
          </cell>
          <cell r="E590" t="str">
            <v>2.4.2.1; 2.4.2.4</v>
          </cell>
        </row>
        <row r="591">
          <cell r="B591" t="str">
            <v>PUNP7</v>
          </cell>
          <cell r="C591" t="str">
            <v>purine-nucleoside phosphorylase (Xanthosine)</v>
          </cell>
          <cell r="D591" t="str">
            <v>Phosphate[c] + Xanthosine[c] &lt;=&gt; alpha-D-Ribose 1-phosphate[c] + Xanthine[c]</v>
          </cell>
          <cell r="E591" t="str">
            <v>2.4.2.-; 2.4.2.1</v>
          </cell>
        </row>
        <row r="592">
          <cell r="B592" t="str">
            <v>PYDAMK</v>
          </cell>
          <cell r="C592" t="str">
            <v>pyridoxal kinase (Pyridoxamine)</v>
          </cell>
          <cell r="D592" t="str">
            <v>ATP[c] + Pyridoxamine[c] =&gt; ADP[c] + H+[c] + Pyridoxamine 5'-phosphate[c]</v>
          </cell>
          <cell r="E592" t="str">
            <v>2.7.1.35</v>
          </cell>
        </row>
        <row r="593">
          <cell r="B593" t="str">
            <v>PYDAMt</v>
          </cell>
          <cell r="C593" t="str">
            <v>pyridoxamine transport</v>
          </cell>
          <cell r="D593" t="str">
            <v>H+[e] + Pyridoxamine[e] &lt;=&gt; H+[c] + Pyridoxamine[c]</v>
          </cell>
        </row>
        <row r="594">
          <cell r="B594" t="str">
            <v>PYDXK</v>
          </cell>
          <cell r="C594" t="str">
            <v>pyridoxal kinase (Pyridoxal)</v>
          </cell>
          <cell r="D594" t="str">
            <v>ATP[c] + Pyridoxal[c] =&gt; ADP[c] + H+[c] + Pyridoxal 5'-phosphate[c]</v>
          </cell>
          <cell r="E594" t="str">
            <v>2.7.1.35</v>
          </cell>
        </row>
        <row r="595">
          <cell r="B595" t="str">
            <v>PYK</v>
          </cell>
          <cell r="C595" t="str">
            <v>pyruvate kinase</v>
          </cell>
          <cell r="D595" t="str">
            <v>ADP[c] + H+[c] + Phosphoenolpyruvate[c] =&gt; ATP[c] + Pyruvate[c]</v>
          </cell>
          <cell r="E595" t="str">
            <v>2.7.1.40</v>
          </cell>
        </row>
        <row r="596">
          <cell r="B596" t="str">
            <v>PYNP1r</v>
          </cell>
          <cell r="C596" t="str">
            <v>pyrimidine-nucleoside phosphorylase (cytosine)</v>
          </cell>
          <cell r="D596" t="str">
            <v>Cytosine[c] + alpha-D-Ribose 1-phosphate[c] &lt;=&gt; Cytidine[c] + Phosphate[c]</v>
          </cell>
        </row>
        <row r="597">
          <cell r="B597" t="str">
            <v>PYNP2</v>
          </cell>
          <cell r="C597" t="str">
            <v>pyrimidine-nucleoside phosphorylase (uracil)</v>
          </cell>
          <cell r="D597" t="str">
            <v>Phosphate[c] + Uridine[c] &lt;=&gt; alpha-D-Ribose 1-phosphate[c] + Uracil[c]</v>
          </cell>
        </row>
        <row r="598">
          <cell r="B598" t="str">
            <v>PYRNS1</v>
          </cell>
          <cell r="C598" t="str">
            <v>pyrimidine nucleosidase (uridine)</v>
          </cell>
          <cell r="D598" t="str">
            <v>H2O[c] + Uridine[c] =&gt; D-Ribose[c] + Uracil[c]</v>
          </cell>
        </row>
        <row r="599">
          <cell r="B599" t="str">
            <v>PYRZAM</v>
          </cell>
          <cell r="C599" t="str">
            <v>Pyrazinamidase</v>
          </cell>
          <cell r="D599" t="str">
            <v>H2O[c] + Maleamate[c] =&gt; Maleate[c] + Ammonium[c]</v>
          </cell>
        </row>
        <row r="600">
          <cell r="B600" t="str">
            <v>PYRt2</v>
          </cell>
          <cell r="C600" t="str">
            <v>pyruvate reversible transport via proton symport</v>
          </cell>
          <cell r="D600" t="str">
            <v>H+[e] + Pyruvate[e] &lt;=&gt; H+[c] + Pyruvate[c]</v>
          </cell>
        </row>
        <row r="601">
          <cell r="B601" t="str">
            <v>QUIND</v>
          </cell>
          <cell r="C601" t="str">
            <v>quinate dehydrogenase (pyrroloquinoline-quinone)</v>
          </cell>
          <cell r="D601" t="str">
            <v>PQQ (Pyrroloquinoline-quinone) oxidized form[c] + Quinate[c] =&gt; 3-Dehydroquinate[c] + H+[c] + PQQ (pyrroloquinoline-quinone) reduced form[c]</v>
          </cell>
        </row>
        <row r="602">
          <cell r="B602" t="str">
            <v>R05218</v>
          </cell>
          <cell r="C602" t="str">
            <v>Cob(II)yrinate a,c diamide &lt;=&gt; Cob(I)yrinate a,c diamide</v>
          </cell>
          <cell r="D602" t="str">
            <v>2 Cob(II)yrinate a,c diamide[c] + Nicotinamide adenine dinucleotide - reduced[c] =&gt; 2 Cob(I)yrinate a,c diamide[c] + H+[c] + Nicotinamide adenine dinucleotide[c]</v>
          </cell>
        </row>
        <row r="603">
          <cell r="B603" t="str">
            <v>R05220</v>
          </cell>
          <cell r="C603" t="str">
            <v>Cob(I)yrinate a,c diamide &lt;=&gt;  Adenosyl cobyrinate a,c diamide</v>
          </cell>
          <cell r="D603" t="str">
            <v>ATP[c] + Cob(I)yrinate a,c diamide[c] + H2O[c] =&gt; Adenosyl cobyrinate diamide[c] + Phosphate[c] + Diphosphate[c]</v>
          </cell>
        </row>
        <row r="604">
          <cell r="B604" t="str">
            <v>R05225</v>
          </cell>
          <cell r="C604" t="str">
            <v>Adenosyl cobyrinate a,c diamide  &lt;=&gt; Adenosyl cobyrinate hexaamide</v>
          </cell>
          <cell r="D604" t="str">
            <v>Adenosyl cobyrinate diamide[c] + 4 ATP[c] + 4 L-Glutamine[c] + 4 H2O[c] =&gt; adenosyl-cobyric acid[c] + 4 ADP[c] + 4 L-Glutamate[c] + 4 H+[c] + 4 Phosphate[c]</v>
          </cell>
        </row>
        <row r="605">
          <cell r="B605" t="str">
            <v>RAFFINt</v>
          </cell>
          <cell r="C605" t="str">
            <v>Raffinose transport</v>
          </cell>
          <cell r="D605" t="str">
            <v>Raffinose[e] &lt;=&gt; Raffinose[c]</v>
          </cell>
        </row>
        <row r="606">
          <cell r="B606" t="str">
            <v>RAFGH</v>
          </cell>
          <cell r="C606" t="str">
            <v>Raffinose galactohydrolase</v>
          </cell>
          <cell r="D606" t="str">
            <v>H2O[c] + Raffinose[c] =&gt; D-Galactose[c] + Sucrose[c]</v>
          </cell>
        </row>
        <row r="607">
          <cell r="B607" t="str">
            <v>RBFK</v>
          </cell>
          <cell r="C607" t="str">
            <v>riboflavin kinase</v>
          </cell>
          <cell r="D607" t="str">
            <v>ATP[c] + Riboflavin[c] =&gt; ADP[c] + flavin mononucleotide[c] + H+[c]</v>
          </cell>
          <cell r="E607" t="str">
            <v>2.7.1.26</v>
          </cell>
        </row>
        <row r="608">
          <cell r="B608" t="str">
            <v>RBFSa</v>
          </cell>
          <cell r="C608" t="str">
            <v>riboflavin synthase</v>
          </cell>
          <cell r="D608" t="str">
            <v>4-(1-D-Ribitylamino)-5-aminouracil[c] + 3,4-dihydroxy-2-butanone 4-phosphate[c] =&gt; 6,7-Dimethyl-8-(1-D-ribityl)lumazine[c] + 2 H2O[c] + Phosphate[c]</v>
          </cell>
          <cell r="E608" t="str">
            <v>2.5.1.78; 2.5.1.9</v>
          </cell>
        </row>
        <row r="609">
          <cell r="B609" t="str">
            <v>RBK</v>
          </cell>
          <cell r="C609" t="str">
            <v>ribokinase</v>
          </cell>
          <cell r="D609" t="str">
            <v>ATP[c] + D-Ribose[c] =&gt; ADP[c] + H+[c] + alpha-D-Ribose 5-phosphate[c]</v>
          </cell>
          <cell r="E609" t="str">
            <v>2.7.1.15</v>
          </cell>
        </row>
        <row r="610">
          <cell r="B610" t="str">
            <v>RBLK1</v>
          </cell>
          <cell r="C610" t="str">
            <v>L-ribulokinase (L-ribulose)</v>
          </cell>
          <cell r="D610" t="str">
            <v>ATP[c] + L-Ribulose[c] =&gt; ADP[c] + H+[c] + L-Ribulose 5-phosphate[c]</v>
          </cell>
        </row>
        <row r="611">
          <cell r="B611" t="str">
            <v>RBLK2</v>
          </cell>
          <cell r="C611" t="str">
            <v>L-ribulokinase (ribitol)</v>
          </cell>
          <cell r="D611" t="str">
            <v>ATP[c] + Ribitol[c] =&gt; ADP[c] + H+[c] + D-Ribitol 5-phosphate[c]</v>
          </cell>
        </row>
        <row r="612">
          <cell r="B612" t="str">
            <v>RBP4E</v>
          </cell>
          <cell r="C612" t="str">
            <v>L-ribulose-phosphate 4-epimerase</v>
          </cell>
          <cell r="D612" t="str">
            <v>L-Ribulose 5-phosphate[c] &lt;=&gt; D-Xylulose 5-phosphate[c]</v>
          </cell>
          <cell r="E612" t="str">
            <v>5.1.3.4</v>
          </cell>
        </row>
        <row r="613">
          <cell r="B613" t="str">
            <v>RHC</v>
          </cell>
          <cell r="C613" t="str">
            <v>ribosylhomocysteinase</v>
          </cell>
          <cell r="D613" t="str">
            <v>H2O[c] + S-Ribosyl-L-homocysteine[c] =&gt; L-Homocysteine[c] + D-Ribose[c]</v>
          </cell>
        </row>
        <row r="614">
          <cell r="B614" t="str">
            <v>RIBFLVt2</v>
          </cell>
          <cell r="C614" t="str">
            <v>riboflavin transport in via proton symport</v>
          </cell>
          <cell r="D614" t="str">
            <v>H+[e] + Riboflavin[e] =&gt; H+[c] + Riboflavin[c]</v>
          </cell>
        </row>
        <row r="615">
          <cell r="B615" t="str">
            <v>RIBabc</v>
          </cell>
          <cell r="C615" t="str">
            <v>Ribose transport via ABC system</v>
          </cell>
          <cell r="D615" t="str">
            <v>ATP[c] + H2O[c] + D-Ribose[e] =&gt; ADP[c] + H+[c] + Phosphate[c] + D-Ribose[c]</v>
          </cell>
          <cell r="E615" t="str">
            <v>3.6.3.17</v>
          </cell>
        </row>
        <row r="616">
          <cell r="B616" t="str">
            <v>RNAS_LRE</v>
          </cell>
          <cell r="C616" t="str">
            <v>RNA synthesis, L.plantarum specific</v>
          </cell>
          <cell r="D616" t="str">
            <v>0.71081 ATP[c] + 0.18775 CTP[c] + 0.21245 GTP[c] + 0.28899 UTP[c] =&gt; RNA, LRE specific[c] + 0.4 ADP[c] + 0.4 H+[c] + 0.4 Phosphate[c] + Diphosphate[c]</v>
          </cell>
        </row>
        <row r="617">
          <cell r="B617" t="str">
            <v>RNDR1</v>
          </cell>
          <cell r="C617" t="str">
            <v>ribonucleoside-diphosphate reductase (ADP)</v>
          </cell>
          <cell r="D617" t="str">
            <v>ADP[c] + Reduced thioredoxin[c] =&gt; dADP[c] + H2O[c] + Oxidized thioredoxin[c]</v>
          </cell>
          <cell r="E617" t="str">
            <v>1.17.4.1</v>
          </cell>
        </row>
        <row r="618">
          <cell r="B618" t="str">
            <v>RNDR2</v>
          </cell>
          <cell r="C618" t="str">
            <v>ribonucleoside-diphosphate reductase (GDP)</v>
          </cell>
          <cell r="D618" t="str">
            <v>GDP[c] + Reduced thioredoxin[c] =&gt; dGDP[c] + H2O[c] + Oxidized thioredoxin[c]</v>
          </cell>
          <cell r="E618" t="str">
            <v>1.17.4.1</v>
          </cell>
        </row>
        <row r="619">
          <cell r="B619" t="str">
            <v>RNDR3</v>
          </cell>
          <cell r="C619" t="str">
            <v>ribonucleoside-diphosphate reductase (CDP)</v>
          </cell>
          <cell r="D619" t="str">
            <v>CDP[c] + Reduced thioredoxin[c] =&gt; dCDP[c] + H2O[c] + Oxidized thioredoxin[c]</v>
          </cell>
          <cell r="E619" t="str">
            <v>1.17.4.1</v>
          </cell>
        </row>
        <row r="620">
          <cell r="B620" t="str">
            <v>RNDR4</v>
          </cell>
          <cell r="C620" t="str">
            <v>ribonucleoside-diphosphate reductase (UDP)</v>
          </cell>
          <cell r="D620" t="str">
            <v>Reduced thioredoxin[c] + UDP[c] =&gt; dUDP[c] + H2O[c] + Oxidized thioredoxin[c]</v>
          </cell>
          <cell r="E620" t="str">
            <v>1.17.4.1</v>
          </cell>
        </row>
        <row r="621">
          <cell r="B621" t="str">
            <v>RNTR1</v>
          </cell>
          <cell r="C621" t="str">
            <v>ribonucleoside-triphosphate reductase (ATP)</v>
          </cell>
          <cell r="D621" t="str">
            <v>ATP[c] + Reduced thioredoxin[c] =&gt; dATP[c] + H2O[c] + Oxidized thioredoxin[c]</v>
          </cell>
          <cell r="E621" t="str">
            <v>1.17.4.2</v>
          </cell>
        </row>
        <row r="622">
          <cell r="B622" t="str">
            <v>RNTR2</v>
          </cell>
          <cell r="C622" t="str">
            <v>ribonucleoside-triphosphate reductase (GTP)</v>
          </cell>
          <cell r="D622" t="str">
            <v>GTP[c] + Reduced thioredoxin[c] =&gt; dGTP[c] + H2O[c] + Oxidized thioredoxin[c]</v>
          </cell>
          <cell r="E622" t="str">
            <v>1.17.4.2</v>
          </cell>
        </row>
        <row r="623">
          <cell r="B623" t="str">
            <v>RNTR3</v>
          </cell>
          <cell r="C623" t="str">
            <v>ribonucleoside-triphosphate reductase (CTP)</v>
          </cell>
          <cell r="D623" t="str">
            <v>CTP[c] + Reduced thioredoxin[c] =&gt; dCTP[c] + H2O[c] + Oxidized thioredoxin[c]</v>
          </cell>
          <cell r="E623" t="str">
            <v>1.17.4.2</v>
          </cell>
        </row>
        <row r="624">
          <cell r="B624" t="str">
            <v>RNTR4</v>
          </cell>
          <cell r="C624" t="str">
            <v>ribonucleoside-triphosphate reductase (UTP)</v>
          </cell>
          <cell r="D624" t="str">
            <v>Reduced thioredoxin[c] + UTP[c] =&gt; dUTP[c] + H2O[c] + Oxidized thioredoxin[c]</v>
          </cell>
          <cell r="E624" t="str">
            <v>1.17.4.2</v>
          </cell>
        </row>
        <row r="625">
          <cell r="B625" t="str">
            <v>RPE</v>
          </cell>
          <cell r="C625" t="str">
            <v>ribulose 5-phosphate 3-epimerase</v>
          </cell>
          <cell r="D625" t="str">
            <v>D-Ribulose 5-phosphate[c] &lt;=&gt; D-Xylulose 5-phosphate[c]</v>
          </cell>
          <cell r="E625" t="str">
            <v>5.1.3.1</v>
          </cell>
        </row>
        <row r="626">
          <cell r="B626" t="str">
            <v>RPI</v>
          </cell>
          <cell r="C626" t="str">
            <v>ribose-5-phosphate isomerase</v>
          </cell>
          <cell r="D626" t="str">
            <v>alpha-D-Ribose 5-phosphate[c] &lt;=&gt; D-Ribulose 5-phosphate[c]</v>
          </cell>
          <cell r="E626" t="str">
            <v>5.3.1.6</v>
          </cell>
        </row>
        <row r="627">
          <cell r="B627" t="str">
            <v>SCRP</v>
          </cell>
          <cell r="C627" t="str">
            <v>Sucrose phosphorylase</v>
          </cell>
          <cell r="D627" t="str">
            <v>Phosphate[c] + Sucrose[c] =&gt; D-Fructose[c] + D-Glucose 1-phosphate[c]</v>
          </cell>
        </row>
        <row r="628">
          <cell r="B628" t="str">
            <v>SDPDS</v>
          </cell>
          <cell r="C628" t="str">
            <v>succinyl-diaminopimelate desuccinylase</v>
          </cell>
          <cell r="D628" t="str">
            <v>H2O[c] + N-Succinyl-LL-2,6-diaminoheptanedioate[c] =&gt; LL-2,6-Diaminoheptanedioate[c] + Succinate[c]</v>
          </cell>
          <cell r="E628" t="str">
            <v>3.5.1.18</v>
          </cell>
        </row>
        <row r="629">
          <cell r="B629" t="str">
            <v>SELCYSLY</v>
          </cell>
          <cell r="C629" t="str">
            <v>selenocysteine lyase</v>
          </cell>
          <cell r="D629" t="str">
            <v>Reduced dithiothreitol[c] + L-Selenocysteine[c] =&gt; L-Alanine[c] + Oxidized dithiothreitol[c] + H+[c] + Selenide[c]</v>
          </cell>
        </row>
        <row r="630">
          <cell r="B630" t="str">
            <v>SERD_L</v>
          </cell>
          <cell r="C630" t="str">
            <v>L-serine deaminase</v>
          </cell>
          <cell r="D630" t="str">
            <v>L-Serine[c] =&gt; Ammonium[c] + Pyruvate[c]</v>
          </cell>
          <cell r="E630" t="str">
            <v>4.3.1.15; 4.3.1.17; 4.3.1.19</v>
          </cell>
        </row>
        <row r="631">
          <cell r="B631" t="str">
            <v>SERTRS</v>
          </cell>
          <cell r="C631" t="str">
            <v>Seryl-tRNA synthetase</v>
          </cell>
          <cell r="D631" t="str">
            <v>ATP[c] + L-Serine[c] + tRNA(Ser)[c] =&gt; AMP[c] + Diphosphate[c] + L-Seryl-tRNA(Ser)[c]</v>
          </cell>
        </row>
        <row r="632">
          <cell r="B632" t="str">
            <v>SERt3</v>
          </cell>
          <cell r="C632" t="str">
            <v>L-serine transport out via proton antiport</v>
          </cell>
          <cell r="D632" t="str">
            <v>H+[e] + L-Serine[c] =&gt; H+[c] + L-Serine[e]</v>
          </cell>
        </row>
        <row r="633">
          <cell r="B633" t="str">
            <v>SERt6</v>
          </cell>
          <cell r="C633" t="str">
            <v>L-serine transport in/out via proton symport</v>
          </cell>
          <cell r="D633" t="str">
            <v>H+[e] + L-Serine[e] &lt;=&gt; H+[c] + L-Serine[c]</v>
          </cell>
        </row>
        <row r="634">
          <cell r="B634" t="str">
            <v>SHCHD2</v>
          </cell>
          <cell r="C634" t="str">
            <v>sirohydrochlorin dehydrogenase (NAD)</v>
          </cell>
          <cell r="D634" t="str">
            <v>Nicotinamide adenine dinucleotide[c] + Sirohydrochlorin[c] =&gt; H+[c] + Nicotinamide adenine dinucleotide - reduced[c] + Sirochlorin[c]</v>
          </cell>
          <cell r="E634" t="str">
            <v>1.3.1.76</v>
          </cell>
        </row>
        <row r="635">
          <cell r="B635" t="str">
            <v>SPMDabc</v>
          </cell>
          <cell r="C635" t="str">
            <v>spermidine transport via ABC system</v>
          </cell>
          <cell r="D635" t="str">
            <v>ATP[c] + H2O[c] + Spermidine[e] =&gt; ADP[c] + H+[c] + Phosphate[c] + Spermidine[c]</v>
          </cell>
          <cell r="E635" t="str">
            <v>3.6.3.31</v>
          </cell>
        </row>
        <row r="636">
          <cell r="B636" t="str">
            <v>SRCHCOC</v>
          </cell>
          <cell r="C636" t="str">
            <v>sirohydrochlorin cobaltochelatase</v>
          </cell>
          <cell r="D636" t="str">
            <v>Co2+[c] + Sirohydrochlorin[c] =&gt; cobalt-precorrin2[c] + 3 H+[c]</v>
          </cell>
        </row>
        <row r="637">
          <cell r="B637" t="str">
            <v>SSALx</v>
          </cell>
          <cell r="C637" t="str">
            <v>succinate-semialdehyde dehydrogenase (NAD)</v>
          </cell>
          <cell r="D637" t="str">
            <v>H2O[c] + Nicotinamide adenine dinucleotide[c] + Succinic semialdehyde[c] =&gt; 2 H+[c] + Nicotinamide adenine dinucleotide - reduced[c] + Succinate[c]</v>
          </cell>
          <cell r="E637" t="str">
            <v>1.2.1.16; 1.2.1.24</v>
          </cell>
        </row>
        <row r="638">
          <cell r="B638" t="str">
            <v>SSALy</v>
          </cell>
          <cell r="C638" t="str">
            <v>succinate-semialdehyde dehydrogenase (NADP)</v>
          </cell>
          <cell r="D638" t="str">
            <v>H2O[c] + Nicotinamide adenine dinucleotide phosphate[c] + Succinic semialdehyde[c] =&gt; 2 H+[c] + Nicotinamide adenine dinucleotide phosphate - reduced[c] + Succinate[c]</v>
          </cell>
          <cell r="E638" t="str">
            <v>1.2.1.16; 1.2.1.79</v>
          </cell>
        </row>
        <row r="639">
          <cell r="B639" t="str">
            <v>SUCBZL</v>
          </cell>
          <cell r="C639" t="str">
            <v>o-succinylbenzoate-CoA ligase</v>
          </cell>
          <cell r="D639" t="str">
            <v>ATP[c] + Coenzyme A[c] + o-Succinylbenzoate[c] =&gt; AMP[c] + Diphosphate[c] + O-Succinylbenzoyl-CoA[c]</v>
          </cell>
          <cell r="E639" t="str">
            <v>6.2.1.26</v>
          </cell>
        </row>
        <row r="640">
          <cell r="B640" t="str">
            <v>SUCCt2r</v>
          </cell>
          <cell r="C640" t="str">
            <v>Succinate transport via proton symport</v>
          </cell>
          <cell r="D640" t="str">
            <v>H+[e] + Succinate[e] &lt;=&gt; H+[c] + Succinate[c]</v>
          </cell>
        </row>
        <row r="641">
          <cell r="B641" t="str">
            <v>SUCH</v>
          </cell>
          <cell r="C641" t="str">
            <v>alpha-glucoside glucohydrolase</v>
          </cell>
          <cell r="D641" t="str">
            <v>H2O[c] + Sucrose[c] =&gt; D-Fructose[c] + D-Glucose[c]</v>
          </cell>
        </row>
        <row r="642">
          <cell r="B642" t="str">
            <v>SUCtpp</v>
          </cell>
          <cell r="C642" t="str">
            <v>Sucrose transport via permease</v>
          </cell>
          <cell r="D642" t="str">
            <v>Sucrose[e] &lt;=&gt; Sucrose[c]</v>
          </cell>
        </row>
        <row r="643">
          <cell r="B643" t="str">
            <v>SULABC</v>
          </cell>
          <cell r="C643" t="str">
            <v>Sulfate transporter via ABC</v>
          </cell>
          <cell r="D643" t="str">
            <v>ATP[c] + H2O[c] + Sulfate[e] =&gt; ADP[c] + H+[c] + Phosphate[c] + Sulfate[c]</v>
          </cell>
        </row>
        <row r="644">
          <cell r="B644" t="str">
            <v>SULR</v>
          </cell>
          <cell r="C644" t="str">
            <v>sulfite reductase (Flavodoxin)</v>
          </cell>
          <cell r="D644" t="str">
            <v>5 H+[c] + 3 Nicotinamide adenine dinucleotide phosphate - reduced[c] + Sulfite[c] =&gt; 3 H2O[c] + Hydrogen sulfide[c] + 3 Nicotinamide adenine dinucleotide phosphate[c]</v>
          </cell>
          <cell r="E644" t="str">
            <v>1.8.1.2</v>
          </cell>
        </row>
        <row r="645">
          <cell r="B645" t="str">
            <v>TDMAT6</v>
          </cell>
          <cell r="C645" t="str">
            <v>Tetradecanoyl-[acyl-carrier protein]:malonyl-CoA  C-acyltransferase</v>
          </cell>
          <cell r="D645" t="str">
            <v>trans-Tetradec-2-enoyl-[acyl-carrier protein][c] + H+[c] + Nicotinamide adenine dinucleotide - reduced[c] =&gt; Nicotinamide adenine dinucleotide[c] + Tetradecanoyl-[acyl-carrier protein][c]</v>
          </cell>
        </row>
        <row r="646">
          <cell r="B646" t="str">
            <v>TDPDRE</v>
          </cell>
          <cell r="C646" t="str">
            <v>dTDP-4-dehydrorhamnose 3,5-epimerase</v>
          </cell>
          <cell r="D646" t="str">
            <v>dTDP-4-dehydro-6-deoxy-D-glucose[c] =&gt; dTDP-4-dehydro-6-deoxy-L-mannose[c]</v>
          </cell>
          <cell r="E646" t="str">
            <v>5.1.3.13</v>
          </cell>
        </row>
        <row r="647">
          <cell r="B647" t="str">
            <v>TDPDRR</v>
          </cell>
          <cell r="C647" t="str">
            <v>dTDP-4-dehydrorhamnose reductase</v>
          </cell>
          <cell r="D647" t="str">
            <v>dTDP-6-deoxy-L-mannose[c] + Nicotinamide adenine dinucleotide phosphate[c] &lt;=&gt; dTDP-4-dehydro-6-deoxy-L-mannose[c] + H+[c] + Nicotinamide adenine dinucleotide phosphate - reduced[c]</v>
          </cell>
          <cell r="E647" t="str">
            <v>1.1.1.133</v>
          </cell>
        </row>
        <row r="648">
          <cell r="B648" t="str">
            <v>TDPGDH</v>
          </cell>
          <cell r="C648" t="str">
            <v>dTDPglucose 4,6-dehydratase</v>
          </cell>
          <cell r="D648" t="str">
            <v>dTDPglucose[c] =&gt; dTDP-4-dehydro-6-deoxy-D-glucose[c] + H2O[c]</v>
          </cell>
          <cell r="E648" t="str">
            <v>4.2.1.46</v>
          </cell>
        </row>
        <row r="649">
          <cell r="B649" t="str">
            <v>THDPS</v>
          </cell>
          <cell r="C649" t="str">
            <v>tetrahydropicolinate succinylase</v>
          </cell>
          <cell r="D649" t="str">
            <v>H2O[c] + Succinyl-CoA[c] + 2,3,4,5-Tetrahydrodipicolinate[c] =&gt; Coenzyme A[c] + N-Succinyl-2-L-amino-6-oxoheptanedioate[c]</v>
          </cell>
          <cell r="E649" t="str">
            <v>2.3.1.117</v>
          </cell>
        </row>
        <row r="650">
          <cell r="B650" t="str">
            <v>THFGLUS</v>
          </cell>
          <cell r="C650" t="str">
            <v>Tetrahydrofolate:L-glutamate gamma-ligase (ADP-forming)</v>
          </cell>
          <cell r="D650" t="str">
            <v>ATP[c] + L-Glutamate[c] + 5,6,7,8-Tetrahydrofolate[c] &lt;=&gt; ADP[c] + H+[c] + Phosphate[c] + Tetrahydrofolyl-[Glu](2)[c]</v>
          </cell>
          <cell r="E650" t="str">
            <v>6.3.2.17</v>
          </cell>
        </row>
        <row r="651">
          <cell r="B651" t="str">
            <v>THMDt2r</v>
          </cell>
          <cell r="C651" t="str">
            <v>thymidine transport in via proton symport, reversible</v>
          </cell>
          <cell r="D651" t="str">
            <v>H+[e] + Thymidine[e] &lt;=&gt; H+[c] + Thymidine[c]</v>
          </cell>
        </row>
        <row r="652">
          <cell r="B652" t="str">
            <v>THMabc</v>
          </cell>
          <cell r="C652" t="str">
            <v>thiamine transport via ABC system</v>
          </cell>
          <cell r="D652" t="str">
            <v>ATP[c] + H2O[c] + Thiamin[e] =&gt; ADP[c] + H+[c] + Phosphate[c] + Thiamin[c]</v>
          </cell>
        </row>
        <row r="653">
          <cell r="B653" t="str">
            <v>THRD</v>
          </cell>
          <cell r="C653" t="str">
            <v>L-threonine dehydrogenase</v>
          </cell>
          <cell r="D653" t="str">
            <v>Nicotinamide adenine dinucleotide[c] + L-Threonine[c] =&gt; L-2-Amino-3-oxobutanoate[c] + H+[c] + Nicotinamide adenine dinucleotide - reduced[c]</v>
          </cell>
          <cell r="E653" t="str">
            <v>1.1.1.103</v>
          </cell>
        </row>
        <row r="654">
          <cell r="B654" t="str">
            <v>THRPDC</v>
          </cell>
          <cell r="C654" t="str">
            <v>Threonine-phosphate decarboxylase (EC 4.1.1.81)</v>
          </cell>
          <cell r="D654" t="str">
            <v>H+[c] + L-Threonine phosphate[c] =&gt; D-1-Aminopropan-2-ol O-phosphate[c] + CO2[c]</v>
          </cell>
        </row>
        <row r="655">
          <cell r="B655" t="str">
            <v>THRTRS</v>
          </cell>
          <cell r="C655" t="str">
            <v>Threonyl-tRNA synthetase</v>
          </cell>
          <cell r="D655" t="str">
            <v>ATP[c] + L-Threonine[c] + tRNA(Thr)[c] =&gt; AMP[c] + Diphosphate[c] + L-Threonyl-tRNA(Thr)[c]</v>
          </cell>
        </row>
        <row r="656">
          <cell r="B656" t="str">
            <v>THRt2</v>
          </cell>
          <cell r="C656" t="str">
            <v>L-threonine transport in via proton symport</v>
          </cell>
          <cell r="D656" t="str">
            <v>H+[e] + L-Threonine[e] =&gt; H+[c] + L-Threonine[c]</v>
          </cell>
        </row>
        <row r="657">
          <cell r="B657" t="str">
            <v>THRt3</v>
          </cell>
          <cell r="C657" t="str">
            <v>L-threonine transport out via proton antiport</v>
          </cell>
          <cell r="D657" t="str">
            <v>H+[e] + L-Threonine[c] =&gt; H+[c] + L-Threonine[e]</v>
          </cell>
        </row>
        <row r="658">
          <cell r="B658" t="str">
            <v>THZPSN</v>
          </cell>
          <cell r="C658" t="str">
            <v>thiazole phosphate synthesis</v>
          </cell>
          <cell r="D658" t="str">
            <v>ATP[c] + L-Cysteine[c] + 1-deoxy-D-xylulose 5-phosphate[c] + L-Tyrosine[c] =&gt; 4-Hydroxy-benzyl alcohol[c] + 4-Methyl-5-(2-phosphoethyl)-thiazole[c] + L-Alanine[c] + AMP[c] + CO2[c] + H2O[c] + H+[c] + Diphosphate[c]</v>
          </cell>
        </row>
        <row r="659">
          <cell r="B659" t="str">
            <v>THZPSN2</v>
          </cell>
          <cell r="C659" t="str">
            <v>thiazole phosphate synthesis</v>
          </cell>
          <cell r="D659" t="str">
            <v>MPT synthase sulfurylated small subunit (MoaD-SH)[c] + 1-deoxy-D-xylulose 5-phosphate[c] + Glycine[c] + Nicotinamide adenine dinucleotide phosphate[c] =&gt; 4-Methyl-5-(2-phosphoethyl)-thiazole[c] + MPT synthase small subunit MoaD[c] + CO2[c] + 2 H2O[c] + 2 H+[c] + Nicotinamide adenine dinucleotide phosphate - reduced[c]</v>
          </cell>
        </row>
        <row r="660">
          <cell r="B660" t="str">
            <v>TMDK1</v>
          </cell>
          <cell r="C660" t="str">
            <v>thymidine kinase (ATP:thymidine)</v>
          </cell>
          <cell r="D660" t="str">
            <v>ATP[c] + Thymidine[c] =&gt; ADP[c] + dTMP[c] + H+[c]</v>
          </cell>
          <cell r="E660" t="str">
            <v>2.7.1.145; 2.7.1.21</v>
          </cell>
        </row>
        <row r="661">
          <cell r="B661" t="str">
            <v>TMDK2</v>
          </cell>
          <cell r="C661" t="str">
            <v>thymidine kinase (GTP:Thymidine)</v>
          </cell>
          <cell r="D661" t="str">
            <v>GTP[c] + Thymidine[c] =&gt; dTMP[c] + GDP[c] + H+[c]</v>
          </cell>
        </row>
        <row r="662">
          <cell r="B662" t="str">
            <v>TMDPK</v>
          </cell>
          <cell r="C662" t="str">
            <v>thiamine diphosphokinase</v>
          </cell>
          <cell r="D662" t="str">
            <v>ATP[c] + Thiamin[c] =&gt; AMP[c] + H+[c] + Thiamine diphosphate[c]</v>
          </cell>
          <cell r="E662" t="str">
            <v>2.7.6.2</v>
          </cell>
        </row>
        <row r="663">
          <cell r="B663" t="str">
            <v>TMDPP</v>
          </cell>
          <cell r="C663" t="str">
            <v>pyrimidine-nucleoside phosphorylase (thymine)</v>
          </cell>
          <cell r="D663" t="str">
            <v>2-Deoxy-D-ribose 1-phosphate[c] + Thymine[c] &lt;=&gt; Phosphate[c] + Thymidine[c]</v>
          </cell>
          <cell r="E663" t="str">
            <v>2.4.2.2; 2.4.2.4</v>
          </cell>
        </row>
        <row r="664">
          <cell r="B664" t="str">
            <v>TMDS</v>
          </cell>
          <cell r="C664" t="str">
            <v>thymidylate synthase</v>
          </cell>
          <cell r="D664" t="str">
            <v>dUMP[c] + 5,10-Methylenetetrahydrofolate[c] =&gt; 7,8-Dihydrofolate[c] + dTMP[c]</v>
          </cell>
          <cell r="E664" t="str">
            <v>2.1.1.45</v>
          </cell>
        </row>
        <row r="665">
          <cell r="B665" t="str">
            <v>TMPPP</v>
          </cell>
          <cell r="C665" t="str">
            <v>thiamine-phosphate diphosphorylase</v>
          </cell>
          <cell r="D665" t="str">
            <v>2-Methyl-4-amino-5-hydroxymethylpyrimidine diphosphate[c] + 4-Methyl-5-(2-phosphoethyl)-thiazole[c] + H+[c] =&gt; Diphosphate[c] + Thiamin monophosphate[c]</v>
          </cell>
          <cell r="E665" t="str">
            <v>2.5.1.3</v>
          </cell>
        </row>
        <row r="666">
          <cell r="B666" t="str">
            <v>TPI</v>
          </cell>
          <cell r="C666" t="str">
            <v>triose-phosphate isomerase</v>
          </cell>
          <cell r="D666" t="str">
            <v>Dihydroxyacetone phosphate[c] &lt;=&gt; Glyceraldehyde 3-phosphate[c]</v>
          </cell>
          <cell r="E666" t="str">
            <v>5.3.1.1</v>
          </cell>
        </row>
        <row r="667">
          <cell r="B667" t="str">
            <v>TRDR</v>
          </cell>
          <cell r="C667" t="str">
            <v>thioredoxin reductase (NADPH)</v>
          </cell>
          <cell r="D667" t="str">
            <v>H+[c] + Nicotinamide adenine dinucleotide phosphate - reduced[c] + Oxidized thioredoxin[c] =&gt; Nicotinamide adenine dinucleotide phosphate[c] + Reduced thioredoxin[c]</v>
          </cell>
          <cell r="E667" t="str">
            <v>1.6.4.5; 1.8.1.9</v>
          </cell>
        </row>
        <row r="668">
          <cell r="B668" t="str">
            <v>TREP</v>
          </cell>
          <cell r="C668" t="str">
            <v>maltose phosphorylase</v>
          </cell>
          <cell r="D668" t="str">
            <v>Phosphate[c] + Trehalose[c] &lt;=&gt; beta-D-Glucose 1-phosphate[c] + D-Glucose[c]</v>
          </cell>
        </row>
        <row r="669">
          <cell r="B669" t="str">
            <v>TREt</v>
          </cell>
          <cell r="C669" t="str">
            <v>trehalose transport in/out via proton symport</v>
          </cell>
          <cell r="D669" t="str">
            <v>H+[e] + Trehalose[e] &lt;=&gt; H+[c] + Trehalose[c]</v>
          </cell>
        </row>
        <row r="670">
          <cell r="B670" t="str">
            <v>TRPTRS</v>
          </cell>
          <cell r="C670" t="str">
            <v>Tryptophanyl-tRNA synthetase</v>
          </cell>
          <cell r="D670" t="str">
            <v>ATP[c] + tRNA(Trp)[c] + L-Tryptophan[c] =&gt; AMP[c] + Diphosphate[c] + L-Tryptophanyl-tRNA(Trp)[c]</v>
          </cell>
        </row>
        <row r="671">
          <cell r="B671" t="str">
            <v>TRPt6</v>
          </cell>
          <cell r="C671" t="str">
            <v>L-tryptophan transport in/out via proton symport</v>
          </cell>
          <cell r="D671" t="str">
            <v>H+[e] + L-Tryptophan[e] &lt;=&gt; H+[c] + L-Tryptophan[c]</v>
          </cell>
        </row>
        <row r="672">
          <cell r="B672" t="str">
            <v>TYRTRS</v>
          </cell>
          <cell r="C672" t="str">
            <v>Tyrosyl-tRNA synthetase</v>
          </cell>
          <cell r="D672" t="str">
            <v>ATP[c] + tRNA(Tyr)[c] + L-Tyrosine[c] =&gt; AMP[c] + Diphosphate[c] + L-Tyrosyl-tRNA(Tyr)[c]</v>
          </cell>
        </row>
        <row r="673">
          <cell r="B673" t="str">
            <v>TYRt6</v>
          </cell>
          <cell r="C673" t="str">
            <v>L-tyrosine transport in/out via proton symport</v>
          </cell>
          <cell r="D673" t="str">
            <v>H+[e] + L-Tyrosine[e] &lt;=&gt; H+[c] + L-Tyrosine[c]</v>
          </cell>
        </row>
        <row r="674">
          <cell r="B674" t="str">
            <v>UAAGDS</v>
          </cell>
          <cell r="C674" t="str">
            <v>UDP-N-acetylmuramoyl-L-alanyl-D-glutamyl-meso-2,6-diaminopimelate synthetase</v>
          </cell>
          <cell r="D674" t="str">
            <v>meso-2,6-Diaminoheptanedioate[c] + ATP[c] + UDP-N-acetylmuramoyl-L-alanyl-D-glutamate[c] =&gt; ADP[c] + H+[c] + Phosphate[c] + UDP-N-acetylmuramoyl-L-alanyl-D-gamma-glutamyl-meso-2,6-diaminopimelate[c]</v>
          </cell>
          <cell r="E674" t="str">
            <v>6.3.2.13</v>
          </cell>
        </row>
        <row r="675">
          <cell r="B675" t="str">
            <v>UAG2E</v>
          </cell>
          <cell r="C675" t="str">
            <v>UDP-N-acetylglucosamine 2-epimerase</v>
          </cell>
          <cell r="D675" t="str">
            <v>UDP-N-acetyl-D-glucosamine[c] &lt;=&gt; UDP-N-acetyl-D-mannosamine[c]</v>
          </cell>
          <cell r="E675" t="str">
            <v>5.1.3.14</v>
          </cell>
        </row>
        <row r="676">
          <cell r="B676" t="str">
            <v>UAGCVT</v>
          </cell>
          <cell r="C676" t="str">
            <v>UDP-N-acetylglucosamine 1-carboxyvinyltransferase</v>
          </cell>
          <cell r="D676" t="str">
            <v>Phosphoenolpyruvate[c] + UDP-N-acetyl-D-glucosamine[c] =&gt; Phosphate[c] + UDP-N-acetyl-3-O-(1-carboxyvinyl)-D-glucosamine[c]</v>
          </cell>
          <cell r="E676" t="str">
            <v>2.5.1.7</v>
          </cell>
        </row>
        <row r="677">
          <cell r="B677" t="str">
            <v>UAGDP</v>
          </cell>
          <cell r="C677" t="str">
            <v>UDP-N-acetylglucosamine diphosphorylase</v>
          </cell>
          <cell r="D677" t="str">
            <v>N-Acetyl-D-glucosamine 1-phosphate[c] + H+[c] + UTP[c] =&gt; Diphosphate[c] + UDP-N-acetyl-D-glucosamine[c]</v>
          </cell>
          <cell r="E677" t="str">
            <v>2.7.7.23</v>
          </cell>
        </row>
        <row r="678">
          <cell r="B678" t="str">
            <v>UAGPT5</v>
          </cell>
          <cell r="C678" t="str">
            <v>UDP-N-acetylglucosamine-N-acetylmuramyl-(pentapeptide)pyrophosphoryl-undecaprenol N-acetylglucosamine transferase</v>
          </cell>
          <cell r="D678" t="str">
            <v>UDP-N-acetyl-D-glucosamine[c] + Undecaprenyl-diphospho-N-acetylmuramoyl-L-alanyl-D-glutamyl-meso-2,6-diaminopimeloyl-D-alanyl-D-lactate[c] =&gt; H+[c] + Undecaprenyl-diphospho-N-acetylmuramoyl-(N-acetylglucosamine)-L-alanyl-D-glutamyl-meso-2,6-diaminopimeloyl-D-alanyl-D-lactate[c] + UDP[c]</v>
          </cell>
        </row>
        <row r="679">
          <cell r="B679" t="str">
            <v>UAMAGS</v>
          </cell>
          <cell r="C679" t="str">
            <v>UDP-N-acetylmuramoyl-L-alanyl-D-glutamate synthetase</v>
          </cell>
          <cell r="D679" t="str">
            <v>ATP[c] + D-Glutamate[c] + UDP-N-acetylmuramoyl-L-alanine[c] =&gt; ADP[c] + H+[c] + Phosphate[c] + UDP-N-acetylmuramoyl-L-alanyl-D-glutamate[c]</v>
          </cell>
          <cell r="E679" t="str">
            <v>6.3.2.9</v>
          </cell>
        </row>
        <row r="680">
          <cell r="B680" t="str">
            <v>UAMAS</v>
          </cell>
          <cell r="C680" t="str">
            <v>UDP-N-acetylmuramoyl-L-alanine synthetase</v>
          </cell>
          <cell r="D680" t="str">
            <v>L-Alanine[c] + ATP[c] + UDP-N-acetylmuramate[c] =&gt; ADP[c] + H+[c] + Phosphate[c] + UDP-N-acetylmuramoyl-L-alanine[c]</v>
          </cell>
          <cell r="E680" t="str">
            <v>6.3.2.8</v>
          </cell>
        </row>
        <row r="681">
          <cell r="B681" t="str">
            <v>UAPGR</v>
          </cell>
          <cell r="C681" t="str">
            <v>UDP-N-acetylenolpyruvoylglucosamine reductase</v>
          </cell>
          <cell r="D681" t="str">
            <v>H+[c] + Nicotinamide adenine dinucleotide phosphate - reduced[c] + UDP-N-acetyl-3-O-(1-carboxyvinyl)-D-glucosamine[c] =&gt; Nicotinamide adenine dinucleotide phosphate[c] + UDP-N-acetylmuramate[c]</v>
          </cell>
          <cell r="E681" t="str">
            <v>1.3.1.98</v>
          </cell>
        </row>
        <row r="682">
          <cell r="B682" t="str">
            <v>UDCPDP</v>
          </cell>
          <cell r="C682" t="str">
            <v>undecaprenyl-diphosphatase</v>
          </cell>
          <cell r="D682" t="str">
            <v>H2O[c] + Undecaprenyl diphosphate[c] =&gt; H+[c] + Phosphate[c] + Undecaprenyl phosphate[c]</v>
          </cell>
        </row>
        <row r="683">
          <cell r="B683" t="str">
            <v>UDCPDPS</v>
          </cell>
          <cell r="C683" t="str">
            <v>Undecaprenyl diphosphate synthase</v>
          </cell>
          <cell r="D683" t="str">
            <v>Farnesyl diphosphate[c] + 8 Isopentenyl diphosphate[c] =&gt; 8 Diphosphate[c] + Undecaprenyl diphosphate[c]</v>
          </cell>
          <cell r="E683" t="str">
            <v>2.5.1.-; 2.5.1.31; 2.5.1.M1</v>
          </cell>
        </row>
        <row r="684">
          <cell r="B684" t="str">
            <v>UDCPK</v>
          </cell>
          <cell r="C684" t="str">
            <v>undecaprenol kinase</v>
          </cell>
          <cell r="D684" t="str">
            <v>ATP[c] + Undecaprenol[c] =&gt; ADP[c] + H+[c] + Undecaprenyl phosphate[c]</v>
          </cell>
        </row>
        <row r="685">
          <cell r="B685" t="str">
            <v>UDPDPS</v>
          </cell>
          <cell r="C685" t="str">
            <v>undecaprenyl-diphosphate synthase</v>
          </cell>
          <cell r="D685" t="str">
            <v>all-trans-Decaprenyl diphosphate[c] + Isopentenyl diphosphate[c] =&gt; Diphosphate[c] + Undecaprenyl diphosphate[c]</v>
          </cell>
        </row>
        <row r="686">
          <cell r="B686" t="str">
            <v>UDPG4E</v>
          </cell>
          <cell r="C686" t="str">
            <v>UDPglucose 4-epimerase</v>
          </cell>
          <cell r="D686" t="str">
            <v>UDPglucose[c] &lt;=&gt; UDPgalactose[c]</v>
          </cell>
          <cell r="E686" t="str">
            <v>5.1.3.2</v>
          </cell>
        </row>
        <row r="687">
          <cell r="B687" t="str">
            <v>UDPGALM</v>
          </cell>
          <cell r="C687" t="str">
            <v>UDPgalactopyranose mutase</v>
          </cell>
          <cell r="D687" t="str">
            <v>UDPgalactose[c] =&gt; UDP-D-galacto-1,4-furanose[c]</v>
          </cell>
          <cell r="E687" t="str">
            <v>5.4.99.9</v>
          </cell>
        </row>
        <row r="688">
          <cell r="B688" t="str">
            <v>UGLDDS1</v>
          </cell>
          <cell r="C688" t="str">
            <v>UDP-N-acetylmuramoyl-L-alanyl-D-glutamyl-L-lysyl-D-alanyl-D-alanine synthetase (alpha-glutamate)</v>
          </cell>
          <cell r="D688" t="str">
            <v>D-Alanyl-D-alanine[c] + ATP[c] + UDP-N-acetylmuramoyl-L-alanyl-D-glutamyl-L-lysine[c] =&gt; ADP[c] + Phosphate[c] + UDP-N-acetylmuramoyl-L-alanyl-D-glutamyl-L-lysyl-D-alanyl-D-alanine[c]</v>
          </cell>
          <cell r="E688" t="str">
            <v>6.3.2.10; 6.3.2.4</v>
          </cell>
        </row>
        <row r="689">
          <cell r="B689" t="str">
            <v>UGLDDS2</v>
          </cell>
          <cell r="C689" t="str">
            <v>UDP-N-acetylmuramoyl-L-alanyl-D-glutamyl-L-lysyl-D-alanyl-D-alanine synthetase (gamma-glutamate)</v>
          </cell>
          <cell r="D689" t="str">
            <v>D-Alanyl-D-alanine[c] + ATP[c] + UDP-N-acetylmuramoyl-L-alanyl-gamma-D-glutamyl-L-lysine[c] =&gt; ADP[c] + H+[c] + Phosphate[c] + UDP-N-acetylmuramoyl-L-alanyl-gamma-D-glutamyl-L-lysyl-D-alanyl-D-alanine[c]</v>
          </cell>
        </row>
        <row r="690">
          <cell r="B690" t="str">
            <v>UGMDDS2</v>
          </cell>
          <cell r="C690" t="str">
            <v>UDP-N-acetylmuramoyl-L-alanyl-D-glutamyl-meso-2,6-diaminopimeloyl-D-alanyl-D-lactate synthetase</v>
          </cell>
          <cell r="D690" t="str">
            <v>D-Alanyl-D-lactate[c] + ATP[c] + UDP-N-acetylmuramoyl-L-alanyl-D-gamma-glutamyl-meso-2,6-diaminopimelate[c] =&gt; ADP[c] + H+[c] + Phosphate[c] + UDP-N-acetylmuramoyl-L-alanyl-D-glutamyl-meso-2,6-diaminopimeloyl-D-alanyl-D-lactate[c]</v>
          </cell>
        </row>
        <row r="691">
          <cell r="B691" t="str">
            <v>UMPK</v>
          </cell>
          <cell r="C691" t="str">
            <v>uridylate kinase (UMP)</v>
          </cell>
          <cell r="D691" t="str">
            <v>ATP[c] + UMP[c] &lt;=&gt; ADP[c] + UDP[c]</v>
          </cell>
          <cell r="E691" t="str">
            <v>2.7.4.14; 2.7.4.22; 2.7.4.4</v>
          </cell>
        </row>
        <row r="692">
          <cell r="B692" t="str">
            <v>UPP3MT</v>
          </cell>
          <cell r="C692" t="str">
            <v>uroporphyrinogen methyltransferase</v>
          </cell>
          <cell r="D692" t="str">
            <v>2 S-Adenosyl-L-methionine[c] + Uroporphyrinogen III[c] =&gt; 2 S-Adenosyl-L-homocysteine[c] + H+[c] + Sirohydrochlorin[c]</v>
          </cell>
          <cell r="E692" t="str">
            <v>2.1.1.107</v>
          </cell>
        </row>
        <row r="693">
          <cell r="B693" t="str">
            <v>UPP3S</v>
          </cell>
          <cell r="C693" t="str">
            <v>uroporphyrinogen-III synthase</v>
          </cell>
          <cell r="D693" t="str">
            <v>Hydroxymethylbilane[c] =&gt; H2O[c] + Uroporphyrinogen III[c]</v>
          </cell>
          <cell r="E693" t="str">
            <v>4.2.1.75</v>
          </cell>
        </row>
        <row r="694">
          <cell r="B694" t="str">
            <v>UPPRT</v>
          </cell>
          <cell r="C694" t="str">
            <v>uracil phosphoribosyltransferase</v>
          </cell>
          <cell r="D694" t="str">
            <v>5-Phospho-alpha-D-ribose 1-diphosphate[c] + Uracil[c] =&gt; Diphosphate[c] + UMP[c]</v>
          </cell>
          <cell r="E694" t="str">
            <v>2.4.2.9</v>
          </cell>
        </row>
        <row r="695">
          <cell r="B695" t="str">
            <v>URAt2</v>
          </cell>
          <cell r="C695" t="str">
            <v>uracil transport in via proton symport</v>
          </cell>
          <cell r="D695" t="str">
            <v>H+[e] + Uracil[e] =&gt; H+[c] + Uracil[c]</v>
          </cell>
        </row>
        <row r="696">
          <cell r="B696" t="str">
            <v>URIDK2</v>
          </cell>
          <cell r="C696" t="str">
            <v>uridylate kinase (dUMP)</v>
          </cell>
          <cell r="D696" t="str">
            <v>ATP[c] + dUMP[c] =&gt; ADP[c] + dUDP[c]</v>
          </cell>
        </row>
        <row r="697">
          <cell r="B697" t="str">
            <v>URIK1</v>
          </cell>
          <cell r="C697" t="str">
            <v>uridine kinase (ATP:Uridine)</v>
          </cell>
          <cell r="D697" t="str">
            <v>ATP[c] + Uridine[c] =&gt; ADP[c] + H+[c] + UMP[c]</v>
          </cell>
          <cell r="E697" t="str">
            <v>2.7.1.213; 2.7.1.48</v>
          </cell>
        </row>
        <row r="698">
          <cell r="B698" t="str">
            <v>URIK2</v>
          </cell>
          <cell r="C698" t="str">
            <v>uridine kinase (GTP:Uridine)</v>
          </cell>
          <cell r="D698" t="str">
            <v>GTP[c] + Uridine[c] =&gt; GDP[c] + H+[c] + UMP[c]</v>
          </cell>
          <cell r="E698" t="str">
            <v>2.7.1.48</v>
          </cell>
        </row>
        <row r="699">
          <cell r="B699" t="str">
            <v>URIK3</v>
          </cell>
          <cell r="C699" t="str">
            <v>uridine kinase (ITP:Uridine)</v>
          </cell>
          <cell r="D699" t="str">
            <v>ITP[c] + Uridine[c] =&gt; H+[c] + IDP[c] + UMP[c]</v>
          </cell>
          <cell r="E699" t="str">
            <v>2.7.1.48</v>
          </cell>
        </row>
        <row r="700">
          <cell r="B700" t="str">
            <v>VALTRS</v>
          </cell>
          <cell r="C700" t="str">
            <v>Valyl-tRNA synthetase</v>
          </cell>
          <cell r="D700" t="str">
            <v>ATP[c] + tRNA(Val)[c] + L-Valine[c] =&gt; AMP[c] + Diphosphate[c] + L-Valyl-tRNA(Val)[c]</v>
          </cell>
        </row>
        <row r="701">
          <cell r="B701" t="str">
            <v>VALt6</v>
          </cell>
          <cell r="C701" t="str">
            <v>L-valine transport in/out via proton symport</v>
          </cell>
          <cell r="D701" t="str">
            <v>H+[e] + L-Valine[e] &lt;=&gt; H+[c] + L-Valine[c]</v>
          </cell>
        </row>
        <row r="702">
          <cell r="B702" t="str">
            <v>XANt2</v>
          </cell>
          <cell r="C702" t="str">
            <v>xanthine transport in via proton symport</v>
          </cell>
          <cell r="D702" t="str">
            <v>H+[e] + Xanthine[e] =&gt; H+[c] + Xanthine[c]</v>
          </cell>
        </row>
        <row r="703">
          <cell r="B703" t="str">
            <v>XPPT</v>
          </cell>
          <cell r="C703" t="str">
            <v>xanthine phosphoribosyltransferase</v>
          </cell>
          <cell r="D703" t="str">
            <v>5-Phospho-alpha-D-ribose 1-diphosphate[c] + Xanthine[c] =&gt; Diphosphate[c] + Xanthosine 5'-phosphate[c]</v>
          </cell>
          <cell r="E703" t="str">
            <v>2.4.2.22; 2.4.2.8</v>
          </cell>
        </row>
        <row r="704">
          <cell r="B704" t="str">
            <v>XYLK</v>
          </cell>
          <cell r="C704" t="str">
            <v>xylulokinase</v>
          </cell>
          <cell r="D704" t="str">
            <v>ATP[c] + D-Xylulose[c] =&gt; ADP[c] + H+[c] + D-Xylulose 5-phosphate[c]</v>
          </cell>
          <cell r="E704" t="str">
            <v>2.7.1.17</v>
          </cell>
        </row>
        <row r="705">
          <cell r="B705" t="str">
            <v>YUMPS</v>
          </cell>
          <cell r="C705" t="str">
            <v>yUMP synthetase</v>
          </cell>
          <cell r="D705" t="str">
            <v>alpha-D-Ribose 5-phosphate[c] + Uracil[c] &lt;=&gt; H2O[c] + Pseudouridine 5'-phosphate[c]</v>
          </cell>
        </row>
        <row r="706">
          <cell r="B706" t="str">
            <v>araphe2</v>
          </cell>
          <cell r="C706" t="str">
            <v>aromatic amino acid aminotransferase - phenylalanine</v>
          </cell>
          <cell r="D706" t="str">
            <v>(S)-3-Methyl-2-oxopentanoate[c] + L-Phenylalanine[c] &lt;=&gt; L-Isoleucine[c] + Phenylpyruvate[c]</v>
          </cell>
        </row>
        <row r="707">
          <cell r="B707" t="str">
            <v>aratry2</v>
          </cell>
          <cell r="C707" t="str">
            <v>aromatic amino acid aminotransferase - tryptophan</v>
          </cell>
          <cell r="D707" t="str">
            <v>(S)-3-Methyl-2-oxopentanoate[c] + L-Tryptophan[c] &lt;=&gt; L-Isoleucine[c] + Indolepyruvate[c]</v>
          </cell>
        </row>
        <row r="708">
          <cell r="B708" t="str">
            <v>aratyr2</v>
          </cell>
          <cell r="C708" t="str">
            <v>aromatic amino acid aminotransferase - tyrosine</v>
          </cell>
          <cell r="D708" t="str">
            <v>(S)-3-Methyl-2-oxopentanoate[c] + L-Tyrosine[c] &lt;=&gt; 3-(4-Hydroxyphenyl)pyruvate[c] + L-Isoleucine[c]</v>
          </cell>
        </row>
        <row r="709">
          <cell r="B709" t="str">
            <v>aratyr4</v>
          </cell>
          <cell r="C709" t="str">
            <v>aromatic amino acid aminotransferase - tyrosine</v>
          </cell>
          <cell r="D709" t="str">
            <v>Indolepyruvate[c] + L-Tyrosine[c] &lt;=&gt; 3-(4-Hydroxyphenyl)pyruvate[c] + L-Tryptophan[c]</v>
          </cell>
        </row>
        <row r="710">
          <cell r="B710" t="str">
            <v>kaasIII</v>
          </cell>
          <cell r="C710" t="str">
            <v>beta-ketoacyl-ACP synthase III</v>
          </cell>
          <cell r="D710" t="str">
            <v>Acetyl-CoA[c] + H+[c] + Malonyl-[acyl-carrier protein][c] =&gt; Acetoacetyl-[acyl-carrier protein][c] + CO2[c] + Coenzyme A[c]</v>
          </cell>
        </row>
        <row r="711">
          <cell r="B711" t="str">
            <v>tr_fe2</v>
          </cell>
          <cell r="C711" t="str">
            <v>fe2 transport</v>
          </cell>
          <cell r="D711" t="str">
            <v>Fe2+ mitochondria[e] &lt;=&gt; Fe2+[c]</v>
          </cell>
        </row>
        <row r="712">
          <cell r="B712" t="str">
            <v>tr_h2s</v>
          </cell>
          <cell r="C712" t="str">
            <v>h2s transport</v>
          </cell>
          <cell r="D712" t="str">
            <v>Hydrogen sulfide[e] &lt;=&gt; Hydrogen sulfide[c]</v>
          </cell>
        </row>
        <row r="713">
          <cell r="B713" t="str">
            <v>tr_o2</v>
          </cell>
          <cell r="C713" t="str">
            <v>o2 transport</v>
          </cell>
          <cell r="D713" t="str">
            <v>O2 O2[e] &lt;=&gt; O2[c]</v>
          </cell>
        </row>
      </sheetData>
      <sheetData sheetId="1"/>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https://www.kegg.jp/pathway/map005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54"/>
  <sheetViews>
    <sheetView zoomScale="85" zoomScaleNormal="85" topLeftCell="E96" workbookViewId="0">
      <selection activeCell="J134" sqref="J134"/>
    </sheetView>
  </sheetViews>
  <sheetFormatPr defaultColWidth="9" defaultRowHeight="14"/>
  <cols>
    <col min="1" max="1" width="2.54545454545455" customWidth="1"/>
    <col min="2" max="2" width="20.8181818181818" customWidth="1"/>
    <col min="3" max="3" width="17.0181818181818" customWidth="1"/>
    <col min="4" max="5" width="16.1727272727273" customWidth="1"/>
    <col min="6" max="6" width="26.9454545454545" customWidth="1"/>
    <col min="7" max="7" width="8.11818181818182" customWidth="1"/>
    <col min="8" max="8" width="18.9090909090909" customWidth="1"/>
    <col min="9" max="9" width="18.8090909090909" style="11" customWidth="1"/>
    <col min="10" max="10" width="34.9636363636364" customWidth="1"/>
    <col min="11" max="11" width="19.2363636363636" customWidth="1"/>
    <col min="12" max="12" width="14.2727272727273" customWidth="1"/>
    <col min="13" max="13" width="15.2181818181818" customWidth="1"/>
    <col min="14" max="14" width="134.563636363636" customWidth="1"/>
    <col min="15" max="15" width="14.9090909090909" customWidth="1"/>
    <col min="16" max="16" width="14.3636363636364" customWidth="1"/>
    <col min="17" max="17" width="10.5454545454545" customWidth="1"/>
    <col min="18" max="18" width="15.7272727272727" customWidth="1"/>
    <col min="19" max="19" width="218.818181818182" customWidth="1"/>
    <col min="20" max="20" width="57.9090909090909" customWidth="1"/>
    <col min="21" max="21" width="16.9090909090909" customWidth="1"/>
    <col min="22" max="22" width="36.5454545454545" customWidth="1"/>
    <col min="23" max="23" width="11.1818181818182" customWidth="1"/>
    <col min="24" max="24" width="19.3636363636364" customWidth="1"/>
  </cols>
  <sheetData>
    <row r="1" ht="14.5" spans="1:24">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row>
    <row r="2" spans="1:24">
      <c r="A2" s="13"/>
      <c r="B2" s="9" t="s">
        <v>24</v>
      </c>
      <c r="C2" s="9" t="str">
        <f>VLOOKUP(B2,[1]RXNS!$B:$C,1,)</f>
        <v>2HXICDH</v>
      </c>
      <c r="D2" s="9" t="b">
        <f t="shared" ref="D2:D65" si="0">EXACT(B2,C2)</f>
        <v>1</v>
      </c>
      <c r="E2" s="9" t="s">
        <v>25</v>
      </c>
      <c r="F2" s="9" t="s">
        <v>25</v>
      </c>
      <c r="G2" s="9" t="b">
        <f t="shared" ref="G2:G65" si="1">EXACT(E2,F2)</f>
        <v>1</v>
      </c>
      <c r="H2" s="9" t="str">
        <f>VLOOKUP(B2,[1]RXNS!$B:$D,3,FALSE)</f>
        <v>4-Methyl-2-oxopentanoate[c] + H+[c] + Nicotinamide adenine dinucleotide - reduced[c] &lt;=&gt; L-2-hydroxyisocaproate[c] + Nicotinamide adenine dinucleotide[c]</v>
      </c>
      <c r="I2" s="9">
        <f>VLOOKUP(B2,[1]RXNS!$B:$E,4,FALSE)</f>
        <v>0</v>
      </c>
      <c r="J2" s="9" t="s">
        <v>26</v>
      </c>
      <c r="K2" s="13"/>
      <c r="L2" s="9" t="b">
        <f t="shared" ref="L2:L65" si="2">EXACT(H2,J2)</f>
        <v>1</v>
      </c>
      <c r="M2" s="9" t="b">
        <f t="shared" ref="M2:M65" si="3">EXACT(I2,K2)</f>
        <v>0</v>
      </c>
      <c r="N2" s="9" t="s">
        <v>27</v>
      </c>
      <c r="O2" s="9">
        <v>-1000</v>
      </c>
      <c r="P2" s="9">
        <v>1000</v>
      </c>
      <c r="Q2" s="13"/>
      <c r="R2" s="13"/>
      <c r="S2" s="9" t="s">
        <v>28</v>
      </c>
      <c r="T2" s="9" t="s">
        <v>29</v>
      </c>
      <c r="U2" s="13"/>
      <c r="V2" s="9" t="s">
        <v>30</v>
      </c>
      <c r="W2" s="13"/>
      <c r="X2" s="9">
        <v>2</v>
      </c>
    </row>
    <row r="3" spans="1:24">
      <c r="A3" s="13"/>
      <c r="B3" s="9" t="s">
        <v>31</v>
      </c>
      <c r="C3" s="9" t="str">
        <f>VLOOKUP(B3,[1]RXNS!$B:$C,1,)</f>
        <v>AACPS183</v>
      </c>
      <c r="D3" s="9" t="b">
        <f t="shared" si="0"/>
        <v>1</v>
      </c>
      <c r="E3" s="9" t="s">
        <v>32</v>
      </c>
      <c r="F3" s="9" t="s">
        <v>32</v>
      </c>
      <c r="G3" s="9" t="b">
        <f t="shared" si="1"/>
        <v>1</v>
      </c>
      <c r="H3" s="9" t="str">
        <f>VLOOKUP(B3,[1]RXNS!$B:$D,3,FALSE)</f>
        <v>acyl carrier protein[c] + ATP[c] + octadecynoate (n-C18:3)[c] =&gt; AMP[c] + octadecatrienoyl-ACP (n-C18:3ACP)[c] + Diphosphate[c]</v>
      </c>
      <c r="I3" s="9">
        <f>VLOOKUP(B3,[1]RXNS!$B:$E,4,FALSE)</f>
        <v>0</v>
      </c>
      <c r="J3" s="9" t="s">
        <v>33</v>
      </c>
      <c r="K3" s="13"/>
      <c r="L3" s="9" t="b">
        <f t="shared" si="2"/>
        <v>1</v>
      </c>
      <c r="M3" s="9" t="b">
        <f t="shared" si="3"/>
        <v>0</v>
      </c>
      <c r="N3" s="13"/>
      <c r="O3" s="9">
        <v>0</v>
      </c>
      <c r="P3" s="9">
        <v>1000</v>
      </c>
      <c r="Q3" s="13"/>
      <c r="R3" s="13"/>
      <c r="S3" s="13"/>
      <c r="T3" s="9" t="s">
        <v>34</v>
      </c>
      <c r="U3" s="13"/>
      <c r="V3" s="9" t="s">
        <v>35</v>
      </c>
      <c r="W3" s="13"/>
      <c r="X3" s="9">
        <v>2</v>
      </c>
    </row>
    <row r="4" spans="1:24">
      <c r="A4" s="13"/>
      <c r="B4" s="9" t="s">
        <v>36</v>
      </c>
      <c r="C4" s="9" t="str">
        <f>VLOOKUP(B4,[1]RXNS!$B:$C,1,)</f>
        <v>AALDH</v>
      </c>
      <c r="D4" s="9" t="b">
        <f t="shared" si="0"/>
        <v>1</v>
      </c>
      <c r="E4" s="9" t="s">
        <v>37</v>
      </c>
      <c r="F4" s="9" t="s">
        <v>37</v>
      </c>
      <c r="G4" s="9" t="b">
        <f t="shared" si="1"/>
        <v>1</v>
      </c>
      <c r="H4" s="9" t="str">
        <f>VLOOKUP(B4,[1]RXNS!$B:$D,3,FALSE)</f>
        <v>H+[c] + Nicotinamide adenine dinucleotide - reduced[c] + Phenylacetaldehyde[c] &lt;=&gt; Phenylethyl alcohol[c] + Nicotinamide adenine dinucleotide[c]</v>
      </c>
      <c r="I4" s="9" t="s">
        <v>38</v>
      </c>
      <c r="J4" s="9" t="s">
        <v>39</v>
      </c>
      <c r="K4" s="9" t="s">
        <v>38</v>
      </c>
      <c r="L4" s="9" t="b">
        <f t="shared" si="2"/>
        <v>1</v>
      </c>
      <c r="M4" s="9" t="b">
        <f t="shared" si="3"/>
        <v>1</v>
      </c>
      <c r="N4" s="9" t="s">
        <v>40</v>
      </c>
      <c r="O4" s="9">
        <v>-1000</v>
      </c>
      <c r="P4" s="9">
        <v>1000</v>
      </c>
      <c r="Q4" s="13"/>
      <c r="R4" s="13"/>
      <c r="S4" s="9" t="s">
        <v>41</v>
      </c>
      <c r="T4" s="9" t="s">
        <v>42</v>
      </c>
      <c r="U4" s="13"/>
      <c r="V4" s="9" t="s">
        <v>30</v>
      </c>
      <c r="W4" s="13"/>
      <c r="X4" s="9">
        <v>2</v>
      </c>
    </row>
    <row r="5" spans="1:24">
      <c r="A5" s="13"/>
      <c r="B5" s="9" t="s">
        <v>43</v>
      </c>
      <c r="C5" s="9" t="str">
        <f>VLOOKUP(B5,[1]RXNS!$B:$C,1,)</f>
        <v>ABTA</v>
      </c>
      <c r="D5" s="9" t="b">
        <f t="shared" si="0"/>
        <v>1</v>
      </c>
      <c r="E5" s="9" t="s">
        <v>44</v>
      </c>
      <c r="F5" s="9" t="s">
        <v>44</v>
      </c>
      <c r="G5" s="9" t="b">
        <f t="shared" si="1"/>
        <v>1</v>
      </c>
      <c r="H5" s="9" t="str">
        <f>VLOOKUP(B5,[1]RXNS!$B:$D,3,FALSE)</f>
        <v>4-Aminobutanoate[c] + 2-Oxoglutarate[c] =&gt; L-Glutamate[c] + Succinic semialdehyde[c]</v>
      </c>
      <c r="I5" s="9" t="s">
        <v>45</v>
      </c>
      <c r="J5" s="9" t="s">
        <v>46</v>
      </c>
      <c r="K5" s="9" t="s">
        <v>45</v>
      </c>
      <c r="L5" s="9" t="b">
        <f t="shared" si="2"/>
        <v>1</v>
      </c>
      <c r="M5" s="9" t="b">
        <f t="shared" si="3"/>
        <v>1</v>
      </c>
      <c r="N5" s="9" t="s">
        <v>47</v>
      </c>
      <c r="O5" s="9">
        <v>0</v>
      </c>
      <c r="P5" s="9">
        <v>1000</v>
      </c>
      <c r="Q5" s="13"/>
      <c r="R5" s="13"/>
      <c r="S5" s="9" t="s">
        <v>48</v>
      </c>
      <c r="T5" s="9" t="s">
        <v>49</v>
      </c>
      <c r="U5" s="13"/>
      <c r="V5" s="9" t="s">
        <v>30</v>
      </c>
      <c r="W5" s="13"/>
      <c r="X5" s="9">
        <v>2</v>
      </c>
    </row>
    <row r="6" s="10" customFormat="1" spans="1:24">
      <c r="A6" s="14"/>
      <c r="B6" s="15" t="s">
        <v>50</v>
      </c>
      <c r="C6" s="15" t="e">
        <f>VLOOKUP(B6,[1]RXNS!$B:$C,1,)</f>
        <v>#N/A</v>
      </c>
      <c r="D6" s="15" t="e">
        <f t="shared" si="0"/>
        <v>#N/A</v>
      </c>
      <c r="E6" s="9" t="e">
        <v>#N/A</v>
      </c>
      <c r="F6" s="15" t="s">
        <v>51</v>
      </c>
      <c r="G6" s="15" t="e">
        <f t="shared" si="1"/>
        <v>#N/A</v>
      </c>
      <c r="H6" s="9" t="e">
        <f>VLOOKUP(B6,[1]RXNS!$B:$D,3,FALSE)</f>
        <v>#N/A</v>
      </c>
      <c r="I6" s="9" t="e">
        <f>VLOOKUP(B6,[1]RXNS!$B:$E,4,FALSE)</f>
        <v>#N/A</v>
      </c>
      <c r="J6" s="15" t="s">
        <v>52</v>
      </c>
      <c r="K6" s="14"/>
      <c r="L6" s="9" t="e">
        <f t="shared" si="2"/>
        <v>#N/A</v>
      </c>
      <c r="M6" s="9" t="e">
        <f t="shared" si="3"/>
        <v>#N/A</v>
      </c>
      <c r="N6" s="14"/>
      <c r="O6" s="15">
        <v>0</v>
      </c>
      <c r="P6" s="15">
        <v>1000</v>
      </c>
      <c r="Q6" s="15">
        <v>1</v>
      </c>
      <c r="R6" s="14"/>
      <c r="S6" s="14"/>
      <c r="T6" s="15" t="s">
        <v>53</v>
      </c>
      <c r="U6" s="14"/>
      <c r="V6" s="15" t="s">
        <v>35</v>
      </c>
      <c r="W6" s="14"/>
      <c r="X6" s="15">
        <v>2</v>
      </c>
    </row>
    <row r="7" s="10" customFormat="1" spans="1:24">
      <c r="A7" s="14"/>
      <c r="B7" s="15" t="s">
        <v>54</v>
      </c>
      <c r="C7" s="15" t="e">
        <f>VLOOKUP(B7,[1]RXNS!$B:$C,1,)</f>
        <v>#N/A</v>
      </c>
      <c r="D7" s="15" t="e">
        <f t="shared" si="0"/>
        <v>#N/A</v>
      </c>
      <c r="E7" s="9" t="e">
        <v>#N/A</v>
      </c>
      <c r="F7" s="15" t="s">
        <v>55</v>
      </c>
      <c r="G7" s="15" t="e">
        <f t="shared" si="1"/>
        <v>#N/A</v>
      </c>
      <c r="H7" s="9" t="e">
        <f>VLOOKUP(B7,[1]RXNS!$B:$D,3,FALSE)</f>
        <v>#N/A</v>
      </c>
      <c r="I7" s="9" t="e">
        <f>VLOOKUP(B7,[1]RXNS!$B:$E,4,FALSE)</f>
        <v>#N/A</v>
      </c>
      <c r="J7" s="15" t="s">
        <v>56</v>
      </c>
      <c r="K7" s="14"/>
      <c r="L7" s="9" t="e">
        <f t="shared" si="2"/>
        <v>#N/A</v>
      </c>
      <c r="M7" s="9" t="e">
        <f t="shared" si="3"/>
        <v>#N/A</v>
      </c>
      <c r="N7" s="14"/>
      <c r="O7" s="15">
        <v>0</v>
      </c>
      <c r="P7" s="15">
        <v>1000</v>
      </c>
      <c r="Q7" s="14"/>
      <c r="R7" s="14"/>
      <c r="S7" s="14"/>
      <c r="T7" s="15" t="s">
        <v>57</v>
      </c>
      <c r="U7" s="14"/>
      <c r="V7" s="15" t="s">
        <v>35</v>
      </c>
      <c r="W7" s="14"/>
      <c r="X7" s="15">
        <v>2</v>
      </c>
    </row>
    <row r="8" s="10" customFormat="1" spans="1:24">
      <c r="A8" s="14"/>
      <c r="B8" s="15" t="s">
        <v>58</v>
      </c>
      <c r="C8" s="15" t="e">
        <f>VLOOKUP(B8,[1]RXNS!$B:$C,1,)</f>
        <v>#N/A</v>
      </c>
      <c r="D8" s="15" t="e">
        <f t="shared" si="0"/>
        <v>#N/A</v>
      </c>
      <c r="E8" s="9" t="e">
        <v>#N/A</v>
      </c>
      <c r="F8" s="15" t="s">
        <v>59</v>
      </c>
      <c r="G8" s="15" t="e">
        <f t="shared" si="1"/>
        <v>#N/A</v>
      </c>
      <c r="H8" s="9" t="e">
        <f>VLOOKUP(B8,[1]RXNS!$B:$D,3,FALSE)</f>
        <v>#N/A</v>
      </c>
      <c r="I8" s="9" t="e">
        <f>VLOOKUP(B8,[1]RXNS!$B:$E,4,FALSE)</f>
        <v>#N/A</v>
      </c>
      <c r="J8" s="15" t="s">
        <v>60</v>
      </c>
      <c r="K8" s="14"/>
      <c r="L8" s="9" t="e">
        <f t="shared" si="2"/>
        <v>#N/A</v>
      </c>
      <c r="M8" s="9" t="e">
        <f t="shared" si="3"/>
        <v>#N/A</v>
      </c>
      <c r="N8" s="14"/>
      <c r="O8" s="15">
        <v>0</v>
      </c>
      <c r="P8" s="15">
        <v>1000</v>
      </c>
      <c r="Q8" s="14"/>
      <c r="R8" s="14"/>
      <c r="S8" s="14"/>
      <c r="T8" s="15" t="s">
        <v>61</v>
      </c>
      <c r="U8" s="14"/>
      <c r="V8" s="15" t="s">
        <v>35</v>
      </c>
      <c r="W8" s="14"/>
      <c r="X8" s="15">
        <v>2</v>
      </c>
    </row>
    <row r="9" s="10" customFormat="1" spans="1:24">
      <c r="A9" s="14"/>
      <c r="B9" s="15" t="s">
        <v>62</v>
      </c>
      <c r="C9" s="15" t="e">
        <f>VLOOKUP(B9,[1]RXNS!$B:$C,1,)</f>
        <v>#N/A</v>
      </c>
      <c r="D9" s="15" t="e">
        <f t="shared" si="0"/>
        <v>#N/A</v>
      </c>
      <c r="E9" s="9" t="e">
        <v>#N/A</v>
      </c>
      <c r="F9" s="15" t="s">
        <v>63</v>
      </c>
      <c r="G9" s="15" t="e">
        <f t="shared" si="1"/>
        <v>#N/A</v>
      </c>
      <c r="H9" s="9" t="e">
        <f>VLOOKUP(B9,[1]RXNS!$B:$D,3,FALSE)</f>
        <v>#N/A</v>
      </c>
      <c r="I9" s="9" t="e">
        <f>VLOOKUP(B9,[1]RXNS!$B:$E,4,FALSE)</f>
        <v>#N/A</v>
      </c>
      <c r="J9" s="15" t="s">
        <v>64</v>
      </c>
      <c r="K9" s="14"/>
      <c r="L9" s="9" t="e">
        <f t="shared" si="2"/>
        <v>#N/A</v>
      </c>
      <c r="M9" s="9" t="e">
        <f t="shared" si="3"/>
        <v>#N/A</v>
      </c>
      <c r="N9" s="14"/>
      <c r="O9" s="15">
        <v>0</v>
      </c>
      <c r="P9" s="15">
        <v>1000</v>
      </c>
      <c r="Q9" s="14"/>
      <c r="R9" s="14"/>
      <c r="S9" s="14"/>
      <c r="T9" s="15" t="s">
        <v>57</v>
      </c>
      <c r="U9" s="14"/>
      <c r="V9" s="15" t="s">
        <v>35</v>
      </c>
      <c r="W9" s="14"/>
      <c r="X9" s="15">
        <v>2</v>
      </c>
    </row>
    <row r="10" s="10" customFormat="1" spans="1:24">
      <c r="A10" s="14"/>
      <c r="B10" s="15" t="s">
        <v>65</v>
      </c>
      <c r="C10" s="15" t="e">
        <f>VLOOKUP(B10,[1]RXNS!$B:$C,1,)</f>
        <v>#N/A</v>
      </c>
      <c r="D10" s="15" t="e">
        <f t="shared" si="0"/>
        <v>#N/A</v>
      </c>
      <c r="E10" s="9" t="e">
        <v>#N/A</v>
      </c>
      <c r="F10" s="15" t="s">
        <v>66</v>
      </c>
      <c r="G10" s="15" t="e">
        <f t="shared" si="1"/>
        <v>#N/A</v>
      </c>
      <c r="H10" s="9" t="e">
        <f>VLOOKUP(B10,[1]RXNS!$B:$D,3,FALSE)</f>
        <v>#N/A</v>
      </c>
      <c r="I10" s="9" t="e">
        <f>VLOOKUP(B10,[1]RXNS!$B:$E,4,FALSE)</f>
        <v>#N/A</v>
      </c>
      <c r="J10" s="15" t="s">
        <v>67</v>
      </c>
      <c r="K10" s="14"/>
      <c r="L10" s="9" t="e">
        <f t="shared" si="2"/>
        <v>#N/A</v>
      </c>
      <c r="M10" s="9" t="e">
        <f t="shared" si="3"/>
        <v>#N/A</v>
      </c>
      <c r="N10" s="14"/>
      <c r="O10" s="15">
        <v>0</v>
      </c>
      <c r="P10" s="15">
        <v>1000</v>
      </c>
      <c r="Q10" s="14"/>
      <c r="R10" s="14"/>
      <c r="S10" s="14"/>
      <c r="T10" s="15" t="s">
        <v>57</v>
      </c>
      <c r="U10" s="14"/>
      <c r="V10" s="15" t="s">
        <v>35</v>
      </c>
      <c r="W10" s="14"/>
      <c r="X10" s="15">
        <v>2</v>
      </c>
    </row>
    <row r="11" spans="1:24">
      <c r="A11" s="13"/>
      <c r="B11" s="9" t="s">
        <v>68</v>
      </c>
      <c r="C11" s="9" t="str">
        <f>VLOOKUP(B11,[1]RXNS!$B:$C,1,)</f>
        <v>ACACT1r</v>
      </c>
      <c r="D11" s="9" t="b">
        <f t="shared" si="0"/>
        <v>1</v>
      </c>
      <c r="E11" s="9" t="s">
        <v>69</v>
      </c>
      <c r="F11" s="9" t="s">
        <v>69</v>
      </c>
      <c r="G11" s="9" t="b">
        <f t="shared" si="1"/>
        <v>1</v>
      </c>
      <c r="H11" s="9" t="str">
        <f>VLOOKUP(B11,[1]RXNS!$B:$D,3,FALSE)</f>
        <v>2 Acetyl-CoA[c] &lt;=&gt; Acetoacetyl-CoA[c] + Coenzyme A[c]</v>
      </c>
      <c r="I11" s="9" t="s">
        <v>70</v>
      </c>
      <c r="J11" s="9" t="s">
        <v>71</v>
      </c>
      <c r="K11" s="9" t="s">
        <v>70</v>
      </c>
      <c r="L11" s="9" t="b">
        <f t="shared" si="2"/>
        <v>1</v>
      </c>
      <c r="M11" s="9" t="b">
        <f t="shared" si="3"/>
        <v>1</v>
      </c>
      <c r="N11" s="9" t="s">
        <v>72</v>
      </c>
      <c r="O11" s="9">
        <v>-1000</v>
      </c>
      <c r="P11" s="9">
        <v>1000</v>
      </c>
      <c r="Q11" s="13"/>
      <c r="R11" s="13"/>
      <c r="S11" s="9" t="s">
        <v>73</v>
      </c>
      <c r="T11" s="9" t="s">
        <v>74</v>
      </c>
      <c r="U11" s="13"/>
      <c r="V11" s="9" t="s">
        <v>30</v>
      </c>
      <c r="W11" s="13"/>
      <c r="X11" s="9">
        <v>2</v>
      </c>
    </row>
    <row r="12" spans="1:24">
      <c r="A12" s="13"/>
      <c r="B12" s="9" t="s">
        <v>75</v>
      </c>
      <c r="C12" s="9" t="str">
        <f>VLOOKUP(B12,[1]RXNS!$B:$C,1,)</f>
        <v>ACALD</v>
      </c>
      <c r="D12" s="9" t="b">
        <f t="shared" si="0"/>
        <v>1</v>
      </c>
      <c r="E12" s="9" t="s">
        <v>76</v>
      </c>
      <c r="F12" s="9" t="s">
        <v>76</v>
      </c>
      <c r="G12" s="9" t="b">
        <f t="shared" si="1"/>
        <v>1</v>
      </c>
      <c r="H12" s="9" t="str">
        <f>VLOOKUP(B12,[1]RXNS!$B:$D,3,FALSE)</f>
        <v>Acetaldehyde[c] + Coenzyme A[c] + Nicotinamide adenine dinucleotide[c] &lt;=&gt; Acetyl-CoA[c] + H+[c] + Nicotinamide adenine dinucleotide - reduced[c]</v>
      </c>
      <c r="I12" s="9" t="s">
        <v>77</v>
      </c>
      <c r="J12" s="9" t="s">
        <v>78</v>
      </c>
      <c r="K12" s="9" t="s">
        <v>77</v>
      </c>
      <c r="L12" s="9" t="b">
        <f t="shared" si="2"/>
        <v>1</v>
      </c>
      <c r="M12" s="9" t="b">
        <f t="shared" si="3"/>
        <v>1</v>
      </c>
      <c r="N12" s="9" t="s">
        <v>79</v>
      </c>
      <c r="O12" s="9">
        <v>-1000</v>
      </c>
      <c r="P12" s="9">
        <v>1000</v>
      </c>
      <c r="Q12" s="13"/>
      <c r="R12" s="13"/>
      <c r="S12" s="9" t="s">
        <v>80</v>
      </c>
      <c r="T12" s="9" t="s">
        <v>74</v>
      </c>
      <c r="U12" s="13"/>
      <c r="V12" s="9" t="s">
        <v>30</v>
      </c>
      <c r="W12" s="13"/>
      <c r="X12" s="9">
        <v>2</v>
      </c>
    </row>
    <row r="13" spans="1:24">
      <c r="A13" s="13"/>
      <c r="B13" s="9" t="s">
        <v>81</v>
      </c>
      <c r="C13" s="9" t="str">
        <f>VLOOKUP(B13,[1]RXNS!$B:$C,1,)</f>
        <v>ACBIPGT</v>
      </c>
      <c r="D13" s="9" t="b">
        <f t="shared" si="0"/>
        <v>1</v>
      </c>
      <c r="E13" s="9" t="s">
        <v>82</v>
      </c>
      <c r="F13" s="9" t="s">
        <v>82</v>
      </c>
      <c r="G13" s="9" t="b">
        <f t="shared" si="1"/>
        <v>1</v>
      </c>
      <c r="H13" s="9" t="str">
        <f>VLOOKUP(B13,[1]RXNS!$B:$D,3,FALSE)</f>
        <v>Adenosyl cobinamide phosphate[c] + GTP[c] + H+[c] =&gt; Adenosine-GDP-cobinamide[c] + Diphosphate[c]</v>
      </c>
      <c r="I13" s="9" t="s">
        <v>83</v>
      </c>
      <c r="J13" s="9" t="s">
        <v>84</v>
      </c>
      <c r="K13" s="9" t="s">
        <v>83</v>
      </c>
      <c r="L13" s="9" t="b">
        <f t="shared" si="2"/>
        <v>1</v>
      </c>
      <c r="M13" s="9" t="b">
        <f t="shared" si="3"/>
        <v>1</v>
      </c>
      <c r="N13" s="13"/>
      <c r="O13" s="9">
        <v>0</v>
      </c>
      <c r="P13" s="9">
        <v>1000</v>
      </c>
      <c r="Q13" s="13"/>
      <c r="R13" s="13"/>
      <c r="S13" s="13"/>
      <c r="T13" s="9" t="s">
        <v>85</v>
      </c>
      <c r="U13" s="13"/>
      <c r="V13" s="9" t="s">
        <v>35</v>
      </c>
      <c r="W13" s="13"/>
      <c r="X13" s="9">
        <v>2</v>
      </c>
    </row>
    <row r="14" spans="1:24">
      <c r="A14" s="13"/>
      <c r="B14" s="9" t="s">
        <v>86</v>
      </c>
      <c r="C14" s="9" t="str">
        <f>VLOOKUP(B14,[1]RXNS!$B:$C,1,)</f>
        <v>ACCOAC</v>
      </c>
      <c r="D14" s="9" t="b">
        <f t="shared" si="0"/>
        <v>1</v>
      </c>
      <c r="E14" s="9" t="s">
        <v>87</v>
      </c>
      <c r="F14" s="9" t="s">
        <v>87</v>
      </c>
      <c r="G14" s="9" t="b">
        <f t="shared" si="1"/>
        <v>1</v>
      </c>
      <c r="H14" s="9" t="str">
        <f>VLOOKUP(B14,[1]RXNS!$B:$D,3,FALSE)</f>
        <v>Acetyl-CoA[c] + ATP[c] + Bicarbonate[c] =&gt; ADP[c] + H+[c] + Malonyl-CoA[c] + Phosphate[c]</v>
      </c>
      <c r="I14" s="9" t="s">
        <v>88</v>
      </c>
      <c r="J14" s="9" t="s">
        <v>89</v>
      </c>
      <c r="K14" s="9" t="s">
        <v>88</v>
      </c>
      <c r="L14" s="9" t="b">
        <f t="shared" si="2"/>
        <v>1</v>
      </c>
      <c r="M14" s="9" t="b">
        <f t="shared" si="3"/>
        <v>1</v>
      </c>
      <c r="N14" s="9" t="s">
        <v>90</v>
      </c>
      <c r="O14" s="9">
        <v>0</v>
      </c>
      <c r="P14" s="9">
        <v>1000</v>
      </c>
      <c r="Q14" s="13"/>
      <c r="R14" s="13"/>
      <c r="S14" s="9" t="s">
        <v>91</v>
      </c>
      <c r="T14" s="9" t="s">
        <v>74</v>
      </c>
      <c r="U14" s="13"/>
      <c r="V14" s="9" t="s">
        <v>30</v>
      </c>
      <c r="W14" s="13"/>
      <c r="X14" s="9">
        <v>2</v>
      </c>
    </row>
    <row r="15" spans="1:24">
      <c r="A15" s="13"/>
      <c r="B15" s="9" t="s">
        <v>92</v>
      </c>
      <c r="C15" s="9" t="str">
        <f>VLOOKUP(B15,[1]RXNS!$B:$C,1,)</f>
        <v>ACGK</v>
      </c>
      <c r="D15" s="9" t="b">
        <f t="shared" si="0"/>
        <v>1</v>
      </c>
      <c r="E15" s="9" t="s">
        <v>93</v>
      </c>
      <c r="F15" s="9" t="s">
        <v>93</v>
      </c>
      <c r="G15" s="9" t="b">
        <f t="shared" si="1"/>
        <v>1</v>
      </c>
      <c r="H15" s="9" t="str">
        <f>VLOOKUP(B15,[1]RXNS!$B:$D,3,FALSE)</f>
        <v>N-Acetyl-L-glutamate[c] + ATP[c] =&gt; N-Acetyl-L-glutamyl 5-phosphate[c] + ADP[c]</v>
      </c>
      <c r="I15" s="9" t="s">
        <v>94</v>
      </c>
      <c r="J15" s="9" t="s">
        <v>95</v>
      </c>
      <c r="K15" s="9" t="s">
        <v>94</v>
      </c>
      <c r="L15" s="9" t="b">
        <f t="shared" si="2"/>
        <v>1</v>
      </c>
      <c r="M15" s="9" t="b">
        <f t="shared" si="3"/>
        <v>1</v>
      </c>
      <c r="N15" s="13"/>
      <c r="O15" s="9">
        <v>0</v>
      </c>
      <c r="P15" s="9">
        <v>1000</v>
      </c>
      <c r="Q15" s="13"/>
      <c r="R15" s="13"/>
      <c r="S15" s="13"/>
      <c r="T15" s="9" t="s">
        <v>96</v>
      </c>
      <c r="U15" s="13"/>
      <c r="V15" s="9" t="s">
        <v>35</v>
      </c>
      <c r="W15" s="13"/>
      <c r="X15" s="9">
        <v>2</v>
      </c>
    </row>
    <row r="16" spans="1:24">
      <c r="A16" s="13"/>
      <c r="B16" s="9" t="s">
        <v>97</v>
      </c>
      <c r="C16" s="9" t="str">
        <f>VLOOKUP(B16,[1]RXNS!$B:$C,1,)</f>
        <v>ACHBS</v>
      </c>
      <c r="D16" s="9" t="b">
        <f t="shared" si="0"/>
        <v>1</v>
      </c>
      <c r="E16" s="9" t="s">
        <v>98</v>
      </c>
      <c r="F16" s="9" t="s">
        <v>98</v>
      </c>
      <c r="G16" s="9" t="b">
        <f t="shared" si="1"/>
        <v>1</v>
      </c>
      <c r="H16" s="9" t="str">
        <f>VLOOKUP(B16,[1]RXNS!$B:$D,3,FALSE)</f>
        <v>2-Oxobutanoate[c] + H+[c] + Pyruvate[c] =&gt; (S)-2-Aceto-2-hydroxybutanoate[c] + CO2[c]</v>
      </c>
      <c r="I16" s="9" t="s">
        <v>99</v>
      </c>
      <c r="J16" s="9" t="s">
        <v>100</v>
      </c>
      <c r="K16" s="9" t="s">
        <v>99</v>
      </c>
      <c r="L16" s="9" t="b">
        <f t="shared" si="2"/>
        <v>1</v>
      </c>
      <c r="M16" s="9" t="b">
        <f t="shared" si="3"/>
        <v>1</v>
      </c>
      <c r="N16" s="9" t="s">
        <v>101</v>
      </c>
      <c r="O16" s="9">
        <v>0</v>
      </c>
      <c r="P16" s="9">
        <v>1000</v>
      </c>
      <c r="Q16" s="13"/>
      <c r="R16" s="13"/>
      <c r="S16" s="9" t="s">
        <v>102</v>
      </c>
      <c r="T16" s="9" t="s">
        <v>103</v>
      </c>
      <c r="U16" s="13"/>
      <c r="V16" s="9" t="s">
        <v>30</v>
      </c>
      <c r="W16" s="13"/>
      <c r="X16" s="9">
        <v>2</v>
      </c>
    </row>
    <row r="17" spans="1:24">
      <c r="A17" s="13"/>
      <c r="B17" s="9" t="s">
        <v>104</v>
      </c>
      <c r="C17" s="9" t="str">
        <f>VLOOKUP(B17,[1]RXNS!$B:$C,1,)</f>
        <v>ACKr</v>
      </c>
      <c r="D17" s="9" t="b">
        <f t="shared" si="0"/>
        <v>1</v>
      </c>
      <c r="E17" s="9" t="s">
        <v>105</v>
      </c>
      <c r="F17" s="9" t="s">
        <v>105</v>
      </c>
      <c r="G17" s="9" t="b">
        <f t="shared" si="1"/>
        <v>1</v>
      </c>
      <c r="H17" s="9" t="str">
        <f>VLOOKUP(B17,[1]RXNS!$B:$D,3,FALSE)</f>
        <v>Acetate[c] + ATP[c] &lt;=&gt; Acetyl phosphate[c] + ADP[c]</v>
      </c>
      <c r="I17" s="9" t="s">
        <v>106</v>
      </c>
      <c r="J17" s="9" t="s">
        <v>107</v>
      </c>
      <c r="K17" s="9" t="s">
        <v>106</v>
      </c>
      <c r="L17" s="9" t="b">
        <f t="shared" si="2"/>
        <v>1</v>
      </c>
      <c r="M17" s="9" t="b">
        <f t="shared" si="3"/>
        <v>1</v>
      </c>
      <c r="N17" s="9" t="s">
        <v>108</v>
      </c>
      <c r="O17" s="9">
        <v>-1000</v>
      </c>
      <c r="P17" s="9">
        <v>1000</v>
      </c>
      <c r="Q17" s="13"/>
      <c r="R17" s="13"/>
      <c r="S17" s="9" t="s">
        <v>109</v>
      </c>
      <c r="T17" s="9" t="s">
        <v>74</v>
      </c>
      <c r="U17" s="13"/>
      <c r="V17" s="9" t="s">
        <v>30</v>
      </c>
      <c r="W17" s="13"/>
      <c r="X17" s="9">
        <v>2</v>
      </c>
    </row>
    <row r="18" spans="1:24">
      <c r="A18" s="13"/>
      <c r="B18" s="9" t="s">
        <v>110</v>
      </c>
      <c r="C18" s="9" t="str">
        <f>VLOOKUP(B18,[1]RXNS!$B:$C,1,)</f>
        <v>ACLDC</v>
      </c>
      <c r="D18" s="9" t="b">
        <f t="shared" si="0"/>
        <v>1</v>
      </c>
      <c r="E18" s="9" t="s">
        <v>111</v>
      </c>
      <c r="F18" s="9" t="s">
        <v>111</v>
      </c>
      <c r="G18" s="9" t="b">
        <f t="shared" si="1"/>
        <v>1</v>
      </c>
      <c r="H18" s="9" t="str">
        <f>VLOOKUP(B18,[1]RXNS!$B:$D,3,FALSE)</f>
        <v>(S)-2-Acetolactate[c] + H+[c] =&gt; (R)-Acetoin[c] + CO2[c]</v>
      </c>
      <c r="I18" s="9" t="s">
        <v>112</v>
      </c>
      <c r="J18" s="9" t="s">
        <v>113</v>
      </c>
      <c r="K18" s="9" t="s">
        <v>112</v>
      </c>
      <c r="L18" s="9" t="b">
        <f t="shared" si="2"/>
        <v>1</v>
      </c>
      <c r="M18" s="9" t="b">
        <f t="shared" si="3"/>
        <v>1</v>
      </c>
      <c r="N18" s="13"/>
      <c r="O18" s="9">
        <v>0</v>
      </c>
      <c r="P18" s="9">
        <v>1000</v>
      </c>
      <c r="Q18" s="13"/>
      <c r="R18" s="13"/>
      <c r="S18" s="13"/>
      <c r="T18" s="9" t="s">
        <v>114</v>
      </c>
      <c r="U18" s="13"/>
      <c r="V18" s="9" t="s">
        <v>35</v>
      </c>
      <c r="W18" s="13"/>
      <c r="X18" s="9">
        <v>2</v>
      </c>
    </row>
    <row r="19" spans="1:24">
      <c r="A19" s="13"/>
      <c r="B19" s="9" t="s">
        <v>115</v>
      </c>
      <c r="C19" s="9" t="str">
        <f>VLOOKUP(B19,[1]RXNS!$B:$C,1,)</f>
        <v>ACLS</v>
      </c>
      <c r="D19" s="9" t="b">
        <f t="shared" si="0"/>
        <v>1</v>
      </c>
      <c r="E19" s="9" t="s">
        <v>116</v>
      </c>
      <c r="F19" s="9" t="s">
        <v>116</v>
      </c>
      <c r="G19" s="9" t="b">
        <f t="shared" si="1"/>
        <v>1</v>
      </c>
      <c r="H19" s="9" t="str">
        <f>VLOOKUP(B19,[1]RXNS!$B:$D,3,FALSE)</f>
        <v>H+[c] + 2 Pyruvate[c] =&gt; (S)-2-Acetolactate[c] + CO2[c]</v>
      </c>
      <c r="I19" s="9" t="s">
        <v>99</v>
      </c>
      <c r="J19" s="9" t="s">
        <v>117</v>
      </c>
      <c r="K19" s="9" t="s">
        <v>99</v>
      </c>
      <c r="L19" s="9" t="b">
        <f t="shared" si="2"/>
        <v>1</v>
      </c>
      <c r="M19" s="9" t="b">
        <f t="shared" si="3"/>
        <v>1</v>
      </c>
      <c r="N19" s="9" t="s">
        <v>101</v>
      </c>
      <c r="O19" s="9">
        <v>0</v>
      </c>
      <c r="P19" s="9">
        <v>1000</v>
      </c>
      <c r="Q19" s="13"/>
      <c r="R19" s="13"/>
      <c r="S19" s="9" t="s">
        <v>118</v>
      </c>
      <c r="T19" s="9" t="s">
        <v>114</v>
      </c>
      <c r="U19" s="13"/>
      <c r="V19" s="9" t="s">
        <v>30</v>
      </c>
      <c r="W19" s="13"/>
      <c r="X19" s="9">
        <v>2</v>
      </c>
    </row>
    <row r="20" spans="1:24">
      <c r="A20" s="13"/>
      <c r="B20" s="9" t="s">
        <v>119</v>
      </c>
      <c r="C20" s="9" t="str">
        <f>VLOOKUP(B20,[1]RXNS!$B:$C,1,)</f>
        <v>ACOTA</v>
      </c>
      <c r="D20" s="9" t="b">
        <f t="shared" si="0"/>
        <v>1</v>
      </c>
      <c r="E20" s="9" t="s">
        <v>120</v>
      </c>
      <c r="F20" s="9" t="s">
        <v>120</v>
      </c>
      <c r="G20" s="9" t="b">
        <f t="shared" si="1"/>
        <v>1</v>
      </c>
      <c r="H20" s="9" t="str">
        <f>VLOOKUP(B20,[1]RXNS!$B:$D,3,FALSE)</f>
        <v>N2-Acetyl-L-ornithine[c] + 2-Oxoglutarate[c] &lt;=&gt; N-Acetyl-L-glutamate 5-semialdehyde[c] + L-Glutamate[c]</v>
      </c>
      <c r="I20" s="9" t="s">
        <v>121</v>
      </c>
      <c r="J20" s="9" t="s">
        <v>122</v>
      </c>
      <c r="K20" s="9" t="s">
        <v>121</v>
      </c>
      <c r="L20" s="9" t="b">
        <f t="shared" si="2"/>
        <v>1</v>
      </c>
      <c r="M20" s="9" t="b">
        <f t="shared" si="3"/>
        <v>1</v>
      </c>
      <c r="N20" s="9" t="s">
        <v>123</v>
      </c>
      <c r="O20" s="9">
        <v>-1000</v>
      </c>
      <c r="P20" s="9">
        <v>1000</v>
      </c>
      <c r="Q20" s="13"/>
      <c r="R20" s="13"/>
      <c r="S20" s="9" t="s">
        <v>124</v>
      </c>
      <c r="T20" s="9" t="s">
        <v>96</v>
      </c>
      <c r="U20" s="13"/>
      <c r="V20" s="9" t="s">
        <v>30</v>
      </c>
      <c r="W20" s="13"/>
      <c r="X20" s="9">
        <v>2</v>
      </c>
    </row>
    <row r="21" spans="1:24">
      <c r="A21" s="13"/>
      <c r="B21" s="9" t="s">
        <v>125</v>
      </c>
      <c r="C21" s="9" t="str">
        <f>VLOOKUP(B21,[1]RXNS!$B:$C,1,)</f>
        <v>ACPS2</v>
      </c>
      <c r="D21" s="9" t="b">
        <f t="shared" si="0"/>
        <v>1</v>
      </c>
      <c r="E21" s="9" t="s">
        <v>126</v>
      </c>
      <c r="F21" s="9" t="s">
        <v>126</v>
      </c>
      <c r="G21" s="9" t="b">
        <f t="shared" si="1"/>
        <v>1</v>
      </c>
      <c r="H21" s="9" t="str">
        <f>VLOOKUP(B21,[1]RXNS!$B:$D,3,FALSE)</f>
        <v>apoprotein [acyl carrier protein][c] + Coenzyme A[c] =&gt; acyl carrier protein[c] + H+[c] + Adenosine 3',5'-bisphosphate[c]</v>
      </c>
      <c r="I21" s="9" t="s">
        <v>127</v>
      </c>
      <c r="J21" s="9" t="s">
        <v>128</v>
      </c>
      <c r="K21" s="9" t="s">
        <v>127</v>
      </c>
      <c r="L21" s="9" t="b">
        <f t="shared" si="2"/>
        <v>1</v>
      </c>
      <c r="M21" s="9" t="b">
        <f t="shared" si="3"/>
        <v>1</v>
      </c>
      <c r="N21" s="9" t="s">
        <v>129</v>
      </c>
      <c r="O21" s="9">
        <v>0</v>
      </c>
      <c r="P21" s="9">
        <v>1000</v>
      </c>
      <c r="Q21" s="13"/>
      <c r="R21" s="13"/>
      <c r="S21" s="9" t="s">
        <v>130</v>
      </c>
      <c r="T21" s="9" t="s">
        <v>131</v>
      </c>
      <c r="U21" s="13"/>
      <c r="V21" s="9" t="s">
        <v>30</v>
      </c>
      <c r="W21" s="13"/>
      <c r="X21" s="9">
        <v>2</v>
      </c>
    </row>
    <row r="22" spans="1:24">
      <c r="A22" s="13"/>
      <c r="B22" s="9" t="s">
        <v>132</v>
      </c>
      <c r="C22" s="9" t="str">
        <f>VLOOKUP(B22,[1]RXNS!$B:$C,1,)</f>
        <v>ACTD</v>
      </c>
      <c r="D22" s="9" t="b">
        <f t="shared" si="0"/>
        <v>1</v>
      </c>
      <c r="E22" s="9" t="s">
        <v>133</v>
      </c>
      <c r="F22" s="9" t="s">
        <v>133</v>
      </c>
      <c r="G22" s="9" t="b">
        <f t="shared" si="1"/>
        <v>1</v>
      </c>
      <c r="H22" s="9" t="str">
        <f>VLOOKUP(B22,[1]RXNS!$B:$D,3,FALSE)</f>
        <v>(R)-Acetoin[c] + Nicotinamide adenine dinucleotide[c] &lt;=&gt; Diacetyl[c] + H+[c] + Nicotinamide adenine dinucleotide - reduced[c]</v>
      </c>
      <c r="I22" s="9" t="s">
        <v>134</v>
      </c>
      <c r="J22" s="9" t="s">
        <v>135</v>
      </c>
      <c r="K22" s="9" t="s">
        <v>134</v>
      </c>
      <c r="L22" s="9" t="b">
        <f t="shared" si="2"/>
        <v>1</v>
      </c>
      <c r="M22" s="9" t="b">
        <f t="shared" si="3"/>
        <v>1</v>
      </c>
      <c r="N22" s="9" t="s">
        <v>136</v>
      </c>
      <c r="O22" s="9">
        <v>-1000</v>
      </c>
      <c r="P22" s="9">
        <v>1000</v>
      </c>
      <c r="Q22" s="13"/>
      <c r="R22" s="13"/>
      <c r="S22" s="9" t="s">
        <v>137</v>
      </c>
      <c r="T22" s="9" t="s">
        <v>114</v>
      </c>
      <c r="U22" s="13"/>
      <c r="V22" s="9" t="s">
        <v>30</v>
      </c>
      <c r="W22" s="13"/>
      <c r="X22" s="9">
        <v>2</v>
      </c>
    </row>
    <row r="23" spans="1:24">
      <c r="A23" s="13"/>
      <c r="B23" s="9" t="s">
        <v>138</v>
      </c>
      <c r="C23" s="9" t="str">
        <f>VLOOKUP(B23,[1]RXNS!$B:$C,1,)</f>
        <v>ACTPASE</v>
      </c>
      <c r="D23" s="9" t="b">
        <f t="shared" si="0"/>
        <v>1</v>
      </c>
      <c r="E23" s="9" t="s">
        <v>139</v>
      </c>
      <c r="F23" s="9" t="s">
        <v>139</v>
      </c>
      <c r="G23" s="9" t="b">
        <f t="shared" si="1"/>
        <v>1</v>
      </c>
      <c r="H23" s="9" t="str">
        <f>VLOOKUP(B23,[1]RXNS!$B:$D,3,FALSE)</f>
        <v>Acetyl phosphate[c] + H2O[c] =&gt; Acetate[c] + H+[c] + Phosphate[c]</v>
      </c>
      <c r="I23" s="9" t="s">
        <v>140</v>
      </c>
      <c r="J23" s="9" t="s">
        <v>141</v>
      </c>
      <c r="K23" s="9" t="s">
        <v>140</v>
      </c>
      <c r="L23" s="9" t="b">
        <f t="shared" si="2"/>
        <v>1</v>
      </c>
      <c r="M23" s="9" t="b">
        <f t="shared" si="3"/>
        <v>1</v>
      </c>
      <c r="N23" s="13"/>
      <c r="O23" s="9">
        <v>0</v>
      </c>
      <c r="P23" s="9">
        <v>1000</v>
      </c>
      <c r="Q23" s="13"/>
      <c r="R23" s="13"/>
      <c r="S23" s="13"/>
      <c r="T23" s="9" t="s">
        <v>142</v>
      </c>
      <c r="U23" s="13"/>
      <c r="V23" s="9" t="s">
        <v>35</v>
      </c>
      <c r="W23" s="13"/>
      <c r="X23" s="9">
        <v>2</v>
      </c>
    </row>
    <row r="24" spans="1:24">
      <c r="A24" s="13"/>
      <c r="B24" s="9" t="s">
        <v>143</v>
      </c>
      <c r="C24" s="9" t="str">
        <f>VLOOKUP(B24,[1]RXNS!$B:$C,1,)</f>
        <v>ACt6</v>
      </c>
      <c r="D24" s="9" t="b">
        <f t="shared" si="0"/>
        <v>1</v>
      </c>
      <c r="E24" s="9" t="s">
        <v>144</v>
      </c>
      <c r="F24" s="9" t="s">
        <v>144</v>
      </c>
      <c r="G24" s="9" t="b">
        <f t="shared" si="1"/>
        <v>1</v>
      </c>
      <c r="H24" s="9" t="str">
        <f>VLOOKUP(B24,[1]RXNS!$B:$D,3,FALSE)</f>
        <v>Acetate[e] + H+[e] &lt;=&gt; Acetate[c] + H+[c]</v>
      </c>
      <c r="I24" s="9">
        <f>VLOOKUP(B24,[1]RXNS!$B:$E,4,FALSE)</f>
        <v>0</v>
      </c>
      <c r="J24" s="9" t="s">
        <v>145</v>
      </c>
      <c r="K24" s="13"/>
      <c r="L24" s="9" t="b">
        <f t="shared" si="2"/>
        <v>1</v>
      </c>
      <c r="M24" s="9" t="b">
        <f t="shared" si="3"/>
        <v>0</v>
      </c>
      <c r="N24" s="13"/>
      <c r="O24" s="9">
        <v>-1000</v>
      </c>
      <c r="P24" s="9">
        <v>1000</v>
      </c>
      <c r="Q24" s="13"/>
      <c r="R24" s="13"/>
      <c r="S24" s="13"/>
      <c r="T24" s="9" t="s">
        <v>146</v>
      </c>
      <c r="U24" s="13"/>
      <c r="V24" s="9" t="s">
        <v>35</v>
      </c>
      <c r="W24" s="13"/>
      <c r="X24" s="9">
        <v>2</v>
      </c>
    </row>
    <row r="25" spans="1:24">
      <c r="A25" s="13"/>
      <c r="B25" s="9" t="s">
        <v>147</v>
      </c>
      <c r="C25" s="9" t="str">
        <f>VLOOKUP(B25,[1]RXNS!$B:$C,1,)</f>
        <v>ADA</v>
      </c>
      <c r="D25" s="9" t="b">
        <f t="shared" si="0"/>
        <v>1</v>
      </c>
      <c r="E25" s="9" t="s">
        <v>148</v>
      </c>
      <c r="F25" s="9" t="s">
        <v>148</v>
      </c>
      <c r="G25" s="9" t="b">
        <f t="shared" si="1"/>
        <v>1</v>
      </c>
      <c r="H25" s="9" t="str">
        <f>VLOOKUP(B25,[1]RXNS!$B:$D,3,FALSE)</f>
        <v>Adenosine[c] + H2O[c] + H+[c] =&gt; Inosine[c] + Ammonium[c]</v>
      </c>
      <c r="I25" s="9" t="s">
        <v>149</v>
      </c>
      <c r="J25" s="9" t="s">
        <v>150</v>
      </c>
      <c r="K25" s="9" t="s">
        <v>149</v>
      </c>
      <c r="L25" s="9" t="b">
        <f t="shared" si="2"/>
        <v>1</v>
      </c>
      <c r="M25" s="9" t="b">
        <f t="shared" si="3"/>
        <v>1</v>
      </c>
      <c r="N25" s="9" t="s">
        <v>151</v>
      </c>
      <c r="O25" s="9">
        <v>0</v>
      </c>
      <c r="P25" s="9">
        <v>1000</v>
      </c>
      <c r="Q25" s="13"/>
      <c r="R25" s="13"/>
      <c r="S25" s="9" t="s">
        <v>152</v>
      </c>
      <c r="T25" s="9" t="s">
        <v>153</v>
      </c>
      <c r="U25" s="13"/>
      <c r="V25" s="9" t="s">
        <v>30</v>
      </c>
      <c r="W25" s="13"/>
      <c r="X25" s="9">
        <v>2</v>
      </c>
    </row>
    <row r="26" spans="1:24">
      <c r="A26" s="13"/>
      <c r="B26" s="9" t="s">
        <v>154</v>
      </c>
      <c r="C26" s="9" t="str">
        <f>VLOOKUP(B26,[1]RXNS!$B:$C,1,)</f>
        <v>ADCOBAPS</v>
      </c>
      <c r="D26" s="9" t="b">
        <f t="shared" si="0"/>
        <v>1</v>
      </c>
      <c r="E26" s="9" t="s">
        <v>155</v>
      </c>
      <c r="F26" s="9" t="s">
        <v>155</v>
      </c>
      <c r="G26" s="9" t="b">
        <f t="shared" si="1"/>
        <v>1</v>
      </c>
      <c r="H26" s="9" t="str">
        <f>VLOOKUP(B26,[1]RXNS!$B:$D,3,FALSE)</f>
        <v>adenosyl-cobyric acid[c] + D-1-Aminopropan-2-ol O-phosphate[c] + ATP[c] =&gt; Adenosyl cobinamide phosphate[c] + ADP[c] + H+[c] + Phosphate[c]</v>
      </c>
      <c r="I26" s="9" t="s">
        <v>156</v>
      </c>
      <c r="J26" s="9" t="s">
        <v>157</v>
      </c>
      <c r="K26" s="9" t="s">
        <v>156</v>
      </c>
      <c r="L26" s="9" t="b">
        <f t="shared" si="2"/>
        <v>1</v>
      </c>
      <c r="M26" s="9" t="b">
        <f t="shared" si="3"/>
        <v>1</v>
      </c>
      <c r="N26" s="13"/>
      <c r="O26" s="9">
        <v>0</v>
      </c>
      <c r="P26" s="9">
        <v>1000</v>
      </c>
      <c r="Q26" s="13"/>
      <c r="R26" s="13"/>
      <c r="S26" s="13"/>
      <c r="T26" s="9" t="s">
        <v>85</v>
      </c>
      <c r="U26" s="13"/>
      <c r="V26" s="9" t="s">
        <v>35</v>
      </c>
      <c r="W26" s="13"/>
      <c r="X26" s="9">
        <v>2</v>
      </c>
    </row>
    <row r="27" spans="1:24">
      <c r="A27" s="13"/>
      <c r="B27" s="9" t="s">
        <v>158</v>
      </c>
      <c r="C27" s="9" t="str">
        <f>VLOOKUP(B27,[1]RXNS!$B:$C,1,)</f>
        <v>ADCPS1</v>
      </c>
      <c r="D27" s="9" t="b">
        <f t="shared" si="0"/>
        <v>1</v>
      </c>
      <c r="E27" s="9" t="s">
        <v>155</v>
      </c>
      <c r="F27" s="9" t="s">
        <v>155</v>
      </c>
      <c r="G27" s="9" t="b">
        <f t="shared" si="1"/>
        <v>1</v>
      </c>
      <c r="H27" s="9" t="str">
        <f>VLOOKUP(B27,[1]RXNS!$B:$D,3,FALSE)</f>
        <v>adenosyl-cobyric acid[c] + 1-Aminopropan-2-ol[c] + ATP[c] &lt;=&gt; Adenosyl cobinamide[c] + ADP[c] + H+[c] + Phosphate[c]</v>
      </c>
      <c r="I27" s="9" t="s">
        <v>156</v>
      </c>
      <c r="J27" s="9" t="s">
        <v>159</v>
      </c>
      <c r="K27" s="9" t="s">
        <v>156</v>
      </c>
      <c r="L27" s="9" t="b">
        <f t="shared" si="2"/>
        <v>1</v>
      </c>
      <c r="M27" s="9" t="b">
        <f t="shared" si="3"/>
        <v>1</v>
      </c>
      <c r="N27" s="13"/>
      <c r="O27" s="9">
        <v>-1000</v>
      </c>
      <c r="P27" s="9">
        <v>1000</v>
      </c>
      <c r="Q27" s="13"/>
      <c r="R27" s="13"/>
      <c r="S27" s="13"/>
      <c r="T27" s="9" t="s">
        <v>160</v>
      </c>
      <c r="U27" s="13"/>
      <c r="V27" s="9" t="s">
        <v>35</v>
      </c>
      <c r="W27" s="13"/>
      <c r="X27" s="9">
        <v>2</v>
      </c>
    </row>
    <row r="28" spans="1:24">
      <c r="A28" s="13"/>
      <c r="B28" s="9" t="s">
        <v>161</v>
      </c>
      <c r="C28" s="9" t="str">
        <f>VLOOKUP(B28,[1]RXNS!$B:$C,1,)</f>
        <v>ADEADOCBLPP</v>
      </c>
      <c r="D28" s="9" t="b">
        <f t="shared" si="0"/>
        <v>1</v>
      </c>
      <c r="E28" s="9" t="s">
        <v>162</v>
      </c>
      <c r="F28" s="9" t="s">
        <v>162</v>
      </c>
      <c r="G28" s="9" t="b">
        <f t="shared" si="1"/>
        <v>1</v>
      </c>
      <c r="H28" s="9" t="str">
        <f>VLOOKUP(B28,[1]RXNS!$B:$D,3,FALSE)</f>
        <v>Co-alpha-[alpha-(adenin-9-yl)]-Co-beta-adenosylcobamide 5-phosphate[c] + H2O[c] =&gt; Pseudo Coenzyme B12 (Co-alpha-[alpha-(adenin-7-yl)]-Co-beta-adenosylcobamide)[c] + Phosphate[c]</v>
      </c>
      <c r="I28" s="9" t="s">
        <v>163</v>
      </c>
      <c r="J28" s="9" t="s">
        <v>164</v>
      </c>
      <c r="K28" s="9" t="s">
        <v>163</v>
      </c>
      <c r="L28" s="9" t="b">
        <f t="shared" si="2"/>
        <v>1</v>
      </c>
      <c r="M28" s="9" t="b">
        <f t="shared" si="3"/>
        <v>1</v>
      </c>
      <c r="N28" s="13"/>
      <c r="O28" s="9">
        <v>0</v>
      </c>
      <c r="P28" s="9">
        <v>1000</v>
      </c>
      <c r="Q28" s="13"/>
      <c r="R28" s="13"/>
      <c r="S28" s="13"/>
      <c r="T28" s="9" t="s">
        <v>85</v>
      </c>
      <c r="U28" s="13"/>
      <c r="V28" s="9" t="s">
        <v>35</v>
      </c>
      <c r="W28" s="13"/>
      <c r="X28" s="9">
        <v>2</v>
      </c>
    </row>
    <row r="29" spans="1:24">
      <c r="A29" s="13"/>
      <c r="B29" s="9" t="s">
        <v>165</v>
      </c>
      <c r="C29" s="9" t="str">
        <f>VLOOKUP(B29,[1]RXNS!$B:$C,1,)</f>
        <v>ADEADOCBLS</v>
      </c>
      <c r="D29" s="9" t="b">
        <f t="shared" si="0"/>
        <v>1</v>
      </c>
      <c r="E29" s="9" t="s">
        <v>166</v>
      </c>
      <c r="F29" s="9" t="s">
        <v>166</v>
      </c>
      <c r="G29" s="9" t="b">
        <f t="shared" si="1"/>
        <v>1</v>
      </c>
      <c r="H29" s="9" t="str">
        <f>VLOOKUP(B29,[1]RXNS!$B:$D,3,FALSE)</f>
        <v>Adenosine-GDP-cobinamide[c] + adenine ribotide phosphate (7-(5-phospho-伪-D-ribosyl)adenine)[c] =&gt; Co-alpha-[alpha-(adenin-9-yl)]-Co-beta-adenosylcobamide 5-phosphate[c] + GMP[c] + H+[c]</v>
      </c>
      <c r="I29" s="9" t="s">
        <v>167</v>
      </c>
      <c r="J29" s="9" t="s">
        <v>168</v>
      </c>
      <c r="K29" s="9" t="s">
        <v>167</v>
      </c>
      <c r="L29" s="9" t="b">
        <f t="shared" si="2"/>
        <v>0</v>
      </c>
      <c r="M29" s="9" t="b">
        <f t="shared" si="3"/>
        <v>1</v>
      </c>
      <c r="N29" s="13"/>
      <c r="O29" s="9">
        <v>0</v>
      </c>
      <c r="P29" s="9">
        <v>1000</v>
      </c>
      <c r="Q29" s="13"/>
      <c r="R29" s="13"/>
      <c r="S29" s="13"/>
      <c r="T29" s="9" t="s">
        <v>160</v>
      </c>
      <c r="U29" s="13"/>
      <c r="V29" s="9" t="s">
        <v>35</v>
      </c>
      <c r="W29" s="13"/>
      <c r="X29" s="9">
        <v>2</v>
      </c>
    </row>
    <row r="30" spans="1:24">
      <c r="A30" s="13"/>
      <c r="B30" s="9" t="s">
        <v>169</v>
      </c>
      <c r="C30" s="9" t="str">
        <f>VLOOKUP(B30,[1]RXNS!$B:$C,1,)</f>
        <v>ADEt2</v>
      </c>
      <c r="D30" s="9" t="b">
        <f t="shared" si="0"/>
        <v>1</v>
      </c>
      <c r="E30" s="9" t="s">
        <v>170</v>
      </c>
      <c r="F30" s="9" t="s">
        <v>170</v>
      </c>
      <c r="G30" s="9" t="b">
        <f t="shared" si="1"/>
        <v>1</v>
      </c>
      <c r="H30" s="9" t="str">
        <f>VLOOKUP(B30,[1]RXNS!$B:$D,3,FALSE)</f>
        <v>Adenine[e] + H+[e] &lt;=&gt; Adenine[c] + H+[c]</v>
      </c>
      <c r="I30" s="9">
        <f>VLOOKUP(B30,[1]RXNS!$B:$E,4,FALSE)</f>
        <v>0</v>
      </c>
      <c r="J30" s="9" t="s">
        <v>171</v>
      </c>
      <c r="K30" s="13"/>
      <c r="L30" s="9" t="b">
        <f t="shared" si="2"/>
        <v>1</v>
      </c>
      <c r="M30" s="9" t="b">
        <f t="shared" si="3"/>
        <v>0</v>
      </c>
      <c r="N30" s="13"/>
      <c r="O30" s="9">
        <v>-1000</v>
      </c>
      <c r="P30" s="9">
        <v>1000</v>
      </c>
      <c r="Q30" s="13"/>
      <c r="R30" s="13"/>
      <c r="S30" s="13"/>
      <c r="T30" s="9" t="s">
        <v>146</v>
      </c>
      <c r="U30" s="13"/>
      <c r="V30" s="9" t="s">
        <v>35</v>
      </c>
      <c r="W30" s="13"/>
      <c r="X30" s="9">
        <v>2</v>
      </c>
    </row>
    <row r="31" spans="1:24">
      <c r="A31" s="13"/>
      <c r="B31" s="9" t="s">
        <v>172</v>
      </c>
      <c r="C31" s="9" t="str">
        <f>VLOOKUP(B31,[1]RXNS!$B:$C,1,)</f>
        <v>ADK1</v>
      </c>
      <c r="D31" s="9" t="b">
        <f t="shared" si="0"/>
        <v>1</v>
      </c>
      <c r="E31" s="9" t="s">
        <v>173</v>
      </c>
      <c r="F31" s="9" t="s">
        <v>173</v>
      </c>
      <c r="G31" s="9" t="b">
        <f t="shared" si="1"/>
        <v>1</v>
      </c>
      <c r="H31" s="9" t="str">
        <f>VLOOKUP(B31,[1]RXNS!$B:$D,3,FALSE)</f>
        <v>AMP[c] + ATP[c] &lt;=&gt; 2 ADP[c]</v>
      </c>
      <c r="I31" s="9" t="s">
        <v>174</v>
      </c>
      <c r="J31" s="9" t="s">
        <v>175</v>
      </c>
      <c r="K31" s="9" t="s">
        <v>174</v>
      </c>
      <c r="L31" s="9" t="b">
        <f t="shared" si="2"/>
        <v>0</v>
      </c>
      <c r="M31" s="9" t="b">
        <f t="shared" si="3"/>
        <v>1</v>
      </c>
      <c r="N31" s="9" t="s">
        <v>176</v>
      </c>
      <c r="O31" s="9">
        <v>0</v>
      </c>
      <c r="P31" s="9">
        <v>1000</v>
      </c>
      <c r="Q31" s="13"/>
      <c r="R31" s="13"/>
      <c r="S31" s="9" t="s">
        <v>177</v>
      </c>
      <c r="T31" s="9" t="s">
        <v>153</v>
      </c>
      <c r="U31" s="13"/>
      <c r="V31" s="9" t="s">
        <v>30</v>
      </c>
      <c r="W31" s="13"/>
      <c r="X31" s="9">
        <v>2</v>
      </c>
    </row>
    <row r="32" spans="1:24">
      <c r="A32" s="13"/>
      <c r="B32" s="9" t="s">
        <v>178</v>
      </c>
      <c r="C32" s="9" t="str">
        <f>VLOOKUP(B32,[1]RXNS!$B:$C,1,)</f>
        <v>ADOCBIK</v>
      </c>
      <c r="D32" s="9" t="b">
        <f t="shared" si="0"/>
        <v>1</v>
      </c>
      <c r="E32" s="9" t="s">
        <v>179</v>
      </c>
      <c r="F32" s="9" t="s">
        <v>179</v>
      </c>
      <c r="G32" s="9" t="b">
        <f t="shared" si="1"/>
        <v>1</v>
      </c>
      <c r="H32" s="9" t="str">
        <f>VLOOKUP(B32,[1]RXNS!$B:$D,3,FALSE)</f>
        <v>Adenosyl cobinamide[c] + ATP[c] =&gt; Adenosyl cobinamide phosphate[c] + ADP[c] + H+[c]</v>
      </c>
      <c r="I32" s="9" t="s">
        <v>180</v>
      </c>
      <c r="J32" s="9" t="s">
        <v>181</v>
      </c>
      <c r="K32" s="9" t="s">
        <v>180</v>
      </c>
      <c r="L32" s="9" t="b">
        <f t="shared" si="2"/>
        <v>1</v>
      </c>
      <c r="M32" s="9" t="b">
        <f t="shared" si="3"/>
        <v>1</v>
      </c>
      <c r="N32" s="13"/>
      <c r="O32" s="9">
        <v>0</v>
      </c>
      <c r="P32" s="9">
        <v>1000</v>
      </c>
      <c r="Q32" s="13"/>
      <c r="R32" s="13"/>
      <c r="S32" s="13"/>
      <c r="T32" s="9" t="s">
        <v>85</v>
      </c>
      <c r="U32" s="13"/>
      <c r="V32" s="9" t="s">
        <v>35</v>
      </c>
      <c r="W32" s="13"/>
      <c r="X32" s="9">
        <v>2</v>
      </c>
    </row>
    <row r="33" spans="1:24">
      <c r="A33" s="13"/>
      <c r="B33" s="9" t="s">
        <v>182</v>
      </c>
      <c r="C33" s="9" t="str">
        <f>VLOOKUP(B33,[1]RXNS!$B:$C,1,)</f>
        <v>ADPDS</v>
      </c>
      <c r="D33" s="9" t="b">
        <f t="shared" si="0"/>
        <v>1</v>
      </c>
      <c r="E33" s="9" t="s">
        <v>183</v>
      </c>
      <c r="F33" s="9" t="s">
        <v>183</v>
      </c>
      <c r="G33" s="9" t="b">
        <f t="shared" si="1"/>
        <v>1</v>
      </c>
      <c r="H33" s="9" t="str">
        <f>VLOOKUP(B33,[1]RXNS!$B:$D,3,FALSE)</f>
        <v>H2O[c] + H+[c] + N6-Acetyl-LL-2,6-diaminoheptanedioate[c] =&gt; LL-2,6-Diaminoheptanedioate[c] + Acetate[c]</v>
      </c>
      <c r="I33" s="9" t="s">
        <v>184</v>
      </c>
      <c r="J33" s="9" t="s">
        <v>185</v>
      </c>
      <c r="K33" s="9" t="s">
        <v>184</v>
      </c>
      <c r="L33" s="9" t="b">
        <f t="shared" si="2"/>
        <v>1</v>
      </c>
      <c r="M33" s="9" t="b">
        <f t="shared" si="3"/>
        <v>1</v>
      </c>
      <c r="N33" s="9" t="s">
        <v>186</v>
      </c>
      <c r="O33" s="9">
        <v>0</v>
      </c>
      <c r="P33" s="9">
        <v>1000</v>
      </c>
      <c r="Q33" s="13"/>
      <c r="R33" s="13"/>
      <c r="S33" s="9" t="s">
        <v>187</v>
      </c>
      <c r="T33" s="9" t="s">
        <v>188</v>
      </c>
      <c r="U33" s="13"/>
      <c r="V33" s="9" t="s">
        <v>30</v>
      </c>
      <c r="W33" s="13"/>
      <c r="X33" s="9">
        <v>2</v>
      </c>
    </row>
    <row r="34" spans="1:24">
      <c r="A34" s="13"/>
      <c r="B34" s="9" t="s">
        <v>189</v>
      </c>
      <c r="C34" s="9" t="str">
        <f>VLOOKUP(B34,[1]RXNS!$B:$C,1,)</f>
        <v>ADPRDP</v>
      </c>
      <c r="D34" s="9" t="b">
        <f t="shared" si="0"/>
        <v>1</v>
      </c>
      <c r="E34" s="9" t="s">
        <v>190</v>
      </c>
      <c r="F34" s="9" t="s">
        <v>190</v>
      </c>
      <c r="G34" s="9" t="b">
        <f t="shared" si="1"/>
        <v>1</v>
      </c>
      <c r="H34" s="9" t="str">
        <f>VLOOKUP(B34,[1]RXNS!$B:$D,3,FALSE)</f>
        <v>ADPribose[c] + H2O[c] =&gt; AMP[c] + 2 H+[c] + alpha-D-Ribose 5-phosphate[c]</v>
      </c>
      <c r="I34" s="9" t="s">
        <v>191</v>
      </c>
      <c r="J34" s="9" t="s">
        <v>192</v>
      </c>
      <c r="K34" s="9" t="s">
        <v>191</v>
      </c>
      <c r="L34" s="9" t="b">
        <f t="shared" si="2"/>
        <v>1</v>
      </c>
      <c r="M34" s="9" t="b">
        <f t="shared" si="3"/>
        <v>1</v>
      </c>
      <c r="N34" s="9" t="s">
        <v>193</v>
      </c>
      <c r="O34" s="9">
        <v>0</v>
      </c>
      <c r="P34" s="9">
        <v>1000</v>
      </c>
      <c r="Q34" s="13"/>
      <c r="R34" s="13"/>
      <c r="S34" s="9" t="s">
        <v>194</v>
      </c>
      <c r="T34" s="9" t="s">
        <v>153</v>
      </c>
      <c r="U34" s="13"/>
      <c r="V34" s="9" t="s">
        <v>30</v>
      </c>
      <c r="W34" s="13"/>
      <c r="X34" s="9">
        <v>2</v>
      </c>
    </row>
    <row r="35" spans="1:24">
      <c r="A35" s="13"/>
      <c r="B35" s="9" t="s">
        <v>195</v>
      </c>
      <c r="C35" s="9" t="str">
        <f>VLOOKUP(B35,[1]RXNS!$B:$C,1,)</f>
        <v>ADPT</v>
      </c>
      <c r="D35" s="9" t="b">
        <f t="shared" si="0"/>
        <v>1</v>
      </c>
      <c r="E35" s="9" t="s">
        <v>196</v>
      </c>
      <c r="F35" s="9" t="s">
        <v>196</v>
      </c>
      <c r="G35" s="9" t="b">
        <f t="shared" si="1"/>
        <v>1</v>
      </c>
      <c r="H35" s="9" t="str">
        <f>VLOOKUP(B35,[1]RXNS!$B:$D,3,FALSE)</f>
        <v>Adenine[c] + 5-Phospho-alpha-D-ribose 1-diphosphate[c] =&gt; AMP[c] + Diphosphate[c]</v>
      </c>
      <c r="I35" s="9" t="s">
        <v>197</v>
      </c>
      <c r="J35" s="9" t="s">
        <v>198</v>
      </c>
      <c r="K35" s="9" t="s">
        <v>197</v>
      </c>
      <c r="L35" s="9" t="b">
        <f t="shared" si="2"/>
        <v>1</v>
      </c>
      <c r="M35" s="9" t="b">
        <f t="shared" si="3"/>
        <v>1</v>
      </c>
      <c r="N35" s="9" t="s">
        <v>199</v>
      </c>
      <c r="O35" s="9">
        <v>0</v>
      </c>
      <c r="P35" s="9">
        <v>1000</v>
      </c>
      <c r="Q35" s="13"/>
      <c r="R35" s="13"/>
      <c r="S35" s="9" t="s">
        <v>200</v>
      </c>
      <c r="T35" s="9" t="s">
        <v>153</v>
      </c>
      <c r="U35" s="13"/>
      <c r="V35" s="9" t="s">
        <v>30</v>
      </c>
      <c r="W35" s="13"/>
      <c r="X35" s="9">
        <v>2</v>
      </c>
    </row>
    <row r="36" spans="1:24">
      <c r="A36" s="13"/>
      <c r="B36" s="9" t="s">
        <v>201</v>
      </c>
      <c r="C36" s="9" t="str">
        <f>VLOOKUP(B36,[1]RXNS!$B:$C,1,)</f>
        <v>ADPTA</v>
      </c>
      <c r="D36" s="9" t="b">
        <f t="shared" si="0"/>
        <v>1</v>
      </c>
      <c r="E36" s="9" t="s">
        <v>202</v>
      </c>
      <c r="F36" s="9" t="s">
        <v>202</v>
      </c>
      <c r="G36" s="9" t="b">
        <f t="shared" si="1"/>
        <v>1</v>
      </c>
      <c r="H36" s="9" t="str">
        <f>VLOOKUP(B36,[1]RXNS!$B:$D,3,FALSE)</f>
        <v>2-Oxoglutarate[c] + H+[c] + N6-Acetyl-LL-2,6-diaminoheptanedioate[c] &lt;=&gt; N-Acetyl-L-2-amino-6-oxopimelate[c] + L-Glutamate[c]</v>
      </c>
      <c r="I36" s="9" t="s">
        <v>203</v>
      </c>
      <c r="J36" s="9" t="s">
        <v>204</v>
      </c>
      <c r="K36" s="9" t="s">
        <v>203</v>
      </c>
      <c r="L36" s="9" t="b">
        <f t="shared" si="2"/>
        <v>1</v>
      </c>
      <c r="M36" s="9" t="b">
        <f t="shared" si="3"/>
        <v>1</v>
      </c>
      <c r="N36" s="9" t="s">
        <v>205</v>
      </c>
      <c r="O36" s="9">
        <v>-1000</v>
      </c>
      <c r="P36" s="9">
        <v>1000</v>
      </c>
      <c r="Q36" s="13"/>
      <c r="R36" s="13"/>
      <c r="S36" s="9" t="s">
        <v>206</v>
      </c>
      <c r="T36" s="9" t="s">
        <v>188</v>
      </c>
      <c r="U36" s="13"/>
      <c r="V36" s="9" t="s">
        <v>30</v>
      </c>
      <c r="W36" s="13"/>
      <c r="X36" s="9">
        <v>2</v>
      </c>
    </row>
    <row r="37" spans="1:24">
      <c r="A37" s="13"/>
      <c r="B37" s="9" t="s">
        <v>207</v>
      </c>
      <c r="C37" s="9" t="str">
        <f>VLOOKUP(B37,[1]RXNS!$B:$C,1,)</f>
        <v>ADSL1r</v>
      </c>
      <c r="D37" s="9" t="b">
        <f t="shared" si="0"/>
        <v>1</v>
      </c>
      <c r="E37" s="9" t="s">
        <v>208</v>
      </c>
      <c r="F37" s="9" t="s">
        <v>208</v>
      </c>
      <c r="G37" s="9" t="b">
        <f t="shared" si="1"/>
        <v>1</v>
      </c>
      <c r="H37" s="9" t="str">
        <f>VLOOKUP(B37,[1]RXNS!$B:$D,3,FALSE)</f>
        <v>N6-(1,2-Dicarboxyethyl)-AMP[c] &lt;=&gt; AMP[c] + Fumarate[c]</v>
      </c>
      <c r="I37" s="9" t="s">
        <v>209</v>
      </c>
      <c r="J37" s="9" t="s">
        <v>210</v>
      </c>
      <c r="K37" s="9" t="s">
        <v>209</v>
      </c>
      <c r="L37" s="9" t="b">
        <f t="shared" si="2"/>
        <v>1</v>
      </c>
      <c r="M37" s="9" t="b">
        <f t="shared" si="3"/>
        <v>1</v>
      </c>
      <c r="N37" s="9" t="s">
        <v>211</v>
      </c>
      <c r="O37" s="9">
        <v>-1000</v>
      </c>
      <c r="P37" s="9">
        <v>1000</v>
      </c>
      <c r="Q37" s="13"/>
      <c r="R37" s="13"/>
      <c r="S37" s="9" t="s">
        <v>212</v>
      </c>
      <c r="T37" s="9" t="s">
        <v>153</v>
      </c>
      <c r="U37" s="13"/>
      <c r="V37" s="9" t="s">
        <v>30</v>
      </c>
      <c r="W37" s="13"/>
      <c r="X37" s="9">
        <v>2</v>
      </c>
    </row>
    <row r="38" spans="1:24">
      <c r="A38" s="13"/>
      <c r="B38" s="9" t="s">
        <v>213</v>
      </c>
      <c r="C38" s="9" t="str">
        <f>VLOOKUP(B38,[1]RXNS!$B:$C,1,)</f>
        <v>ADSL2r</v>
      </c>
      <c r="D38" s="9" t="b">
        <f t="shared" si="0"/>
        <v>1</v>
      </c>
      <c r="E38" s="9" t="s">
        <v>208</v>
      </c>
      <c r="F38" s="9" t="s">
        <v>208</v>
      </c>
      <c r="G38" s="9" t="b">
        <f t="shared" si="1"/>
        <v>1</v>
      </c>
      <c r="H38" s="9" t="str">
        <f>VLOOKUP(B38,[1]RXNS!$B:$D,3,FALSE)</f>
        <v>(S)-2-[5-Amino-1-(5-phospho-D-ribosyl)imidazole-4-carboxamido]succinate[c] &lt;=&gt; 5-Amino-1-(5-Phospho-D-ribosyl)imidazole-4-carboxamide[c] + Fumarate[c]</v>
      </c>
      <c r="I38" s="9" t="s">
        <v>209</v>
      </c>
      <c r="J38" s="9" t="s">
        <v>214</v>
      </c>
      <c r="K38" s="9" t="s">
        <v>209</v>
      </c>
      <c r="L38" s="9" t="b">
        <f t="shared" si="2"/>
        <v>1</v>
      </c>
      <c r="M38" s="9" t="b">
        <f t="shared" si="3"/>
        <v>1</v>
      </c>
      <c r="N38" s="9" t="s">
        <v>211</v>
      </c>
      <c r="O38" s="9">
        <v>-1000</v>
      </c>
      <c r="P38" s="9">
        <v>1000</v>
      </c>
      <c r="Q38" s="13"/>
      <c r="R38" s="13"/>
      <c r="S38" s="9" t="s">
        <v>215</v>
      </c>
      <c r="T38" s="9" t="s">
        <v>153</v>
      </c>
      <c r="U38" s="13"/>
      <c r="V38" s="9" t="s">
        <v>30</v>
      </c>
      <c r="W38" s="13"/>
      <c r="X38" s="9">
        <v>2</v>
      </c>
    </row>
    <row r="39" spans="1:24">
      <c r="A39" s="13"/>
      <c r="B39" s="9" t="s">
        <v>216</v>
      </c>
      <c r="C39" s="9" t="str">
        <f>VLOOKUP(B39,[1]RXNS!$B:$C,1,)</f>
        <v>ADSS</v>
      </c>
      <c r="D39" s="9" t="b">
        <f t="shared" si="0"/>
        <v>1</v>
      </c>
      <c r="E39" s="9" t="s">
        <v>217</v>
      </c>
      <c r="F39" s="9" t="s">
        <v>217</v>
      </c>
      <c r="G39" s="9" t="b">
        <f t="shared" si="1"/>
        <v>1</v>
      </c>
      <c r="H39" s="9" t="str">
        <f>VLOOKUP(B39,[1]RXNS!$B:$D,3,FALSE)</f>
        <v>L-Aspartate[c] + GTP[c] + IMP[c] =&gt; N6-(1,2-Dicarboxyethyl)-AMP[c] + GDP[c] + 2 H+[c] + Phosphate[c]</v>
      </c>
      <c r="I39" s="9" t="s">
        <v>218</v>
      </c>
      <c r="J39" s="9" t="s">
        <v>219</v>
      </c>
      <c r="K39" s="9" t="s">
        <v>218</v>
      </c>
      <c r="L39" s="9" t="b">
        <f t="shared" si="2"/>
        <v>1</v>
      </c>
      <c r="M39" s="9" t="b">
        <f t="shared" si="3"/>
        <v>1</v>
      </c>
      <c r="N39" s="9" t="s">
        <v>220</v>
      </c>
      <c r="O39" s="9">
        <v>0</v>
      </c>
      <c r="P39" s="9">
        <v>1000</v>
      </c>
      <c r="Q39" s="13"/>
      <c r="R39" s="13"/>
      <c r="S39" s="9" t="s">
        <v>221</v>
      </c>
      <c r="T39" s="9" t="s">
        <v>222</v>
      </c>
      <c r="U39" s="13"/>
      <c r="V39" s="9" t="s">
        <v>30</v>
      </c>
      <c r="W39" s="13"/>
      <c r="X39" s="9">
        <v>2</v>
      </c>
    </row>
    <row r="40" spans="1:24">
      <c r="A40" s="13"/>
      <c r="B40" s="9" t="s">
        <v>223</v>
      </c>
      <c r="C40" s="9" t="str">
        <f>VLOOKUP(B40,[1]RXNS!$B:$C,1,)</f>
        <v>AGAT_LRE</v>
      </c>
      <c r="D40" s="9" t="b">
        <f t="shared" si="0"/>
        <v>1</v>
      </c>
      <c r="E40" s="9" t="s">
        <v>224</v>
      </c>
      <c r="F40" s="9" t="s">
        <v>224</v>
      </c>
      <c r="G40" s="9" t="b">
        <f t="shared" si="1"/>
        <v>1</v>
      </c>
      <c r="H40" s="9" t="str">
        <f>VLOOKUP(B40,[1]RXNS!$B:$D,3,FALSE)</f>
        <v>1-Acyl-sn-glycerol 3-phosphate (Lb reuteri specific)[c] + 0.0211 cyclopropanoyl octadecanoyl-[acyl-carrier protein][c] + 0.0258 Hexadecenoyl-ACP (n-C16:1ACP)[c] + 0.075 Octadecanoyl-[acyl-carrier protein][c] + 0.0418 octadecatrienoyl-ACP (n-C18:3ACP)[c] + 0.3519 Octadecynoyl-ACP (n-C18:2ACP)[c] + 0.1591 Octadecenoyl-ACP (n-C18:1ACP)[c] + 0.2566 Palmitoyl-ACP (n-C16:0ACP)[c] + 0.0687 Tetradecanoyl-[acyl-carrier protein][c] =&gt; acyl carrier protein[c] + phosphatidic acid (Lb reuteri specific)[c]</v>
      </c>
      <c r="I40" s="9" t="s">
        <v>225</v>
      </c>
      <c r="J40" s="9" t="s">
        <v>226</v>
      </c>
      <c r="K40" s="9" t="s">
        <v>225</v>
      </c>
      <c r="L40" s="9" t="b">
        <f t="shared" si="2"/>
        <v>0</v>
      </c>
      <c r="M40" s="9" t="b">
        <f t="shared" si="3"/>
        <v>1</v>
      </c>
      <c r="N40" s="9" t="s">
        <v>227</v>
      </c>
      <c r="O40" s="9">
        <v>0</v>
      </c>
      <c r="P40" s="9">
        <v>1000</v>
      </c>
      <c r="Q40" s="13"/>
      <c r="R40" s="13"/>
      <c r="S40" s="13"/>
      <c r="T40" s="9" t="s">
        <v>228</v>
      </c>
      <c r="U40" s="13"/>
      <c r="V40" s="9" t="s">
        <v>30</v>
      </c>
      <c r="W40" s="13"/>
      <c r="X40" s="9">
        <v>2</v>
      </c>
    </row>
    <row r="41" spans="1:24">
      <c r="A41" s="13"/>
      <c r="B41" s="9" t="s">
        <v>229</v>
      </c>
      <c r="C41" s="9" t="str">
        <f>VLOOKUP(B41,[1]RXNS!$B:$C,1,)</f>
        <v>AGPR</v>
      </c>
      <c r="D41" s="9" t="b">
        <f t="shared" si="0"/>
        <v>1</v>
      </c>
      <c r="E41" s="9" t="s">
        <v>230</v>
      </c>
      <c r="F41" s="9" t="s">
        <v>230</v>
      </c>
      <c r="G41" s="9" t="b">
        <f t="shared" si="1"/>
        <v>1</v>
      </c>
      <c r="H41" s="9" t="str">
        <f>VLOOKUP(B41,[1]RXNS!$B:$D,3,FALSE)</f>
        <v>N-Acetyl-L-glutamate 5-semialdehyde[c] + Nicotinamide adenine dinucleotide phosphate[c] + Phosphate[c] &lt;=&gt; N-Acetyl-L-glutamyl 5-phosphate[c] + H+[c] + Nicotinamide adenine dinucleotide phosphate - reduced[c]</v>
      </c>
      <c r="I41" s="9" t="s">
        <v>231</v>
      </c>
      <c r="J41" s="9" t="s">
        <v>232</v>
      </c>
      <c r="K41" s="9" t="s">
        <v>231</v>
      </c>
      <c r="L41" s="9" t="b">
        <f t="shared" si="2"/>
        <v>1</v>
      </c>
      <c r="M41" s="9" t="b">
        <f t="shared" si="3"/>
        <v>1</v>
      </c>
      <c r="N41" s="13"/>
      <c r="O41" s="9">
        <v>-1000</v>
      </c>
      <c r="P41" s="9">
        <v>1000</v>
      </c>
      <c r="Q41" s="13"/>
      <c r="R41" s="13"/>
      <c r="S41" s="13"/>
      <c r="T41" s="9" t="s">
        <v>96</v>
      </c>
      <c r="U41" s="13"/>
      <c r="V41" s="9" t="s">
        <v>35</v>
      </c>
      <c r="W41" s="13"/>
      <c r="X41" s="9">
        <v>2</v>
      </c>
    </row>
    <row r="42" spans="1:24">
      <c r="A42" s="13"/>
      <c r="B42" s="9" t="s">
        <v>233</v>
      </c>
      <c r="C42" s="9" t="str">
        <f>VLOOKUP(B42,[1]RXNS!$B:$C,1,)</f>
        <v>AHCYSNS</v>
      </c>
      <c r="D42" s="9" t="b">
        <f t="shared" si="0"/>
        <v>1</v>
      </c>
      <c r="E42" s="9" t="s">
        <v>234</v>
      </c>
      <c r="F42" s="9" t="s">
        <v>234</v>
      </c>
      <c r="G42" s="9" t="b">
        <f t="shared" si="1"/>
        <v>1</v>
      </c>
      <c r="H42" s="9" t="str">
        <f>VLOOKUP(B42,[1]RXNS!$B:$D,3,FALSE)</f>
        <v>S-Adenosyl-L-homocysteine[c] + H2O[c] =&gt; Adenine[c] + S-Ribosyl-L-homocysteine[c]</v>
      </c>
      <c r="I42" s="9" t="s">
        <v>235</v>
      </c>
      <c r="J42" s="9" t="s">
        <v>236</v>
      </c>
      <c r="K42" s="9" t="s">
        <v>235</v>
      </c>
      <c r="L42" s="9" t="b">
        <f t="shared" si="2"/>
        <v>1</v>
      </c>
      <c r="M42" s="9" t="b">
        <f t="shared" si="3"/>
        <v>1</v>
      </c>
      <c r="N42" s="9" t="s">
        <v>237</v>
      </c>
      <c r="O42" s="9">
        <v>0</v>
      </c>
      <c r="P42" s="9">
        <v>1000</v>
      </c>
      <c r="Q42" s="13"/>
      <c r="R42" s="13"/>
      <c r="S42" s="9" t="s">
        <v>238</v>
      </c>
      <c r="T42" s="9" t="s">
        <v>239</v>
      </c>
      <c r="U42" s="13"/>
      <c r="V42" s="9" t="s">
        <v>30</v>
      </c>
      <c r="W42" s="13"/>
      <c r="X42" s="9">
        <v>2</v>
      </c>
    </row>
    <row r="43" spans="1:24">
      <c r="A43" s="13"/>
      <c r="B43" s="9" t="s">
        <v>240</v>
      </c>
      <c r="C43" s="9" t="str">
        <f>VLOOKUP(B43,[1]RXNS!$B:$C,1,)</f>
        <v>AHMMPS</v>
      </c>
      <c r="D43" s="9" t="b">
        <f t="shared" si="0"/>
        <v>1</v>
      </c>
      <c r="E43" s="9" t="s">
        <v>241</v>
      </c>
      <c r="F43" s="9" t="s">
        <v>241</v>
      </c>
      <c r="G43" s="9" t="b">
        <f t="shared" si="1"/>
        <v>1</v>
      </c>
      <c r="H43" s="9" t="str">
        <f>VLOOKUP(B43,[1]RXNS!$B:$D,3,FALSE)</f>
        <v>5-amino-1-(5-phospho-D-ribosyl)imidazole[c] + H2O[c] =&gt; 4-Amino-5-hydroxymethyl-2-methylpyrimidine[c] + Glycolaldehyde[c] + 0.5 O2[c] + Phosphate[c]</v>
      </c>
      <c r="I43" s="9" t="s">
        <v>242</v>
      </c>
      <c r="J43" s="9" t="s">
        <v>243</v>
      </c>
      <c r="K43" s="9" t="s">
        <v>242</v>
      </c>
      <c r="L43" s="9" t="b">
        <f t="shared" si="2"/>
        <v>1</v>
      </c>
      <c r="M43" s="9" t="b">
        <f t="shared" si="3"/>
        <v>1</v>
      </c>
      <c r="N43" s="13"/>
      <c r="O43" s="9">
        <v>0</v>
      </c>
      <c r="P43" s="9">
        <v>1000</v>
      </c>
      <c r="Q43" s="13"/>
      <c r="R43" s="13"/>
      <c r="S43" s="13"/>
      <c r="T43" s="9" t="s">
        <v>244</v>
      </c>
      <c r="U43" s="13"/>
      <c r="V43" s="9" t="s">
        <v>35</v>
      </c>
      <c r="W43" s="13"/>
      <c r="X43" s="9">
        <v>2</v>
      </c>
    </row>
    <row r="44" spans="1:24">
      <c r="A44" s="13"/>
      <c r="B44" s="9" t="s">
        <v>245</v>
      </c>
      <c r="C44" s="9" t="str">
        <f>VLOOKUP(B44,[1]RXNS!$B:$C,1,)</f>
        <v>AICART</v>
      </c>
      <c r="D44" s="9" t="b">
        <f t="shared" si="0"/>
        <v>1</v>
      </c>
      <c r="E44" s="9" t="s">
        <v>246</v>
      </c>
      <c r="F44" s="9" t="s">
        <v>246</v>
      </c>
      <c r="G44" s="9" t="b">
        <f t="shared" si="1"/>
        <v>1</v>
      </c>
      <c r="H44" s="9" t="str">
        <f>VLOOKUP(B44,[1]RXNS!$B:$D,3,FALSE)</f>
        <v>10-Formyltetrahydrofolate[c] + 5-Amino-1-(5-Phospho-D-ribosyl)imidazole-4-carboxamide[c] &lt;=&gt; 5-Formamido-1-(5-phospho-D-ribosyl)imidazole-4-carboxamide[c] + 5,6,7,8-Tetrahydrofolate[c]</v>
      </c>
      <c r="I44" s="9" t="s">
        <v>247</v>
      </c>
      <c r="J44" s="9" t="s">
        <v>248</v>
      </c>
      <c r="K44" s="9" t="s">
        <v>247</v>
      </c>
      <c r="L44" s="9" t="b">
        <f t="shared" si="2"/>
        <v>1</v>
      </c>
      <c r="M44" s="9" t="b">
        <f t="shared" si="3"/>
        <v>1</v>
      </c>
      <c r="N44" s="9" t="s">
        <v>249</v>
      </c>
      <c r="O44" s="9">
        <v>-1000</v>
      </c>
      <c r="P44" s="9">
        <v>1000</v>
      </c>
      <c r="Q44" s="13"/>
      <c r="R44" s="13"/>
      <c r="S44" s="9" t="s">
        <v>250</v>
      </c>
      <c r="T44" s="9" t="s">
        <v>153</v>
      </c>
      <c r="U44" s="13"/>
      <c r="V44" s="9" t="s">
        <v>30</v>
      </c>
      <c r="W44" s="13"/>
      <c r="X44" s="9">
        <v>2</v>
      </c>
    </row>
    <row r="45" spans="1:24">
      <c r="A45" s="13"/>
      <c r="B45" s="9" t="s">
        <v>251</v>
      </c>
      <c r="C45" s="9" t="str">
        <f>VLOOKUP(B45,[1]RXNS!$B:$C,1,)</f>
        <v>AIRC</v>
      </c>
      <c r="D45" s="9" t="b">
        <f t="shared" si="0"/>
        <v>1</v>
      </c>
      <c r="E45" s="9" t="s">
        <v>252</v>
      </c>
      <c r="F45" s="9" t="s">
        <v>252</v>
      </c>
      <c r="G45" s="9" t="b">
        <f t="shared" si="1"/>
        <v>1</v>
      </c>
      <c r="H45" s="9" t="str">
        <f>VLOOKUP(B45,[1]RXNS!$B:$D,3,FALSE)</f>
        <v>5-amino-1-(5-phospho-D-ribosyl)imidazole[c] + CO2[c] =&gt; 5-amino-1-(5-phospho-D-ribosyl)imidazole-4-carboxylate[c] + H+[c]</v>
      </c>
      <c r="I45" s="9" t="s">
        <v>253</v>
      </c>
      <c r="J45" s="9" t="s">
        <v>254</v>
      </c>
      <c r="K45" s="9" t="s">
        <v>253</v>
      </c>
      <c r="L45" s="9" t="b">
        <f t="shared" si="2"/>
        <v>1</v>
      </c>
      <c r="M45" s="9" t="b">
        <f t="shared" si="3"/>
        <v>1</v>
      </c>
      <c r="N45" s="9" t="s">
        <v>255</v>
      </c>
      <c r="O45" s="9">
        <v>0</v>
      </c>
      <c r="P45" s="9">
        <v>1000</v>
      </c>
      <c r="Q45" s="13"/>
      <c r="R45" s="13"/>
      <c r="S45" s="13"/>
      <c r="T45" s="9" t="s">
        <v>153</v>
      </c>
      <c r="U45" s="13"/>
      <c r="V45" s="9" t="s">
        <v>30</v>
      </c>
      <c r="W45" s="13"/>
      <c r="X45" s="9">
        <v>2</v>
      </c>
    </row>
    <row r="46" spans="1:24">
      <c r="A46" s="13"/>
      <c r="B46" s="9" t="s">
        <v>256</v>
      </c>
      <c r="C46" s="9" t="str">
        <f>VLOOKUP(B46,[1]RXNS!$B:$C,1,)</f>
        <v>ALALAC</v>
      </c>
      <c r="D46" s="9" t="b">
        <f t="shared" si="0"/>
        <v>1</v>
      </c>
      <c r="E46" s="9" t="s">
        <v>257</v>
      </c>
      <c r="F46" s="9" t="s">
        <v>257</v>
      </c>
      <c r="G46" s="9" t="b">
        <f t="shared" si="1"/>
        <v>1</v>
      </c>
      <c r="H46" s="9" t="str">
        <f>VLOOKUP(B46,[1]RXNS!$B:$D,3,FALSE)</f>
        <v>D-Alanine[c] + ATP[c] + D-Lactate[c] &lt;=&gt; ADP[c] + D-Alanyl-D-lactate[c] + Phosphate[c]</v>
      </c>
      <c r="I46" s="9" t="s">
        <v>258</v>
      </c>
      <c r="J46" s="9" t="s">
        <v>259</v>
      </c>
      <c r="K46" s="9" t="s">
        <v>258</v>
      </c>
      <c r="L46" s="9" t="b">
        <f t="shared" si="2"/>
        <v>1</v>
      </c>
      <c r="M46" s="9" t="b">
        <f t="shared" si="3"/>
        <v>1</v>
      </c>
      <c r="N46" s="9" t="s">
        <v>260</v>
      </c>
      <c r="O46" s="9">
        <v>-1000</v>
      </c>
      <c r="P46" s="9">
        <v>1000</v>
      </c>
      <c r="Q46" s="13"/>
      <c r="R46" s="13"/>
      <c r="S46" s="13"/>
      <c r="T46" s="9" t="s">
        <v>261</v>
      </c>
      <c r="U46" s="13"/>
      <c r="V46" s="9" t="s">
        <v>30</v>
      </c>
      <c r="W46" s="13"/>
      <c r="X46" s="9">
        <v>2</v>
      </c>
    </row>
    <row r="47" spans="1:24">
      <c r="A47" s="13"/>
      <c r="B47" s="9" t="s">
        <v>262</v>
      </c>
      <c r="C47" s="9" t="str">
        <f>VLOOKUP(B47,[1]RXNS!$B:$C,1,)</f>
        <v>ALAR</v>
      </c>
      <c r="D47" s="9" t="b">
        <f t="shared" si="0"/>
        <v>1</v>
      </c>
      <c r="E47" s="9" t="s">
        <v>263</v>
      </c>
      <c r="F47" s="9" t="s">
        <v>263</v>
      </c>
      <c r="G47" s="9" t="b">
        <f t="shared" si="1"/>
        <v>1</v>
      </c>
      <c r="H47" s="9" t="str">
        <f>VLOOKUP(B47,[1]RXNS!$B:$D,3,FALSE)</f>
        <v>L-Alanine[c] &lt;=&gt; D-Alanine[c]</v>
      </c>
      <c r="I47" s="9" t="s">
        <v>264</v>
      </c>
      <c r="J47" s="9" t="s">
        <v>265</v>
      </c>
      <c r="K47" s="9" t="s">
        <v>264</v>
      </c>
      <c r="L47" s="9" t="b">
        <f t="shared" si="2"/>
        <v>1</v>
      </c>
      <c r="M47" s="9" t="b">
        <f t="shared" si="3"/>
        <v>1</v>
      </c>
      <c r="N47" s="9" t="s">
        <v>266</v>
      </c>
      <c r="O47" s="9">
        <v>-1000</v>
      </c>
      <c r="P47" s="9">
        <v>1000</v>
      </c>
      <c r="Q47" s="13"/>
      <c r="R47" s="13"/>
      <c r="S47" s="9" t="s">
        <v>267</v>
      </c>
      <c r="T47" s="9" t="s">
        <v>261</v>
      </c>
      <c r="U47" s="13"/>
      <c r="V47" s="9" t="s">
        <v>30</v>
      </c>
      <c r="W47" s="13"/>
      <c r="X47" s="9">
        <v>2</v>
      </c>
    </row>
    <row r="48" spans="1:24">
      <c r="A48" s="13"/>
      <c r="B48" s="9" t="s">
        <v>268</v>
      </c>
      <c r="C48" s="9" t="str">
        <f>VLOOKUP(B48,[1]RXNS!$B:$C,1,)</f>
        <v>ALATA_Lr</v>
      </c>
      <c r="D48" s="9" t="b">
        <f t="shared" si="0"/>
        <v>1</v>
      </c>
      <c r="E48" s="9" t="s">
        <v>269</v>
      </c>
      <c r="F48" s="9" t="s">
        <v>269</v>
      </c>
      <c r="G48" s="9" t="b">
        <f t="shared" si="1"/>
        <v>1</v>
      </c>
      <c r="H48" s="9" t="str">
        <f>VLOOKUP(B48,[1]RXNS!$B:$D,3,FALSE)</f>
        <v>L-Alanine[c] + Pyridoxal[c] &lt;=&gt; Pyridoxamine[c] + Pyruvate[c]</v>
      </c>
      <c r="I48" s="9" t="s">
        <v>270</v>
      </c>
      <c r="J48" s="9" t="s">
        <v>271</v>
      </c>
      <c r="K48" s="9" t="s">
        <v>270</v>
      </c>
      <c r="L48" s="9" t="b">
        <f t="shared" si="2"/>
        <v>1</v>
      </c>
      <c r="M48" s="9" t="b">
        <f t="shared" si="3"/>
        <v>1</v>
      </c>
      <c r="N48" s="13"/>
      <c r="O48" s="9">
        <v>-1000</v>
      </c>
      <c r="P48" s="9">
        <v>1000</v>
      </c>
      <c r="Q48" s="13"/>
      <c r="R48" s="13"/>
      <c r="S48" s="13"/>
      <c r="T48" s="9" t="s">
        <v>272</v>
      </c>
      <c r="U48" s="13"/>
      <c r="V48" s="9" t="s">
        <v>35</v>
      </c>
      <c r="W48" s="13"/>
      <c r="X48" s="9">
        <v>2</v>
      </c>
    </row>
    <row r="49" spans="1:24">
      <c r="A49" s="13"/>
      <c r="B49" s="9" t="s">
        <v>273</v>
      </c>
      <c r="C49" s="9" t="str">
        <f>VLOOKUP(B49,[1]RXNS!$B:$C,1,)</f>
        <v>ALATRS</v>
      </c>
      <c r="D49" s="9" t="b">
        <f t="shared" si="0"/>
        <v>1</v>
      </c>
      <c r="E49" s="9" t="s">
        <v>274</v>
      </c>
      <c r="F49" s="9" t="s">
        <v>274</v>
      </c>
      <c r="G49" s="9" t="b">
        <f t="shared" si="1"/>
        <v>1</v>
      </c>
      <c r="H49" s="9" t="str">
        <f>VLOOKUP(B49,[1]RXNS!$B:$D,3,FALSE)</f>
        <v>L-Alanine[c] + ATP[c] + tRNA(Ala)[c] =&gt; L-Alanyl-tRNA(Ala)[c] + AMP[c] + Diphosphate[c]</v>
      </c>
      <c r="I49" s="9" t="s">
        <v>275</v>
      </c>
      <c r="J49" s="9" t="s">
        <v>276</v>
      </c>
      <c r="K49" s="9" t="s">
        <v>275</v>
      </c>
      <c r="L49" s="9" t="b">
        <f t="shared" si="2"/>
        <v>1</v>
      </c>
      <c r="M49" s="9" t="b">
        <f t="shared" si="3"/>
        <v>1</v>
      </c>
      <c r="N49" s="9" t="s">
        <v>277</v>
      </c>
      <c r="O49" s="9">
        <v>0</v>
      </c>
      <c r="P49" s="9">
        <v>1000</v>
      </c>
      <c r="Q49" s="13"/>
      <c r="R49" s="13"/>
      <c r="S49" s="13"/>
      <c r="T49" s="9" t="s">
        <v>278</v>
      </c>
      <c r="U49" s="13"/>
      <c r="V49" s="9" t="s">
        <v>30</v>
      </c>
      <c r="W49" s="13"/>
      <c r="X49" s="9">
        <v>2</v>
      </c>
    </row>
    <row r="50" spans="1:24">
      <c r="A50" s="13"/>
      <c r="B50" s="9" t="s">
        <v>279</v>
      </c>
      <c r="C50" s="9" t="str">
        <f>VLOOKUP(B50,[1]RXNS!$B:$C,1,)</f>
        <v>ALA_Lt6</v>
      </c>
      <c r="D50" s="9" t="b">
        <f t="shared" si="0"/>
        <v>1</v>
      </c>
      <c r="E50" s="9" t="s">
        <v>280</v>
      </c>
      <c r="F50" s="9" t="s">
        <v>280</v>
      </c>
      <c r="G50" s="9" t="b">
        <f t="shared" si="1"/>
        <v>1</v>
      </c>
      <c r="H50" s="9" t="str">
        <f>VLOOKUP(B50,[1]RXNS!$B:$D,3,FALSE)</f>
        <v>L-Alanine[e] + H+[e] &lt;=&gt; L-Alanine[c] + H+[c]</v>
      </c>
      <c r="I50" s="9">
        <f>VLOOKUP(B50,[1]RXNS!$B:$E,4,FALSE)</f>
        <v>0</v>
      </c>
      <c r="J50" s="9" t="s">
        <v>281</v>
      </c>
      <c r="K50" s="13"/>
      <c r="L50" s="9" t="b">
        <f t="shared" si="2"/>
        <v>1</v>
      </c>
      <c r="M50" s="9" t="b">
        <f t="shared" si="3"/>
        <v>0</v>
      </c>
      <c r="N50" s="9" t="s">
        <v>282</v>
      </c>
      <c r="O50" s="9">
        <v>-1000</v>
      </c>
      <c r="P50" s="9">
        <v>1000</v>
      </c>
      <c r="Q50" s="13"/>
      <c r="R50" s="13"/>
      <c r="S50" s="13"/>
      <c r="T50" s="9" t="s">
        <v>146</v>
      </c>
      <c r="U50" s="13"/>
      <c r="V50" s="9" t="s">
        <v>30</v>
      </c>
      <c r="W50" s="13"/>
      <c r="X50" s="9">
        <v>2</v>
      </c>
    </row>
    <row r="51" spans="1:24">
      <c r="A51" s="13"/>
      <c r="B51" s="9" t="s">
        <v>283</v>
      </c>
      <c r="C51" s="9" t="str">
        <f>VLOOKUP(B51,[1]RXNS!$B:$C,1,)</f>
        <v>ALCD19</v>
      </c>
      <c r="D51" s="9" t="b">
        <f t="shared" si="0"/>
        <v>1</v>
      </c>
      <c r="E51" s="9" t="s">
        <v>284</v>
      </c>
      <c r="F51" s="9" t="s">
        <v>284</v>
      </c>
      <c r="G51" s="9" t="b">
        <f t="shared" si="1"/>
        <v>1</v>
      </c>
      <c r="H51" s="9" t="str">
        <f>VLOOKUP(B51,[1]RXNS!$B:$D,3,FALSE)</f>
        <v>D-Glyceraldehyde[c] + H+[c] + Nicotinamide adenine dinucleotide - reduced[c] &lt;=&gt; Glycerol[c] + Nicotinamide adenine dinucleotide[c]</v>
      </c>
      <c r="I51" s="9" t="s">
        <v>285</v>
      </c>
      <c r="J51" s="9" t="s">
        <v>286</v>
      </c>
      <c r="K51" s="9" t="s">
        <v>285</v>
      </c>
      <c r="L51" s="9" t="b">
        <f t="shared" si="2"/>
        <v>1</v>
      </c>
      <c r="M51" s="9" t="b">
        <f t="shared" si="3"/>
        <v>1</v>
      </c>
      <c r="N51" s="9" t="s">
        <v>287</v>
      </c>
      <c r="O51" s="9">
        <v>-1000</v>
      </c>
      <c r="P51" s="9">
        <v>1000</v>
      </c>
      <c r="Q51" s="13"/>
      <c r="R51" s="13"/>
      <c r="S51" s="9" t="s">
        <v>288</v>
      </c>
      <c r="T51" s="9" t="s">
        <v>228</v>
      </c>
      <c r="U51" s="13"/>
      <c r="V51" s="9" t="s">
        <v>30</v>
      </c>
      <c r="W51" s="13"/>
      <c r="X51" s="9">
        <v>2</v>
      </c>
    </row>
    <row r="52" spans="1:24">
      <c r="A52" s="13"/>
      <c r="B52" s="9" t="s">
        <v>289</v>
      </c>
      <c r="C52" s="9" t="str">
        <f>VLOOKUP(B52,[1]RXNS!$B:$C,1,)</f>
        <v>ALCD19_D</v>
      </c>
      <c r="D52" s="9" t="b">
        <f t="shared" si="0"/>
        <v>1</v>
      </c>
      <c r="E52" s="9" t="s">
        <v>290</v>
      </c>
      <c r="F52" s="9" t="s">
        <v>290</v>
      </c>
      <c r="G52" s="9" t="b">
        <f t="shared" si="1"/>
        <v>1</v>
      </c>
      <c r="H52" s="9" t="str">
        <f>VLOOKUP(B52,[1]RXNS!$B:$D,3,FALSE)</f>
        <v>D-Glyceraldehyde[c] + H+[c] + Nicotinamide adenine dinucleotide phosphate - reduced[c] &lt;=&gt; Glycerol[c] + Nicotinamide adenine dinucleotide phosphate[c]</v>
      </c>
      <c r="I52" s="9" t="s">
        <v>291</v>
      </c>
      <c r="J52" s="9" t="s">
        <v>292</v>
      </c>
      <c r="K52" s="9" t="s">
        <v>291</v>
      </c>
      <c r="L52" s="9" t="b">
        <f t="shared" si="2"/>
        <v>1</v>
      </c>
      <c r="M52" s="9" t="b">
        <f t="shared" si="3"/>
        <v>1</v>
      </c>
      <c r="N52" s="9" t="s">
        <v>293</v>
      </c>
      <c r="O52" s="9">
        <v>-1000</v>
      </c>
      <c r="P52" s="9">
        <v>1000</v>
      </c>
      <c r="Q52" s="13"/>
      <c r="R52" s="13"/>
      <c r="S52" s="13"/>
      <c r="T52" s="9" t="s">
        <v>228</v>
      </c>
      <c r="U52" s="13"/>
      <c r="V52" s="9" t="s">
        <v>30</v>
      </c>
      <c r="W52" s="13"/>
      <c r="X52" s="9">
        <v>2</v>
      </c>
    </row>
    <row r="53" spans="1:24">
      <c r="A53" s="13"/>
      <c r="B53" s="9" t="s">
        <v>294</v>
      </c>
      <c r="C53" s="9" t="str">
        <f>VLOOKUP(B53,[1]RXNS!$B:$C,1,)</f>
        <v>ALCD19_L</v>
      </c>
      <c r="D53" s="9" t="b">
        <f t="shared" si="0"/>
        <v>1</v>
      </c>
      <c r="E53" s="9" t="s">
        <v>295</v>
      </c>
      <c r="F53" s="9" t="s">
        <v>295</v>
      </c>
      <c r="G53" s="9" t="b">
        <f t="shared" si="1"/>
        <v>1</v>
      </c>
      <c r="H53" s="9" t="str">
        <f>VLOOKUP(B53,[1]RXNS!$B:$D,3,FALSE)</f>
        <v>L-Glyceraldehyde[c] + H+[c] + Nicotinamide adenine dinucleotide phosphate - reduced[c] &lt;=&gt; Glycerol[c] + Nicotinamide adenine dinucleotide phosphate[c]</v>
      </c>
      <c r="I53" s="9" t="s">
        <v>296</v>
      </c>
      <c r="J53" s="9" t="s">
        <v>297</v>
      </c>
      <c r="K53" s="9" t="s">
        <v>296</v>
      </c>
      <c r="L53" s="9" t="b">
        <f t="shared" si="2"/>
        <v>1</v>
      </c>
      <c r="M53" s="9" t="b">
        <f t="shared" si="3"/>
        <v>1</v>
      </c>
      <c r="N53" s="9" t="s">
        <v>293</v>
      </c>
      <c r="O53" s="9">
        <v>-1000</v>
      </c>
      <c r="P53" s="9">
        <v>1000</v>
      </c>
      <c r="Q53" s="13"/>
      <c r="R53" s="13"/>
      <c r="S53" s="9" t="s">
        <v>298</v>
      </c>
      <c r="T53" s="9" t="s">
        <v>228</v>
      </c>
      <c r="U53" s="13"/>
      <c r="V53" s="9" t="s">
        <v>30</v>
      </c>
      <c r="W53" s="13"/>
      <c r="X53" s="9">
        <v>2</v>
      </c>
    </row>
    <row r="54" spans="1:24">
      <c r="A54" s="13"/>
      <c r="B54" s="9" t="s">
        <v>299</v>
      </c>
      <c r="C54" s="9" t="str">
        <f>VLOOKUP(B54,[1]RXNS!$B:$C,1,)</f>
        <v>ALCD23x</v>
      </c>
      <c r="D54" s="9" t="b">
        <f t="shared" si="0"/>
        <v>1</v>
      </c>
      <c r="E54" s="9" t="s">
        <v>300</v>
      </c>
      <c r="F54" s="9" t="s">
        <v>300</v>
      </c>
      <c r="G54" s="9" t="b">
        <f t="shared" si="1"/>
        <v>1</v>
      </c>
      <c r="H54" s="9" t="str">
        <f>VLOOKUP(B54,[1]RXNS!$B:$D,3,FALSE)</f>
        <v>2-methylpropanal[c] + H+[c] + Nicotinamide adenine dinucleotide - reduced[c] &lt;=&gt; 2-methylpropanol[c] + Nicotinamide adenine dinucleotide[c]</v>
      </c>
      <c r="I54" s="9" t="s">
        <v>301</v>
      </c>
      <c r="J54" s="9" t="s">
        <v>302</v>
      </c>
      <c r="K54" s="9" t="s">
        <v>301</v>
      </c>
      <c r="L54" s="9" t="b">
        <f t="shared" si="2"/>
        <v>1</v>
      </c>
      <c r="M54" s="9" t="b">
        <f t="shared" si="3"/>
        <v>1</v>
      </c>
      <c r="N54" s="13"/>
      <c r="O54" s="9">
        <v>-1000</v>
      </c>
      <c r="P54" s="9">
        <v>1000</v>
      </c>
      <c r="Q54" s="13"/>
      <c r="R54" s="13"/>
      <c r="S54" s="13"/>
      <c r="T54" s="9" t="s">
        <v>29</v>
      </c>
      <c r="U54" s="13"/>
      <c r="V54" s="9" t="s">
        <v>35</v>
      </c>
      <c r="W54" s="13"/>
      <c r="X54" s="9">
        <v>2</v>
      </c>
    </row>
    <row r="55" spans="1:24">
      <c r="A55" s="13"/>
      <c r="B55" s="9" t="s">
        <v>303</v>
      </c>
      <c r="C55" s="9" t="str">
        <f>VLOOKUP(B55,[1]RXNS!$B:$C,1,)</f>
        <v>ALCD2x</v>
      </c>
      <c r="D55" s="9" t="b">
        <f t="shared" si="0"/>
        <v>1</v>
      </c>
      <c r="E55" s="9" t="s">
        <v>304</v>
      </c>
      <c r="F55" s="9" t="s">
        <v>304</v>
      </c>
      <c r="G55" s="9" t="b">
        <f t="shared" si="1"/>
        <v>1</v>
      </c>
      <c r="H55" s="9" t="str">
        <f>VLOOKUP(B55,[1]RXNS!$B:$D,3,FALSE)</f>
        <v>Ethanol[c] + Nicotinamide adenine dinucleotide[c] &lt;=&gt; Acetaldehyde[c] + H+[c] + Nicotinamide adenine dinucleotide - reduced[c]</v>
      </c>
      <c r="I55" s="9" t="s">
        <v>305</v>
      </c>
      <c r="J55" s="9" t="s">
        <v>306</v>
      </c>
      <c r="K55" s="9" t="s">
        <v>305</v>
      </c>
      <c r="L55" s="9" t="b">
        <f t="shared" si="2"/>
        <v>1</v>
      </c>
      <c r="M55" s="9" t="b">
        <f t="shared" si="3"/>
        <v>1</v>
      </c>
      <c r="N55" s="9" t="s">
        <v>307</v>
      </c>
      <c r="O55" s="9">
        <v>-1000</v>
      </c>
      <c r="P55" s="9">
        <v>1000</v>
      </c>
      <c r="Q55" s="13"/>
      <c r="R55" s="13"/>
      <c r="S55" s="9" t="s">
        <v>308</v>
      </c>
      <c r="T55" s="9" t="s">
        <v>74</v>
      </c>
      <c r="U55" s="13"/>
      <c r="V55" s="9" t="s">
        <v>30</v>
      </c>
      <c r="W55" s="13"/>
      <c r="X55" s="9">
        <v>2</v>
      </c>
    </row>
    <row r="56" spans="1:24">
      <c r="A56" s="13"/>
      <c r="B56" s="9" t="s">
        <v>309</v>
      </c>
      <c r="C56" s="9" t="str">
        <f>VLOOKUP(B56,[1]RXNS!$B:$C,1,)</f>
        <v>ALCD3</v>
      </c>
      <c r="D56" s="9" t="b">
        <f t="shared" si="0"/>
        <v>1</v>
      </c>
      <c r="E56" s="9" t="s">
        <v>310</v>
      </c>
      <c r="F56" s="9" t="s">
        <v>310</v>
      </c>
      <c r="G56" s="9" t="b">
        <f t="shared" si="1"/>
        <v>1</v>
      </c>
      <c r="H56" s="9" t="str">
        <f>VLOOKUP(B56,[1]RXNS!$B:$D,3,FALSE)</f>
        <v>Nicotinamide adenine dinucleotide[c] + 1-Propanol[c] &lt;=&gt; H+[c] + Nicotinamide adenine dinucleotide - reduced[c] + Propanal[c]</v>
      </c>
      <c r="I56" s="9" t="s">
        <v>311</v>
      </c>
      <c r="J56" s="9" t="s">
        <v>312</v>
      </c>
      <c r="K56" s="9" t="s">
        <v>311</v>
      </c>
      <c r="L56" s="9" t="b">
        <f t="shared" si="2"/>
        <v>1</v>
      </c>
      <c r="M56" s="9" t="b">
        <f t="shared" si="3"/>
        <v>1</v>
      </c>
      <c r="N56" s="9" t="s">
        <v>313</v>
      </c>
      <c r="O56" s="9">
        <v>-1000</v>
      </c>
      <c r="P56" s="9">
        <v>1000</v>
      </c>
      <c r="Q56" s="13"/>
      <c r="R56" s="13"/>
      <c r="S56" s="13"/>
      <c r="T56" s="9" t="s">
        <v>314</v>
      </c>
      <c r="U56" s="13"/>
      <c r="V56" s="9" t="s">
        <v>30</v>
      </c>
      <c r="W56" s="13"/>
      <c r="X56" s="9">
        <v>2</v>
      </c>
    </row>
    <row r="57" spans="1:24">
      <c r="A57" s="13"/>
      <c r="B57" s="9" t="s">
        <v>315</v>
      </c>
      <c r="C57" s="9" t="str">
        <f>VLOOKUP(B57,[1]RXNS!$B:$C,1,)</f>
        <v>ALDD2x</v>
      </c>
      <c r="D57" s="9" t="b">
        <f t="shared" si="0"/>
        <v>1</v>
      </c>
      <c r="E57" s="9" t="s">
        <v>316</v>
      </c>
      <c r="F57" s="9" t="s">
        <v>316</v>
      </c>
      <c r="G57" s="9" t="b">
        <f t="shared" si="1"/>
        <v>1</v>
      </c>
      <c r="H57" s="9" t="str">
        <f>VLOOKUP(B57,[1]RXNS!$B:$D,3,FALSE)</f>
        <v>Acetaldehyde[c] + H2O[c] + Nicotinamide adenine dinucleotide[c] =&gt; Acetate[c] + 2 H+[c] + Nicotinamide adenine dinucleotide - reduced[c]</v>
      </c>
      <c r="I57" s="9" t="s">
        <v>317</v>
      </c>
      <c r="J57" s="9" t="s">
        <v>318</v>
      </c>
      <c r="K57" s="9" t="s">
        <v>317</v>
      </c>
      <c r="L57" s="9" t="b">
        <f t="shared" si="2"/>
        <v>1</v>
      </c>
      <c r="M57" s="9" t="b">
        <f t="shared" si="3"/>
        <v>1</v>
      </c>
      <c r="N57" s="9" t="s">
        <v>79</v>
      </c>
      <c r="O57" s="9">
        <v>0</v>
      </c>
      <c r="P57" s="9">
        <v>1000</v>
      </c>
      <c r="Q57" s="13"/>
      <c r="R57" s="13"/>
      <c r="S57" s="9" t="s">
        <v>319</v>
      </c>
      <c r="T57" s="9" t="s">
        <v>74</v>
      </c>
      <c r="U57" s="13"/>
      <c r="V57" s="9" t="s">
        <v>30</v>
      </c>
      <c r="W57" s="13"/>
      <c r="X57" s="9">
        <v>2</v>
      </c>
    </row>
    <row r="58" spans="1:24">
      <c r="A58" s="13"/>
      <c r="B58" s="9" t="s">
        <v>320</v>
      </c>
      <c r="C58" s="9" t="str">
        <f>VLOOKUP(B58,[1]RXNS!$B:$C,1,)</f>
        <v>ALDD8x</v>
      </c>
      <c r="D58" s="9" t="b">
        <f t="shared" si="0"/>
        <v>1</v>
      </c>
      <c r="E58" s="9" t="s">
        <v>321</v>
      </c>
      <c r="F58" s="9" t="s">
        <v>321</v>
      </c>
      <c r="G58" s="9" t="b">
        <f t="shared" si="1"/>
        <v>1</v>
      </c>
      <c r="H58" s="9" t="str">
        <f>VLOOKUP(B58,[1]RXNS!$B:$D,3,FALSE)</f>
        <v>D-Glyceraldehyde[c] + H2O[c] + Nicotinamide adenine dinucleotide[c] =&gt; (R)-Glycerate[c] + 2 H+[c] + Nicotinamide adenine dinucleotide - reduced[c]</v>
      </c>
      <c r="I58" s="9" t="s">
        <v>322</v>
      </c>
      <c r="J58" s="9" t="s">
        <v>323</v>
      </c>
      <c r="K58" s="9" t="s">
        <v>322</v>
      </c>
      <c r="L58" s="9" t="b">
        <f t="shared" si="2"/>
        <v>1</v>
      </c>
      <c r="M58" s="9" t="b">
        <f t="shared" si="3"/>
        <v>1</v>
      </c>
      <c r="N58" s="9" t="s">
        <v>79</v>
      </c>
      <c r="O58" s="9">
        <v>0</v>
      </c>
      <c r="P58" s="9">
        <v>1000</v>
      </c>
      <c r="Q58" s="13"/>
      <c r="R58" s="13"/>
      <c r="S58" s="13"/>
      <c r="T58" s="9" t="s">
        <v>228</v>
      </c>
      <c r="U58" s="13"/>
      <c r="V58" s="9" t="s">
        <v>30</v>
      </c>
      <c r="W58" s="13"/>
      <c r="X58" s="9">
        <v>2</v>
      </c>
    </row>
    <row r="59" spans="1:24">
      <c r="A59" s="13"/>
      <c r="B59" s="9" t="s">
        <v>324</v>
      </c>
      <c r="C59" s="9" t="str">
        <f>VLOOKUP(B59,[1]RXNS!$B:$C,1,)</f>
        <v>ALKP</v>
      </c>
      <c r="D59" s="9" t="b">
        <f t="shared" si="0"/>
        <v>1</v>
      </c>
      <c r="E59" s="9" t="s">
        <v>325</v>
      </c>
      <c r="F59" s="9" t="s">
        <v>325</v>
      </c>
      <c r="G59" s="9" t="b">
        <f t="shared" si="1"/>
        <v>1</v>
      </c>
      <c r="H59" s="9" t="str">
        <f>VLOOKUP(B59,[1]RXNS!$B:$D,3,FALSE)</f>
        <v>Dihydroxyacetone phosphate[c] + H2O[c] =&gt; Dihydroxyacetone[c] + Phosphate[c]</v>
      </c>
      <c r="I59" s="9" t="s">
        <v>326</v>
      </c>
      <c r="J59" s="9" t="s">
        <v>327</v>
      </c>
      <c r="K59" s="9" t="s">
        <v>326</v>
      </c>
      <c r="L59" s="9" t="b">
        <f t="shared" si="2"/>
        <v>1</v>
      </c>
      <c r="M59" s="9" t="b">
        <f t="shared" si="3"/>
        <v>1</v>
      </c>
      <c r="N59" s="9" t="s">
        <v>328</v>
      </c>
      <c r="O59" s="9">
        <v>0</v>
      </c>
      <c r="P59" s="9">
        <v>1000</v>
      </c>
      <c r="Q59" s="13"/>
      <c r="R59" s="13"/>
      <c r="S59" s="9" t="s">
        <v>329</v>
      </c>
      <c r="T59" s="9" t="s">
        <v>330</v>
      </c>
      <c r="U59" s="13"/>
      <c r="V59" s="9" t="s">
        <v>30</v>
      </c>
      <c r="W59" s="13"/>
      <c r="X59" s="9">
        <v>2</v>
      </c>
    </row>
    <row r="60" spans="1:24">
      <c r="A60" s="13"/>
      <c r="B60" s="9" t="s">
        <v>331</v>
      </c>
      <c r="C60" s="9" t="str">
        <f>VLOOKUP(B60,[1]RXNS!$B:$C,1,)</f>
        <v>ALR2</v>
      </c>
      <c r="D60" s="9" t="b">
        <f t="shared" si="0"/>
        <v>1</v>
      </c>
      <c r="E60" s="9" t="s">
        <v>332</v>
      </c>
      <c r="F60" s="9" t="s">
        <v>332</v>
      </c>
      <c r="G60" s="9" t="b">
        <f t="shared" si="1"/>
        <v>1</v>
      </c>
      <c r="H60" s="9" t="str">
        <f>VLOOKUP(B60,[1]RXNS!$B:$D,3,FALSE)</f>
        <v>H+[c] + Methylglyoxal[c] + Nicotinamide adenine dinucleotide phosphate - reduced[c] =&gt; Acetol cytosol[c] + Nicotinamide adenine dinucleotide phosphate[c]</v>
      </c>
      <c r="I60" s="9" t="s">
        <v>333</v>
      </c>
      <c r="J60" s="9" t="s">
        <v>334</v>
      </c>
      <c r="K60" s="9" t="s">
        <v>333</v>
      </c>
      <c r="L60" s="9" t="b">
        <f t="shared" si="2"/>
        <v>1</v>
      </c>
      <c r="M60" s="9" t="b">
        <f t="shared" si="3"/>
        <v>1</v>
      </c>
      <c r="N60" s="9" t="s">
        <v>335</v>
      </c>
      <c r="O60" s="9">
        <v>0</v>
      </c>
      <c r="P60" s="9">
        <v>1000</v>
      </c>
      <c r="Q60" s="13"/>
      <c r="R60" s="13"/>
      <c r="S60" s="9" t="s">
        <v>336</v>
      </c>
      <c r="T60" s="9" t="s">
        <v>314</v>
      </c>
      <c r="U60" s="13"/>
      <c r="V60" s="9" t="s">
        <v>30</v>
      </c>
      <c r="W60" s="13"/>
      <c r="X60" s="9">
        <v>2</v>
      </c>
    </row>
    <row r="61" spans="1:24">
      <c r="A61" s="13"/>
      <c r="B61" s="9" t="s">
        <v>337</v>
      </c>
      <c r="C61" s="9" t="str">
        <f>VLOOKUP(B61,[1]RXNS!$B:$C,1,)</f>
        <v>ALR4x</v>
      </c>
      <c r="D61" s="9" t="b">
        <f t="shared" si="0"/>
        <v>1</v>
      </c>
      <c r="E61" s="9" t="s">
        <v>338</v>
      </c>
      <c r="F61" s="9" t="s">
        <v>338</v>
      </c>
      <c r="G61" s="9" t="b">
        <f t="shared" si="1"/>
        <v>1</v>
      </c>
      <c r="H61" s="9" t="str">
        <f>VLOOKUP(B61,[1]RXNS!$B:$D,3,FALSE)</f>
        <v>Acetol cytosol[c] + H+[c] + Nicotinamide adenine dinucleotide - reduced[c] =&gt; (R)-Propane-1,2-diol[c] + Nicotinamide adenine dinucleotide[c]</v>
      </c>
      <c r="I61" s="9" t="s">
        <v>339</v>
      </c>
      <c r="J61" s="9" t="s">
        <v>340</v>
      </c>
      <c r="K61" s="9" t="s">
        <v>339</v>
      </c>
      <c r="L61" s="9" t="b">
        <f t="shared" si="2"/>
        <v>1</v>
      </c>
      <c r="M61" s="9" t="b">
        <f t="shared" si="3"/>
        <v>1</v>
      </c>
      <c r="N61" s="9" t="s">
        <v>335</v>
      </c>
      <c r="O61" s="9">
        <v>0</v>
      </c>
      <c r="P61" s="9">
        <v>1000</v>
      </c>
      <c r="Q61" s="13"/>
      <c r="R61" s="13"/>
      <c r="S61" s="9" t="s">
        <v>341</v>
      </c>
      <c r="T61" s="9" t="s">
        <v>314</v>
      </c>
      <c r="U61" s="13"/>
      <c r="V61" s="9" t="s">
        <v>30</v>
      </c>
      <c r="W61" s="13"/>
      <c r="X61" s="9">
        <v>2</v>
      </c>
    </row>
    <row r="62" spans="1:24">
      <c r="A62" s="13"/>
      <c r="B62" s="9" t="s">
        <v>342</v>
      </c>
      <c r="C62" s="9" t="str">
        <f>VLOOKUP(B62,[1]RXNS!$B:$C,1,)</f>
        <v>AMAA</v>
      </c>
      <c r="D62" s="9" t="b">
        <f t="shared" si="0"/>
        <v>1</v>
      </c>
      <c r="E62" s="9" t="s">
        <v>343</v>
      </c>
      <c r="F62" s="9" t="s">
        <v>343</v>
      </c>
      <c r="G62" s="9" t="b">
        <f t="shared" si="1"/>
        <v>1</v>
      </c>
      <c r="H62" s="9" t="str">
        <f>VLOOKUP(B62,[1]RXNS!$B:$D,3,FALSE)</f>
        <v>N-Acetyl-D-muramoyl-L-alanine[c] + H2O[c] =&gt; N-Acetyl-D-muramoate[c] + L-Alanine[c]</v>
      </c>
      <c r="I62" s="9" t="s">
        <v>344</v>
      </c>
      <c r="J62" s="9" t="s">
        <v>345</v>
      </c>
      <c r="K62" s="9" t="s">
        <v>344</v>
      </c>
      <c r="L62" s="9" t="b">
        <f t="shared" si="2"/>
        <v>1</v>
      </c>
      <c r="M62" s="9" t="b">
        <f t="shared" si="3"/>
        <v>1</v>
      </c>
      <c r="N62" s="9" t="s">
        <v>346</v>
      </c>
      <c r="O62" s="9">
        <v>0</v>
      </c>
      <c r="P62" s="9">
        <v>1000</v>
      </c>
      <c r="Q62" s="13"/>
      <c r="R62" s="13"/>
      <c r="S62" s="9" t="s">
        <v>347</v>
      </c>
      <c r="T62" s="9" t="s">
        <v>348</v>
      </c>
      <c r="U62" s="13"/>
      <c r="V62" s="9" t="s">
        <v>30</v>
      </c>
      <c r="W62" s="13"/>
      <c r="X62" s="9">
        <v>2</v>
      </c>
    </row>
    <row r="63" spans="1:24">
      <c r="A63" s="13"/>
      <c r="B63" s="9" t="s">
        <v>349</v>
      </c>
      <c r="C63" s="9" t="str">
        <f>VLOOKUP(B63,[1]RXNS!$B:$C,1,)</f>
        <v>AMMQT7</v>
      </c>
      <c r="D63" s="9" t="b">
        <f t="shared" si="0"/>
        <v>1</v>
      </c>
      <c r="E63" s="9" t="s">
        <v>350</v>
      </c>
      <c r="F63" s="9" t="s">
        <v>350</v>
      </c>
      <c r="G63" s="9" t="b">
        <f t="shared" si="1"/>
        <v>1</v>
      </c>
      <c r="H63" s="9" t="str">
        <f>VLOOKUP(B63,[1]RXNS!$B:$D,3,FALSE)</f>
        <v>2-Demethylmenaquinone 7[c] + S-Adenosyl-L-methionine[c] + Nicotinamide adenine dinucleotide phosphate - reduced[c] =&gt; S-Adenosyl-L-homocysteine[c] + Menaquinol 7[c] + Nicotinamide adenine dinucleotide phosphate[c]</v>
      </c>
      <c r="I63" s="9" t="s">
        <v>351</v>
      </c>
      <c r="J63" s="9" t="s">
        <v>352</v>
      </c>
      <c r="K63" s="9" t="s">
        <v>351</v>
      </c>
      <c r="L63" s="9" t="b">
        <f t="shared" si="2"/>
        <v>1</v>
      </c>
      <c r="M63" s="9" t="b">
        <f t="shared" si="3"/>
        <v>1</v>
      </c>
      <c r="N63" s="9" t="s">
        <v>353</v>
      </c>
      <c r="O63" s="9">
        <v>0</v>
      </c>
      <c r="P63" s="9">
        <v>1000</v>
      </c>
      <c r="Q63" s="13"/>
      <c r="R63" s="13"/>
      <c r="S63" s="9" t="s">
        <v>354</v>
      </c>
      <c r="T63" s="9" t="s">
        <v>355</v>
      </c>
      <c r="U63" s="13"/>
      <c r="V63" s="9" t="s">
        <v>30</v>
      </c>
      <c r="W63" s="13"/>
      <c r="X63" s="9">
        <v>2</v>
      </c>
    </row>
    <row r="64" spans="1:24">
      <c r="A64" s="13"/>
      <c r="B64" s="9" t="s">
        <v>356</v>
      </c>
      <c r="C64" s="9" t="str">
        <f>VLOOKUP(B64,[1]RXNS!$B:$C,1,)</f>
        <v>AMMQT8_2</v>
      </c>
      <c r="D64" s="9" t="b">
        <f t="shared" si="0"/>
        <v>1</v>
      </c>
      <c r="E64" s="9" t="s">
        <v>357</v>
      </c>
      <c r="F64" s="9" t="s">
        <v>357</v>
      </c>
      <c r="G64" s="9" t="b">
        <f t="shared" si="1"/>
        <v>1</v>
      </c>
      <c r="H64" s="9" t="str">
        <f>VLOOKUP(B64,[1]RXNS!$B:$D,3,FALSE)</f>
        <v>2-Demethylmenaquinone 8[c] + S-Adenosyl-L-methionine[c] =&gt; S-Adenosyl-L-homocysteine[c] + H+[c] + Menaquinone 8[c]</v>
      </c>
      <c r="I64" s="9" t="s">
        <v>351</v>
      </c>
      <c r="J64" s="9" t="s">
        <v>358</v>
      </c>
      <c r="K64" s="9" t="s">
        <v>351</v>
      </c>
      <c r="L64" s="9" t="b">
        <f t="shared" si="2"/>
        <v>1</v>
      </c>
      <c r="M64" s="9" t="b">
        <f t="shared" si="3"/>
        <v>1</v>
      </c>
      <c r="N64" s="9" t="s">
        <v>353</v>
      </c>
      <c r="O64" s="9">
        <v>0</v>
      </c>
      <c r="P64" s="9">
        <v>1000</v>
      </c>
      <c r="Q64" s="13"/>
      <c r="R64" s="13"/>
      <c r="S64" s="9" t="s">
        <v>359</v>
      </c>
      <c r="T64" s="9" t="s">
        <v>355</v>
      </c>
      <c r="U64" s="13"/>
      <c r="V64" s="9" t="s">
        <v>30</v>
      </c>
      <c r="W64" s="13"/>
      <c r="X64" s="9">
        <v>2</v>
      </c>
    </row>
    <row r="65" spans="1:24">
      <c r="A65" s="13"/>
      <c r="B65" s="9" t="s">
        <v>360</v>
      </c>
      <c r="C65" s="9" t="str">
        <f>VLOOKUP(B65,[1]RXNS!$B:$C,1,)</f>
        <v>AOBUTDs</v>
      </c>
      <c r="D65" s="9" t="b">
        <f t="shared" si="0"/>
        <v>1</v>
      </c>
      <c r="E65" s="9" t="s">
        <v>361</v>
      </c>
      <c r="F65" s="9" t="s">
        <v>361</v>
      </c>
      <c r="G65" s="9" t="b">
        <f t="shared" si="1"/>
        <v>1</v>
      </c>
      <c r="H65" s="9" t="str">
        <f>VLOOKUP(B65,[1]RXNS!$B:$D,3,FALSE)</f>
        <v>L-2-Amino-3-oxobutanoate[c] + H+[c] =&gt; Aminoacetone[c] + CO2[c]</v>
      </c>
      <c r="I65" s="9" t="s">
        <v>362</v>
      </c>
      <c r="J65" s="9" t="s">
        <v>363</v>
      </c>
      <c r="K65" s="9" t="s">
        <v>362</v>
      </c>
      <c r="L65" s="9" t="b">
        <f t="shared" si="2"/>
        <v>1</v>
      </c>
      <c r="M65" s="9" t="b">
        <f t="shared" si="3"/>
        <v>1</v>
      </c>
      <c r="N65" s="13"/>
      <c r="O65" s="9">
        <v>0</v>
      </c>
      <c r="P65" s="9">
        <v>1000</v>
      </c>
      <c r="Q65" s="13"/>
      <c r="R65" s="13"/>
      <c r="S65" s="13"/>
      <c r="T65" s="9" t="s">
        <v>364</v>
      </c>
      <c r="U65" s="13"/>
      <c r="V65" s="9" t="s">
        <v>35</v>
      </c>
      <c r="W65" s="13"/>
      <c r="X65" s="9">
        <v>2</v>
      </c>
    </row>
    <row r="66" spans="1:24">
      <c r="A66" s="13"/>
      <c r="B66" s="9" t="s">
        <v>365</v>
      </c>
      <c r="C66" s="9" t="str">
        <f>VLOOKUP(B66,[1]RXNS!$B:$C,1,)</f>
        <v>AP4AH</v>
      </c>
      <c r="D66" s="9" t="b">
        <f t="shared" ref="D66:D129" si="4">EXACT(B66,C66)</f>
        <v>1</v>
      </c>
      <c r="E66" s="9" t="s">
        <v>366</v>
      </c>
      <c r="F66" s="9" t="s">
        <v>366</v>
      </c>
      <c r="G66" s="9" t="b">
        <f t="shared" ref="G66:G129" si="5">EXACT(E66,F66)</f>
        <v>1</v>
      </c>
      <c r="H66" s="9" t="str">
        <f>VLOOKUP(B66,[1]RXNS!$B:$D,3,FALSE)</f>
        <v>P1,P4-Bis(5'-adenosyl) tetraphosphate[c] + H2O[c] =&gt; 2 ADP[c] + 2 H+[c]</v>
      </c>
      <c r="I66" s="9" t="s">
        <v>367</v>
      </c>
      <c r="J66" s="9" t="s">
        <v>368</v>
      </c>
      <c r="K66" s="9" t="s">
        <v>367</v>
      </c>
      <c r="L66" s="9" t="b">
        <f t="shared" ref="L66:L129" si="6">EXACT(H66,J66)</f>
        <v>1</v>
      </c>
      <c r="M66" s="9" t="b">
        <f t="shared" ref="M66:M129" si="7">EXACT(I66,K66)</f>
        <v>1</v>
      </c>
      <c r="N66" s="9" t="s">
        <v>369</v>
      </c>
      <c r="O66" s="9">
        <v>0</v>
      </c>
      <c r="P66" s="9">
        <v>1000</v>
      </c>
      <c r="Q66" s="13"/>
      <c r="R66" s="13"/>
      <c r="S66" s="9" t="s">
        <v>370</v>
      </c>
      <c r="T66" s="9" t="s">
        <v>153</v>
      </c>
      <c r="U66" s="13"/>
      <c r="V66" s="9" t="s">
        <v>30</v>
      </c>
      <c r="W66" s="13"/>
      <c r="X66" s="9">
        <v>2</v>
      </c>
    </row>
    <row r="67" spans="1:24">
      <c r="A67" s="13"/>
      <c r="B67" s="9" t="s">
        <v>371</v>
      </c>
      <c r="C67" s="9" t="str">
        <f>VLOOKUP(B67,[1]RXNS!$B:$C,1,)</f>
        <v>APAT</v>
      </c>
      <c r="D67" s="9" t="b">
        <f t="shared" si="4"/>
        <v>1</v>
      </c>
      <c r="E67" s="9" t="s">
        <v>372</v>
      </c>
      <c r="F67" s="9" t="s">
        <v>372</v>
      </c>
      <c r="G67" s="9" t="b">
        <f t="shared" si="5"/>
        <v>1</v>
      </c>
      <c r="H67" s="9" t="str">
        <f>VLOOKUP(B67,[1]RXNS!$B:$D,3,FALSE)</f>
        <v>Acetyl-CoA[c] + H2O[c] + 2,3,4,5-Tetrahydrodipicolinate[c] &lt;=&gt; N-Acetyl-L-2-amino-6-oxopimelate[c] + Coenzyme A[c]</v>
      </c>
      <c r="I67" s="9" t="s">
        <v>373</v>
      </c>
      <c r="J67" s="9" t="s">
        <v>374</v>
      </c>
      <c r="K67" s="9" t="s">
        <v>373</v>
      </c>
      <c r="L67" s="9" t="b">
        <f t="shared" si="6"/>
        <v>1</v>
      </c>
      <c r="M67" s="9" t="b">
        <f t="shared" si="7"/>
        <v>1</v>
      </c>
      <c r="N67" s="9" t="s">
        <v>375</v>
      </c>
      <c r="O67" s="9">
        <v>-1000</v>
      </c>
      <c r="P67" s="9">
        <v>1000</v>
      </c>
      <c r="Q67" s="13"/>
      <c r="R67" s="13"/>
      <c r="S67" s="13"/>
      <c r="T67" s="9" t="s">
        <v>188</v>
      </c>
      <c r="U67" s="13"/>
      <c r="V67" s="9" t="s">
        <v>30</v>
      </c>
      <c r="W67" s="13"/>
      <c r="X67" s="9">
        <v>2</v>
      </c>
    </row>
    <row r="68" spans="1:24">
      <c r="A68" s="13"/>
      <c r="B68" s="9" t="s">
        <v>376</v>
      </c>
      <c r="C68" s="9" t="str">
        <f>VLOOKUP(B68,[1]RXNS!$B:$C,1,)</f>
        <v>APPLDHr</v>
      </c>
      <c r="D68" s="9" t="b">
        <f t="shared" si="4"/>
        <v>1</v>
      </c>
      <c r="E68" s="9" t="s">
        <v>377</v>
      </c>
      <c r="F68" s="9" t="s">
        <v>377</v>
      </c>
      <c r="G68" s="9" t="b">
        <f t="shared" si="5"/>
        <v>1</v>
      </c>
      <c r="H68" s="9" t="str">
        <f>VLOOKUP(B68,[1]RXNS!$B:$D,3,FALSE)</f>
        <v>Aminoacetone[c] + H+[c] + Nicotinamide adenine dinucleotide - reduced[c] &lt;=&gt; 1-Aminopropan-2-ol[c] + Nicotinamide adenine dinucleotide[c]</v>
      </c>
      <c r="I68" s="9" t="s">
        <v>378</v>
      </c>
      <c r="J68" s="9" t="s">
        <v>379</v>
      </c>
      <c r="K68" s="9" t="s">
        <v>378</v>
      </c>
      <c r="L68" s="9" t="b">
        <f t="shared" si="6"/>
        <v>1</v>
      </c>
      <c r="M68" s="9" t="b">
        <f t="shared" si="7"/>
        <v>1</v>
      </c>
      <c r="N68" s="9" t="s">
        <v>335</v>
      </c>
      <c r="O68" s="9">
        <v>-1000</v>
      </c>
      <c r="P68" s="9">
        <v>1000</v>
      </c>
      <c r="Q68" s="13"/>
      <c r="R68" s="13"/>
      <c r="S68" s="9" t="s">
        <v>380</v>
      </c>
      <c r="T68" s="9" t="s">
        <v>364</v>
      </c>
      <c r="U68" s="13"/>
      <c r="V68" s="9" t="s">
        <v>30</v>
      </c>
      <c r="W68" s="13"/>
      <c r="X68" s="9">
        <v>2</v>
      </c>
    </row>
    <row r="69" spans="1:24">
      <c r="A69" s="13"/>
      <c r="B69" s="9" t="s">
        <v>381</v>
      </c>
      <c r="C69" s="9" t="str">
        <f>VLOOKUP(B69,[1]RXNS!$B:$C,1,)</f>
        <v>APRAUR</v>
      </c>
      <c r="D69" s="9" t="b">
        <f t="shared" si="4"/>
        <v>1</v>
      </c>
      <c r="E69" s="9" t="s">
        <v>382</v>
      </c>
      <c r="F69" s="9" t="s">
        <v>382</v>
      </c>
      <c r="G69" s="9" t="b">
        <f t="shared" si="5"/>
        <v>1</v>
      </c>
      <c r="H69" s="9" t="str">
        <f>VLOOKUP(B69,[1]RXNS!$B:$D,3,FALSE)</f>
        <v>5-Amino-6-(5'-phosphoribosylamino)uracil[c] + H+[c] + Nicotinamide adenine dinucleotide phosphate - reduced[c] =&gt; 5-Amino-6-(5'-phosphoribitylamino)uracil[c] + Nicotinamide adenine dinucleotide phosphate[c]</v>
      </c>
      <c r="I69" s="9" t="s">
        <v>383</v>
      </c>
      <c r="J69" s="9" t="s">
        <v>384</v>
      </c>
      <c r="K69" s="9" t="s">
        <v>383</v>
      </c>
      <c r="L69" s="9" t="b">
        <f t="shared" si="6"/>
        <v>1</v>
      </c>
      <c r="M69" s="9" t="b">
        <f t="shared" si="7"/>
        <v>1</v>
      </c>
      <c r="N69" s="9" t="s">
        <v>385</v>
      </c>
      <c r="O69" s="9">
        <v>0</v>
      </c>
      <c r="P69" s="9">
        <v>1000</v>
      </c>
      <c r="Q69" s="13"/>
      <c r="R69" s="13"/>
      <c r="S69" s="9" t="s">
        <v>386</v>
      </c>
      <c r="T69" s="9" t="s">
        <v>387</v>
      </c>
      <c r="U69" s="13"/>
      <c r="V69" s="9" t="s">
        <v>30</v>
      </c>
      <c r="W69" s="13"/>
      <c r="X69" s="9">
        <v>2</v>
      </c>
    </row>
    <row r="70" spans="1:24">
      <c r="A70" s="13"/>
      <c r="B70" s="9" t="s">
        <v>388</v>
      </c>
      <c r="C70" s="9" t="str">
        <f>VLOOKUP(B70,[1]RXNS!$B:$C,1,)</f>
        <v>ARABRr</v>
      </c>
      <c r="D70" s="9" t="b">
        <f t="shared" si="4"/>
        <v>1</v>
      </c>
      <c r="E70" s="9" t="s">
        <v>389</v>
      </c>
      <c r="F70" s="9" t="s">
        <v>389</v>
      </c>
      <c r="G70" s="9" t="b">
        <f t="shared" si="5"/>
        <v>1</v>
      </c>
      <c r="H70" s="9" t="str">
        <f>VLOOKUP(B70,[1]RXNS!$B:$D,3,FALSE)</f>
        <v>L-Arabinose[c] + H+[c] + Nicotinamide adenine dinucleotide phosphate - reduced[c] &lt;=&gt; L-Arabinitol[c] + Nicotinamide adenine dinucleotide phosphate[c]</v>
      </c>
      <c r="I70" s="9" t="s">
        <v>390</v>
      </c>
      <c r="J70" s="9" t="s">
        <v>391</v>
      </c>
      <c r="K70" s="9" t="s">
        <v>390</v>
      </c>
      <c r="L70" s="9" t="b">
        <f t="shared" si="6"/>
        <v>1</v>
      </c>
      <c r="M70" s="9" t="b">
        <f t="shared" si="7"/>
        <v>1</v>
      </c>
      <c r="N70" s="9" t="s">
        <v>293</v>
      </c>
      <c r="O70" s="9">
        <v>-1000</v>
      </c>
      <c r="P70" s="9">
        <v>1000</v>
      </c>
      <c r="Q70" s="13"/>
      <c r="R70" s="13"/>
      <c r="S70" s="9" t="s">
        <v>392</v>
      </c>
      <c r="T70" s="9" t="s">
        <v>393</v>
      </c>
      <c r="U70" s="13"/>
      <c r="V70" s="9" t="s">
        <v>30</v>
      </c>
      <c r="W70" s="13"/>
      <c r="X70" s="9">
        <v>2</v>
      </c>
    </row>
    <row r="71" spans="1:24">
      <c r="A71" s="13"/>
      <c r="B71" s="9" t="s">
        <v>394</v>
      </c>
      <c r="C71" s="9" t="str">
        <f>VLOOKUP(B71,[1]RXNS!$B:$C,1,)</f>
        <v>ARAI</v>
      </c>
      <c r="D71" s="9" t="b">
        <f t="shared" si="4"/>
        <v>1</v>
      </c>
      <c r="E71" s="9" t="s">
        <v>395</v>
      </c>
      <c r="F71" s="9" t="s">
        <v>395</v>
      </c>
      <c r="G71" s="9" t="b">
        <f t="shared" si="5"/>
        <v>1</v>
      </c>
      <c r="H71" s="9" t="str">
        <f>VLOOKUP(B71,[1]RXNS!$B:$D,3,FALSE)</f>
        <v>L-Arabinose[c] &lt;=&gt; L-Ribulose[c]</v>
      </c>
      <c r="I71" s="9" t="s">
        <v>396</v>
      </c>
      <c r="J71" s="9" t="s">
        <v>397</v>
      </c>
      <c r="K71" s="9" t="s">
        <v>396</v>
      </c>
      <c r="L71" s="9" t="b">
        <f t="shared" si="6"/>
        <v>1</v>
      </c>
      <c r="M71" s="9" t="b">
        <f t="shared" si="7"/>
        <v>1</v>
      </c>
      <c r="N71" s="13"/>
      <c r="O71" s="9">
        <v>-1000</v>
      </c>
      <c r="P71" s="9">
        <v>1000</v>
      </c>
      <c r="Q71" s="13"/>
      <c r="R71" s="13"/>
      <c r="S71" s="13"/>
      <c r="T71" s="9" t="s">
        <v>398</v>
      </c>
      <c r="U71" s="13"/>
      <c r="V71" s="9" t="s">
        <v>35</v>
      </c>
      <c r="W71" s="13"/>
      <c r="X71" s="9">
        <v>2</v>
      </c>
    </row>
    <row r="72" spans="1:24">
      <c r="A72" s="13"/>
      <c r="B72" s="9" t="s">
        <v>399</v>
      </c>
      <c r="C72" s="9" t="str">
        <f>VLOOKUP(B72,[1]RXNS!$B:$C,1,)</f>
        <v>ARBt2</v>
      </c>
      <c r="D72" s="9" t="b">
        <f t="shared" si="4"/>
        <v>1</v>
      </c>
      <c r="E72" s="9" t="s">
        <v>400</v>
      </c>
      <c r="F72" s="9" t="s">
        <v>400</v>
      </c>
      <c r="G72" s="9" t="b">
        <f t="shared" si="5"/>
        <v>1</v>
      </c>
      <c r="H72" s="9" t="str">
        <f>VLOOKUP(B72,[1]RXNS!$B:$D,3,FALSE)</f>
        <v>L-Arabinose[e] + H+[e] &lt;=&gt; L-Arabinose[c] + H+[c]</v>
      </c>
      <c r="I72" s="9">
        <f>VLOOKUP(B72,[1]RXNS!$B:$E,4,FALSE)</f>
        <v>0</v>
      </c>
      <c r="J72" s="9" t="s">
        <v>401</v>
      </c>
      <c r="K72" s="13"/>
      <c r="L72" s="9" t="b">
        <f t="shared" si="6"/>
        <v>1</v>
      </c>
      <c r="M72" s="9" t="b">
        <f t="shared" si="7"/>
        <v>0</v>
      </c>
      <c r="N72" s="13"/>
      <c r="O72" s="9">
        <v>-1000</v>
      </c>
      <c r="P72" s="9">
        <v>1000</v>
      </c>
      <c r="Q72" s="13"/>
      <c r="R72" s="13"/>
      <c r="S72" s="13"/>
      <c r="T72" s="9" t="s">
        <v>29</v>
      </c>
      <c r="U72" s="13"/>
      <c r="V72" s="9" t="s">
        <v>35</v>
      </c>
      <c r="W72" s="13"/>
      <c r="X72" s="9">
        <v>2</v>
      </c>
    </row>
    <row r="73" spans="1:24">
      <c r="A73" s="13"/>
      <c r="B73" s="9" t="s">
        <v>402</v>
      </c>
      <c r="C73" s="9" t="str">
        <f>VLOOKUP(B73,[1]RXNS!$B:$C,1,)</f>
        <v>ARGDI</v>
      </c>
      <c r="D73" s="9" t="b">
        <f t="shared" si="4"/>
        <v>1</v>
      </c>
      <c r="E73" s="9" t="s">
        <v>403</v>
      </c>
      <c r="F73" s="9" t="s">
        <v>403</v>
      </c>
      <c r="G73" s="9" t="b">
        <f t="shared" si="5"/>
        <v>1</v>
      </c>
      <c r="H73" s="9" t="str">
        <f>VLOOKUP(B73,[1]RXNS!$B:$D,3,FALSE)</f>
        <v>L-Arginine[c] + H2O[c] =&gt; L-Citrulline[c] + Ammonium[c]</v>
      </c>
      <c r="I73" s="9" t="s">
        <v>404</v>
      </c>
      <c r="J73" s="9" t="s">
        <v>405</v>
      </c>
      <c r="K73" s="9" t="s">
        <v>404</v>
      </c>
      <c r="L73" s="9" t="b">
        <f t="shared" si="6"/>
        <v>1</v>
      </c>
      <c r="M73" s="9" t="b">
        <f t="shared" si="7"/>
        <v>1</v>
      </c>
      <c r="N73" s="9" t="s">
        <v>406</v>
      </c>
      <c r="O73" s="9">
        <v>0</v>
      </c>
      <c r="P73" s="9">
        <v>1000</v>
      </c>
      <c r="Q73" s="13"/>
      <c r="R73" s="13"/>
      <c r="S73" s="13"/>
      <c r="T73" s="9" t="s">
        <v>96</v>
      </c>
      <c r="U73" s="13"/>
      <c r="V73" s="9" t="s">
        <v>30</v>
      </c>
      <c r="W73" s="13"/>
      <c r="X73" s="9">
        <v>2</v>
      </c>
    </row>
    <row r="74" spans="1:24">
      <c r="A74" s="13"/>
      <c r="B74" s="9" t="s">
        <v>407</v>
      </c>
      <c r="C74" s="9" t="str">
        <f>VLOOKUP(B74,[1]RXNS!$B:$C,1,)</f>
        <v>ARGORNt3</v>
      </c>
      <c r="D74" s="9" t="b">
        <f t="shared" si="4"/>
        <v>1</v>
      </c>
      <c r="E74" s="9" t="s">
        <v>408</v>
      </c>
      <c r="F74" s="9" t="s">
        <v>408</v>
      </c>
      <c r="G74" s="9" t="b">
        <f t="shared" si="5"/>
        <v>1</v>
      </c>
      <c r="H74" s="9" t="str">
        <f>VLOOKUP(B74,[1]RXNS!$B:$D,3,FALSE)</f>
        <v>L-Arginine[e] + L-Ornithine[c] &lt;=&gt; L-Arginine[c] + L-Ornithine[e]</v>
      </c>
      <c r="I74" s="9">
        <f>VLOOKUP(B74,[1]RXNS!$B:$E,4,FALSE)</f>
        <v>0</v>
      </c>
      <c r="J74" s="9" t="s">
        <v>409</v>
      </c>
      <c r="K74" s="13"/>
      <c r="L74" s="9" t="b">
        <f t="shared" si="6"/>
        <v>1</v>
      </c>
      <c r="M74" s="9" t="b">
        <f t="shared" si="7"/>
        <v>0</v>
      </c>
      <c r="N74" s="9" t="s">
        <v>410</v>
      </c>
      <c r="O74" s="9">
        <v>-1000</v>
      </c>
      <c r="P74" s="9">
        <v>1000</v>
      </c>
      <c r="Q74" s="13"/>
      <c r="R74" s="13"/>
      <c r="S74" s="9" t="s">
        <v>411</v>
      </c>
      <c r="T74" s="9" t="s">
        <v>146</v>
      </c>
      <c r="U74" s="13"/>
      <c r="V74" s="9" t="s">
        <v>30</v>
      </c>
      <c r="W74" s="13"/>
      <c r="X74" s="9">
        <v>2</v>
      </c>
    </row>
    <row r="75" spans="1:24">
      <c r="A75" s="13"/>
      <c r="B75" s="9" t="s">
        <v>412</v>
      </c>
      <c r="C75" s="9" t="str">
        <f>VLOOKUP(B75,[1]RXNS!$B:$C,1,)</f>
        <v>ARGSL</v>
      </c>
      <c r="D75" s="9" t="b">
        <f t="shared" si="4"/>
        <v>1</v>
      </c>
      <c r="E75" s="9" t="s">
        <v>413</v>
      </c>
      <c r="F75" s="9" t="s">
        <v>413</v>
      </c>
      <c r="G75" s="9" t="b">
        <f t="shared" si="5"/>
        <v>1</v>
      </c>
      <c r="H75" s="9" t="str">
        <f>VLOOKUP(B75,[1]RXNS!$B:$D,3,FALSE)</f>
        <v>N(omega)-(L-Arginino)succinate[c] &lt;=&gt; L-Arginine[c] + Fumarate[c]</v>
      </c>
      <c r="I75" s="9" t="s">
        <v>414</v>
      </c>
      <c r="J75" s="9" t="s">
        <v>415</v>
      </c>
      <c r="K75" s="9" t="s">
        <v>414</v>
      </c>
      <c r="L75" s="9" t="b">
        <f t="shared" si="6"/>
        <v>1</v>
      </c>
      <c r="M75" s="9" t="b">
        <f t="shared" si="7"/>
        <v>1</v>
      </c>
      <c r="N75" s="9" t="s">
        <v>416</v>
      </c>
      <c r="O75" s="9">
        <v>-1000</v>
      </c>
      <c r="P75" s="9">
        <v>1000</v>
      </c>
      <c r="Q75" s="13"/>
      <c r="R75" s="13"/>
      <c r="S75" s="9" t="s">
        <v>417</v>
      </c>
      <c r="T75" s="9" t="s">
        <v>96</v>
      </c>
      <c r="U75" s="13"/>
      <c r="V75" s="9" t="s">
        <v>30</v>
      </c>
      <c r="W75" s="13"/>
      <c r="X75" s="9">
        <v>2</v>
      </c>
    </row>
    <row r="76" spans="1:24">
      <c r="A76" s="13"/>
      <c r="B76" s="9" t="s">
        <v>418</v>
      </c>
      <c r="C76" s="9" t="str">
        <f>VLOOKUP(B76,[1]RXNS!$B:$C,1,)</f>
        <v>ARGSS</v>
      </c>
      <c r="D76" s="9" t="b">
        <f t="shared" si="4"/>
        <v>1</v>
      </c>
      <c r="E76" s="9" t="s">
        <v>419</v>
      </c>
      <c r="F76" s="9" t="s">
        <v>419</v>
      </c>
      <c r="G76" s="9" t="b">
        <f t="shared" si="5"/>
        <v>1</v>
      </c>
      <c r="H76" s="9" t="str">
        <f>VLOOKUP(B76,[1]RXNS!$B:$D,3,FALSE)</f>
        <v>L-Aspartate[c] + ATP[c] + L-Citrulline[c] =&gt; AMP[c] + N(omega)-(L-Arginino)succinate[c] + H+[c] + Diphosphate[c]</v>
      </c>
      <c r="I76" s="9" t="s">
        <v>420</v>
      </c>
      <c r="J76" s="9" t="s">
        <v>421</v>
      </c>
      <c r="K76" s="9" t="s">
        <v>420</v>
      </c>
      <c r="L76" s="9" t="b">
        <f t="shared" si="6"/>
        <v>1</v>
      </c>
      <c r="M76" s="9" t="b">
        <f t="shared" si="7"/>
        <v>1</v>
      </c>
      <c r="N76" s="9" t="s">
        <v>422</v>
      </c>
      <c r="O76" s="9">
        <v>0</v>
      </c>
      <c r="P76" s="9">
        <v>1000</v>
      </c>
      <c r="Q76" s="13"/>
      <c r="R76" s="13"/>
      <c r="S76" s="9" t="s">
        <v>423</v>
      </c>
      <c r="T76" s="9" t="s">
        <v>96</v>
      </c>
      <c r="U76" s="13"/>
      <c r="V76" s="9" t="s">
        <v>30</v>
      </c>
      <c r="W76" s="13"/>
      <c r="X76" s="9">
        <v>2</v>
      </c>
    </row>
    <row r="77" spans="1:24">
      <c r="A77" s="13"/>
      <c r="B77" s="9" t="s">
        <v>424</v>
      </c>
      <c r="C77" s="9" t="str">
        <f>VLOOKUP(B77,[1]RXNS!$B:$C,1,)</f>
        <v>ARGTRS</v>
      </c>
      <c r="D77" s="9" t="b">
        <f t="shared" si="4"/>
        <v>1</v>
      </c>
      <c r="E77" s="9" t="s">
        <v>425</v>
      </c>
      <c r="F77" s="9" t="s">
        <v>425</v>
      </c>
      <c r="G77" s="9" t="b">
        <f t="shared" si="5"/>
        <v>1</v>
      </c>
      <c r="H77" s="9" t="str">
        <f>VLOOKUP(B77,[1]RXNS!$B:$D,3,FALSE)</f>
        <v>L-Arginine[c] + ATP[c] + tRNA(Arg)[c] =&gt; AMP[c] + L-Arginyl-tRNA(Arg)[c] + Diphosphate[c]</v>
      </c>
      <c r="I77" s="9" t="s">
        <v>426</v>
      </c>
      <c r="J77" s="9" t="s">
        <v>427</v>
      </c>
      <c r="K77" s="9" t="s">
        <v>426</v>
      </c>
      <c r="L77" s="9" t="b">
        <f t="shared" si="6"/>
        <v>1</v>
      </c>
      <c r="M77" s="9" t="b">
        <f t="shared" si="7"/>
        <v>1</v>
      </c>
      <c r="N77" s="9" t="s">
        <v>428</v>
      </c>
      <c r="O77" s="9">
        <v>0</v>
      </c>
      <c r="P77" s="9">
        <v>1000</v>
      </c>
      <c r="Q77" s="13"/>
      <c r="R77" s="13"/>
      <c r="S77" s="13"/>
      <c r="T77" s="9" t="s">
        <v>278</v>
      </c>
      <c r="U77" s="13"/>
      <c r="V77" s="9" t="s">
        <v>30</v>
      </c>
      <c r="W77" s="13"/>
      <c r="X77" s="9">
        <v>2</v>
      </c>
    </row>
    <row r="78" spans="1:24">
      <c r="A78" s="13"/>
      <c r="B78" s="9" t="s">
        <v>429</v>
      </c>
      <c r="C78" s="9" t="str">
        <f>VLOOKUP(B78,[1]RXNS!$B:$C,1,)</f>
        <v>ARGabc</v>
      </c>
      <c r="D78" s="9" t="b">
        <f t="shared" si="4"/>
        <v>1</v>
      </c>
      <c r="E78" s="9" t="s">
        <v>430</v>
      </c>
      <c r="F78" s="9" t="s">
        <v>430</v>
      </c>
      <c r="G78" s="9" t="b">
        <f t="shared" si="5"/>
        <v>1</v>
      </c>
      <c r="H78" s="9" t="str">
        <f>VLOOKUP(B78,[1]RXNS!$B:$D,3,FALSE)</f>
        <v>L-Arginine[e] + ATP[c] + H2O[c] =&gt; ADP[c] + L-Arginine[c] + H+[c] + Phosphate[c]</v>
      </c>
      <c r="I78" s="9" t="s">
        <v>431</v>
      </c>
      <c r="J78" s="9" t="s">
        <v>432</v>
      </c>
      <c r="K78" s="9" t="s">
        <v>431</v>
      </c>
      <c r="L78" s="9" t="b">
        <f t="shared" si="6"/>
        <v>1</v>
      </c>
      <c r="M78" s="9" t="b">
        <f t="shared" si="7"/>
        <v>1</v>
      </c>
      <c r="N78" s="9" t="s">
        <v>433</v>
      </c>
      <c r="O78" s="9">
        <v>0</v>
      </c>
      <c r="P78" s="9">
        <v>1000</v>
      </c>
      <c r="Q78" s="13"/>
      <c r="R78" s="13"/>
      <c r="S78" s="9" t="s">
        <v>434</v>
      </c>
      <c r="T78" s="9" t="s">
        <v>146</v>
      </c>
      <c r="U78" s="13"/>
      <c r="V78" s="9" t="s">
        <v>30</v>
      </c>
      <c r="W78" s="13"/>
      <c r="X78" s="9">
        <v>2</v>
      </c>
    </row>
    <row r="79" spans="1:24">
      <c r="A79" s="13"/>
      <c r="B79" s="9" t="s">
        <v>435</v>
      </c>
      <c r="C79" s="9" t="str">
        <f>VLOOKUP(B79,[1]RXNS!$B:$C,1,)</f>
        <v>ARGt2</v>
      </c>
      <c r="D79" s="9" t="b">
        <f t="shared" si="4"/>
        <v>1</v>
      </c>
      <c r="E79" s="9" t="s">
        <v>436</v>
      </c>
      <c r="F79" s="9" t="s">
        <v>436</v>
      </c>
      <c r="G79" s="9" t="b">
        <f t="shared" si="5"/>
        <v>1</v>
      </c>
      <c r="H79" s="9" t="str">
        <f>VLOOKUP(B79,[1]RXNS!$B:$D,3,FALSE)</f>
        <v>L-Arginine[e] + H+[e] =&gt; L-Arginine[c] + H+[c]</v>
      </c>
      <c r="I79" s="9">
        <f>VLOOKUP(B79,[1]RXNS!$B:$E,4,FALSE)</f>
        <v>0</v>
      </c>
      <c r="J79" s="9" t="s">
        <v>437</v>
      </c>
      <c r="K79" s="13"/>
      <c r="L79" s="9" t="b">
        <f t="shared" si="6"/>
        <v>1</v>
      </c>
      <c r="M79" s="9" t="b">
        <f t="shared" si="7"/>
        <v>0</v>
      </c>
      <c r="N79" s="13"/>
      <c r="O79" s="9">
        <v>0</v>
      </c>
      <c r="P79" s="9">
        <v>1000</v>
      </c>
      <c r="Q79" s="13"/>
      <c r="R79" s="13"/>
      <c r="S79" s="13"/>
      <c r="T79" s="9" t="s">
        <v>146</v>
      </c>
      <c r="U79" s="13"/>
      <c r="V79" s="9" t="s">
        <v>35</v>
      </c>
      <c r="W79" s="13"/>
      <c r="X79" s="9">
        <v>2</v>
      </c>
    </row>
    <row r="80" spans="1:24">
      <c r="A80" s="13"/>
      <c r="B80" s="9" t="s">
        <v>438</v>
      </c>
      <c r="C80" s="9" t="str">
        <f>VLOOKUP(B80,[1]RXNS!$B:$C,1,)</f>
        <v>ASAD</v>
      </c>
      <c r="D80" s="9" t="b">
        <f t="shared" si="4"/>
        <v>1</v>
      </c>
      <c r="E80" s="9" t="s">
        <v>439</v>
      </c>
      <c r="F80" s="9" t="s">
        <v>439</v>
      </c>
      <c r="G80" s="9" t="b">
        <f t="shared" si="5"/>
        <v>1</v>
      </c>
      <c r="H80" s="9" t="str">
        <f>VLOOKUP(B80,[1]RXNS!$B:$D,3,FALSE)</f>
        <v>L-Aspartate 4-semialdehyde[c] + Nicotinamide adenine dinucleotide phosphate[c] + Phosphate[c] &lt;=&gt; 4-Phospho-L-aspartate[c] + H+[c] + Nicotinamide adenine dinucleotide phosphate - reduced[c]</v>
      </c>
      <c r="I80" s="9" t="s">
        <v>440</v>
      </c>
      <c r="J80" s="9" t="s">
        <v>441</v>
      </c>
      <c r="K80" s="9" t="s">
        <v>440</v>
      </c>
      <c r="L80" s="9" t="b">
        <f t="shared" si="6"/>
        <v>1</v>
      </c>
      <c r="M80" s="9" t="b">
        <f t="shared" si="7"/>
        <v>1</v>
      </c>
      <c r="N80" s="9" t="s">
        <v>442</v>
      </c>
      <c r="O80" s="9">
        <v>-1000</v>
      </c>
      <c r="P80" s="9">
        <v>1000</v>
      </c>
      <c r="Q80" s="13"/>
      <c r="R80" s="13"/>
      <c r="S80" s="9" t="s">
        <v>443</v>
      </c>
      <c r="T80" s="9" t="s">
        <v>364</v>
      </c>
      <c r="U80" s="13"/>
      <c r="V80" s="9" t="s">
        <v>30</v>
      </c>
      <c r="W80" s="13"/>
      <c r="X80" s="9">
        <v>2</v>
      </c>
    </row>
    <row r="81" spans="1:24">
      <c r="A81" s="13"/>
      <c r="B81" s="9" t="s">
        <v>444</v>
      </c>
      <c r="C81" s="9" t="str">
        <f>VLOOKUP(B81,[1]RXNS!$B:$C,1,)</f>
        <v>ASNN</v>
      </c>
      <c r="D81" s="9" t="b">
        <f t="shared" si="4"/>
        <v>1</v>
      </c>
      <c r="E81" s="9" t="s">
        <v>445</v>
      </c>
      <c r="F81" s="9" t="s">
        <v>445</v>
      </c>
      <c r="G81" s="9" t="b">
        <f t="shared" si="5"/>
        <v>1</v>
      </c>
      <c r="H81" s="9" t="str">
        <f>VLOOKUP(B81,[1]RXNS!$B:$D,3,FALSE)</f>
        <v>L-Asparagine[c] + H2O[c] =&gt; L-Aspartate[c] + Ammonium[c]</v>
      </c>
      <c r="I81" s="9" t="s">
        <v>446</v>
      </c>
      <c r="J81" s="9" t="s">
        <v>447</v>
      </c>
      <c r="K81" s="9" t="s">
        <v>446</v>
      </c>
      <c r="L81" s="9" t="b">
        <f t="shared" si="6"/>
        <v>1</v>
      </c>
      <c r="M81" s="9" t="b">
        <f t="shared" si="7"/>
        <v>1</v>
      </c>
      <c r="N81" s="13"/>
      <c r="O81" s="9">
        <v>0</v>
      </c>
      <c r="P81" s="9">
        <v>1000</v>
      </c>
      <c r="Q81" s="13"/>
      <c r="R81" s="13"/>
      <c r="S81" s="13"/>
      <c r="T81" s="9" t="s">
        <v>448</v>
      </c>
      <c r="U81" s="13"/>
      <c r="V81" s="9" t="s">
        <v>35</v>
      </c>
      <c r="W81" s="13"/>
      <c r="X81" s="9">
        <v>2</v>
      </c>
    </row>
    <row r="82" spans="1:24">
      <c r="A82" s="13"/>
      <c r="B82" s="9" t="s">
        <v>449</v>
      </c>
      <c r="C82" s="9" t="str">
        <f>VLOOKUP(B82,[1]RXNS!$B:$C,1,)</f>
        <v>ASNS1</v>
      </c>
      <c r="D82" s="9" t="b">
        <f t="shared" si="4"/>
        <v>1</v>
      </c>
      <c r="E82" s="9" t="s">
        <v>450</v>
      </c>
      <c r="F82" s="9" t="s">
        <v>450</v>
      </c>
      <c r="G82" s="9" t="b">
        <f t="shared" si="5"/>
        <v>1</v>
      </c>
      <c r="H82" s="9" t="str">
        <f>VLOOKUP(B82,[1]RXNS!$B:$D,3,FALSE)</f>
        <v>L-Aspartate[c] + ATP[c] + L-Glutamine[c] + H2O[c] =&gt; AMP[c] + L-Asparagine[c] + L-Glutamate[c] + H+[c] + Diphosphate[c]</v>
      </c>
      <c r="I82" s="9" t="s">
        <v>451</v>
      </c>
      <c r="J82" s="9" t="s">
        <v>452</v>
      </c>
      <c r="K82" s="9" t="s">
        <v>451</v>
      </c>
      <c r="L82" s="9" t="b">
        <f t="shared" si="6"/>
        <v>1</v>
      </c>
      <c r="M82" s="9" t="b">
        <f t="shared" si="7"/>
        <v>1</v>
      </c>
      <c r="N82" s="9" t="s">
        <v>453</v>
      </c>
      <c r="O82" s="9">
        <v>0</v>
      </c>
      <c r="P82" s="9">
        <v>1000</v>
      </c>
      <c r="Q82" s="13"/>
      <c r="R82" s="13"/>
      <c r="S82" s="9" t="s">
        <v>454</v>
      </c>
      <c r="T82" s="9" t="s">
        <v>49</v>
      </c>
      <c r="U82" s="13"/>
      <c r="V82" s="9" t="s">
        <v>30</v>
      </c>
      <c r="W82" s="13"/>
      <c r="X82" s="9">
        <v>2</v>
      </c>
    </row>
    <row r="83" spans="1:24">
      <c r="A83" s="13"/>
      <c r="B83" s="9" t="s">
        <v>455</v>
      </c>
      <c r="C83" s="9" t="str">
        <f>VLOOKUP(B83,[1]RXNS!$B:$C,1,)</f>
        <v>ASNS2</v>
      </c>
      <c r="D83" s="9" t="b">
        <f t="shared" si="4"/>
        <v>1</v>
      </c>
      <c r="E83" s="9" t="s">
        <v>456</v>
      </c>
      <c r="F83" s="9" t="s">
        <v>456</v>
      </c>
      <c r="G83" s="9" t="b">
        <f t="shared" si="5"/>
        <v>1</v>
      </c>
      <c r="H83" s="9" t="str">
        <f>VLOOKUP(B83,[1]RXNS!$B:$D,3,FALSE)</f>
        <v>L-Aspartate[c] + ATP[c] + Ammonium[c] =&gt; AMP[c] + L-Asparagine[c] + H+[c] + Diphosphate[c]</v>
      </c>
      <c r="I83" s="9" t="s">
        <v>457</v>
      </c>
      <c r="J83" s="9" t="s">
        <v>458</v>
      </c>
      <c r="K83" s="9" t="s">
        <v>457</v>
      </c>
      <c r="L83" s="9" t="b">
        <f t="shared" si="6"/>
        <v>1</v>
      </c>
      <c r="M83" s="9" t="b">
        <f t="shared" si="7"/>
        <v>1</v>
      </c>
      <c r="N83" s="9" t="s">
        <v>459</v>
      </c>
      <c r="O83" s="9">
        <v>0</v>
      </c>
      <c r="P83" s="9">
        <v>1000</v>
      </c>
      <c r="Q83" s="13"/>
      <c r="R83" s="13"/>
      <c r="S83" s="9" t="s">
        <v>460</v>
      </c>
      <c r="T83" s="9" t="s">
        <v>49</v>
      </c>
      <c r="U83" s="13"/>
      <c r="V83" s="9" t="s">
        <v>30</v>
      </c>
      <c r="W83" s="13"/>
      <c r="X83" s="9">
        <v>2</v>
      </c>
    </row>
    <row r="84" spans="1:24">
      <c r="A84" s="13"/>
      <c r="B84" s="9" t="s">
        <v>461</v>
      </c>
      <c r="C84" s="9" t="str">
        <f>VLOOKUP(B84,[1]RXNS!$B:$C,1,)</f>
        <v>ASNTRS</v>
      </c>
      <c r="D84" s="9" t="b">
        <f t="shared" si="4"/>
        <v>1</v>
      </c>
      <c r="E84" s="9" t="s">
        <v>462</v>
      </c>
      <c r="F84" s="9" t="s">
        <v>462</v>
      </c>
      <c r="G84" s="9" t="b">
        <f t="shared" si="5"/>
        <v>1</v>
      </c>
      <c r="H84" s="9" t="str">
        <f>VLOOKUP(B84,[1]RXNS!$B:$D,3,FALSE)</f>
        <v>L-Asparagine[c] + ATP[c] + tRNA(Asn)[c] =&gt; AMP[c] + L-Asparaginyl-tRNA(Asn)[c] + Diphosphate[c]</v>
      </c>
      <c r="I84" s="9" t="s">
        <v>463</v>
      </c>
      <c r="J84" s="9" t="s">
        <v>464</v>
      </c>
      <c r="K84" s="9" t="s">
        <v>463</v>
      </c>
      <c r="L84" s="9" t="b">
        <f t="shared" si="6"/>
        <v>1</v>
      </c>
      <c r="M84" s="9" t="b">
        <f t="shared" si="7"/>
        <v>1</v>
      </c>
      <c r="N84" s="9" t="s">
        <v>465</v>
      </c>
      <c r="O84" s="9">
        <v>0</v>
      </c>
      <c r="P84" s="9">
        <v>1000</v>
      </c>
      <c r="Q84" s="13"/>
      <c r="R84" s="13"/>
      <c r="S84" s="13"/>
      <c r="T84" s="9" t="s">
        <v>278</v>
      </c>
      <c r="U84" s="13"/>
      <c r="V84" s="9" t="s">
        <v>30</v>
      </c>
      <c r="W84" s="13"/>
      <c r="X84" s="9">
        <v>2</v>
      </c>
    </row>
    <row r="85" spans="1:24">
      <c r="A85" s="13"/>
      <c r="B85" s="9" t="s">
        <v>466</v>
      </c>
      <c r="C85" s="9" t="str">
        <f>VLOOKUP(B85,[1]RXNS!$B:$C,1,)</f>
        <v>ASNt6</v>
      </c>
      <c r="D85" s="9" t="b">
        <f t="shared" si="4"/>
        <v>1</v>
      </c>
      <c r="E85" s="9" t="s">
        <v>467</v>
      </c>
      <c r="F85" s="9" t="s">
        <v>467</v>
      </c>
      <c r="G85" s="9" t="b">
        <f t="shared" si="5"/>
        <v>1</v>
      </c>
      <c r="H85" s="9" t="str">
        <f>VLOOKUP(B85,[1]RXNS!$B:$D,3,FALSE)</f>
        <v>L-Asparagine[e] + H+[e] &lt;=&gt; L-Asparagine[c] + H+[c]</v>
      </c>
      <c r="I85" s="9">
        <f>VLOOKUP(B85,[1]RXNS!$B:$E,4,FALSE)</f>
        <v>0</v>
      </c>
      <c r="J85" s="9" t="s">
        <v>468</v>
      </c>
      <c r="K85" s="13"/>
      <c r="L85" s="9" t="b">
        <f t="shared" si="6"/>
        <v>1</v>
      </c>
      <c r="M85" s="9" t="b">
        <f t="shared" si="7"/>
        <v>0</v>
      </c>
      <c r="N85" s="13"/>
      <c r="O85" s="9">
        <v>-1000</v>
      </c>
      <c r="P85" s="9">
        <v>1000</v>
      </c>
      <c r="Q85" s="13"/>
      <c r="R85" s="13"/>
      <c r="S85" s="13"/>
      <c r="T85" s="9" t="s">
        <v>146</v>
      </c>
      <c r="U85" s="13"/>
      <c r="V85" s="9" t="s">
        <v>35</v>
      </c>
      <c r="W85" s="13"/>
      <c r="X85" s="9">
        <v>2</v>
      </c>
    </row>
    <row r="86" spans="1:24">
      <c r="A86" s="13"/>
      <c r="B86" s="9" t="s">
        <v>469</v>
      </c>
      <c r="C86" s="9" t="str">
        <f>VLOOKUP(B86,[1]RXNS!$B:$C,1,)</f>
        <v>ASPCT</v>
      </c>
      <c r="D86" s="9" t="b">
        <f t="shared" si="4"/>
        <v>1</v>
      </c>
      <c r="E86" s="9" t="s">
        <v>470</v>
      </c>
      <c r="F86" s="9" t="s">
        <v>470</v>
      </c>
      <c r="G86" s="9" t="b">
        <f t="shared" si="5"/>
        <v>1</v>
      </c>
      <c r="H86" s="9" t="str">
        <f>VLOOKUP(B86,[1]RXNS!$B:$D,3,FALSE)</f>
        <v>L-Aspartate[c] + Carbamoyl phosphate[c] =&gt; N-Carbamoyl-L-aspartate[c] + H+[c] + Phosphate[c]</v>
      </c>
      <c r="I86" s="9" t="s">
        <v>471</v>
      </c>
      <c r="J86" s="9" t="s">
        <v>472</v>
      </c>
      <c r="K86" s="9" t="s">
        <v>471</v>
      </c>
      <c r="L86" s="9" t="b">
        <f t="shared" si="6"/>
        <v>1</v>
      </c>
      <c r="M86" s="9" t="b">
        <f t="shared" si="7"/>
        <v>1</v>
      </c>
      <c r="N86" s="9" t="s">
        <v>473</v>
      </c>
      <c r="O86" s="9">
        <v>0</v>
      </c>
      <c r="P86" s="9">
        <v>1000</v>
      </c>
      <c r="Q86" s="13"/>
      <c r="R86" s="13"/>
      <c r="S86" s="9" t="s">
        <v>474</v>
      </c>
      <c r="T86" s="9" t="s">
        <v>49</v>
      </c>
      <c r="U86" s="13"/>
      <c r="V86" s="9" t="s">
        <v>30</v>
      </c>
      <c r="W86" s="13"/>
      <c r="X86" s="9">
        <v>2</v>
      </c>
    </row>
    <row r="87" spans="1:24">
      <c r="A87" s="13"/>
      <c r="B87" s="9" t="s">
        <v>475</v>
      </c>
      <c r="C87" s="9" t="str">
        <f>VLOOKUP(B87,[1]RXNS!$B:$C,1,)</f>
        <v>ASPK</v>
      </c>
      <c r="D87" s="9" t="b">
        <f t="shared" si="4"/>
        <v>1</v>
      </c>
      <c r="E87" s="9" t="s">
        <v>476</v>
      </c>
      <c r="F87" s="9" t="s">
        <v>476</v>
      </c>
      <c r="G87" s="9" t="b">
        <f t="shared" si="5"/>
        <v>1</v>
      </c>
      <c r="H87" s="9" t="str">
        <f>VLOOKUP(B87,[1]RXNS!$B:$D,3,FALSE)</f>
        <v>L-Aspartate[c] + ATP[c] &lt;=&gt; 4-Phospho-L-aspartate[c] + ADP[c]</v>
      </c>
      <c r="I87" s="9" t="s">
        <v>477</v>
      </c>
      <c r="J87" s="9" t="s">
        <v>478</v>
      </c>
      <c r="K87" s="9" t="s">
        <v>477</v>
      </c>
      <c r="L87" s="9" t="b">
        <f t="shared" si="6"/>
        <v>0</v>
      </c>
      <c r="M87" s="9" t="b">
        <f t="shared" si="7"/>
        <v>1</v>
      </c>
      <c r="N87" s="9" t="s">
        <v>479</v>
      </c>
      <c r="O87" s="9">
        <v>0</v>
      </c>
      <c r="P87" s="9">
        <v>1000</v>
      </c>
      <c r="Q87" s="13"/>
      <c r="R87" s="13"/>
      <c r="S87" s="9" t="s">
        <v>480</v>
      </c>
      <c r="T87" s="9" t="s">
        <v>364</v>
      </c>
      <c r="U87" s="13"/>
      <c r="V87" s="9" t="s">
        <v>30</v>
      </c>
      <c r="W87" s="13"/>
      <c r="X87" s="9">
        <v>2</v>
      </c>
    </row>
    <row r="88" spans="1:24">
      <c r="A88" s="13"/>
      <c r="B88" s="9" t="s">
        <v>481</v>
      </c>
      <c r="C88" s="9" t="str">
        <f>VLOOKUP(B88,[1]RXNS!$B:$C,1,)</f>
        <v>ASPR</v>
      </c>
      <c r="D88" s="9" t="b">
        <f t="shared" si="4"/>
        <v>1</v>
      </c>
      <c r="E88" s="9" t="s">
        <v>482</v>
      </c>
      <c r="F88" s="9" t="s">
        <v>482</v>
      </c>
      <c r="G88" s="9" t="b">
        <f t="shared" si="5"/>
        <v>1</v>
      </c>
      <c r="H88" s="9" t="str">
        <f>VLOOKUP(B88,[1]RXNS!$B:$D,3,FALSE)</f>
        <v>D-Aspartate[c] &lt;=&gt; L-Aspartate[c]</v>
      </c>
      <c r="I88" s="9" t="s">
        <v>483</v>
      </c>
      <c r="J88" s="9" t="s">
        <v>484</v>
      </c>
      <c r="K88" s="9" t="s">
        <v>483</v>
      </c>
      <c r="L88" s="9" t="b">
        <f t="shared" si="6"/>
        <v>1</v>
      </c>
      <c r="M88" s="9" t="b">
        <f t="shared" si="7"/>
        <v>1</v>
      </c>
      <c r="N88" s="9" t="s">
        <v>485</v>
      </c>
      <c r="O88" s="9">
        <v>-1000</v>
      </c>
      <c r="P88" s="9">
        <v>1000</v>
      </c>
      <c r="Q88" s="13"/>
      <c r="R88" s="13"/>
      <c r="S88" s="9" t="s">
        <v>486</v>
      </c>
      <c r="T88" s="9" t="s">
        <v>49</v>
      </c>
      <c r="U88" s="13"/>
      <c r="V88" s="9" t="s">
        <v>30</v>
      </c>
      <c r="W88" s="13"/>
      <c r="X88" s="9">
        <v>2</v>
      </c>
    </row>
    <row r="89" spans="1:24">
      <c r="A89" s="13"/>
      <c r="B89" s="9" t="s">
        <v>487</v>
      </c>
      <c r="C89" s="9" t="str">
        <f>VLOOKUP(B89,[1]RXNS!$B:$C,1,)</f>
        <v>ASPTA</v>
      </c>
      <c r="D89" s="9" t="b">
        <f t="shared" si="4"/>
        <v>1</v>
      </c>
      <c r="E89" s="9" t="s">
        <v>488</v>
      </c>
      <c r="F89" s="9" t="s">
        <v>488</v>
      </c>
      <c r="G89" s="9" t="b">
        <f t="shared" si="5"/>
        <v>1</v>
      </c>
      <c r="H89" s="9" t="str">
        <f>VLOOKUP(B89,[1]RXNS!$B:$D,3,FALSE)</f>
        <v>2-Oxoglutarate[c] + L-Aspartate[c] &lt;=&gt; L-Glutamate[c] + Oxaloacetate[c]</v>
      </c>
      <c r="I89" s="9" t="s">
        <v>489</v>
      </c>
      <c r="J89" s="9" t="s">
        <v>490</v>
      </c>
      <c r="K89" s="9" t="s">
        <v>489</v>
      </c>
      <c r="L89" s="9" t="b">
        <f t="shared" si="6"/>
        <v>1</v>
      </c>
      <c r="M89" s="9" t="b">
        <f t="shared" si="7"/>
        <v>1</v>
      </c>
      <c r="N89" s="9" t="s">
        <v>491</v>
      </c>
      <c r="O89" s="9">
        <v>-1000</v>
      </c>
      <c r="P89" s="9">
        <v>1000</v>
      </c>
      <c r="Q89" s="13"/>
      <c r="R89" s="13"/>
      <c r="S89" s="9" t="s">
        <v>492</v>
      </c>
      <c r="T89" s="9" t="s">
        <v>49</v>
      </c>
      <c r="U89" s="13"/>
      <c r="V89" s="9" t="s">
        <v>30</v>
      </c>
      <c r="W89" s="13"/>
      <c r="X89" s="9">
        <v>2</v>
      </c>
    </row>
    <row r="90" spans="1:24">
      <c r="A90" s="13"/>
      <c r="B90" s="9" t="s">
        <v>493</v>
      </c>
      <c r="C90" s="9" t="str">
        <f>VLOOKUP(B90,[1]RXNS!$B:$C,1,)</f>
        <v>ASPTA2</v>
      </c>
      <c r="D90" s="9" t="b">
        <f t="shared" si="4"/>
        <v>1</v>
      </c>
      <c r="E90" s="9" t="s">
        <v>488</v>
      </c>
      <c r="F90" s="9" t="s">
        <v>488</v>
      </c>
      <c r="G90" s="9" t="b">
        <f t="shared" si="5"/>
        <v>1</v>
      </c>
      <c r="H90" s="9" t="str">
        <f>VLOOKUP(B90,[1]RXNS!$B:$D,3,FALSE)</f>
        <v>4-Hydroxy-L-glutamate[c] + 2-Oxoglutarate[c] &lt;=&gt; D-4-Hydroxy-2-oxoglutarate[c] + L-Glutamate[c]</v>
      </c>
      <c r="I90" s="9" t="s">
        <v>489</v>
      </c>
      <c r="J90" s="9" t="s">
        <v>494</v>
      </c>
      <c r="K90" s="9" t="s">
        <v>489</v>
      </c>
      <c r="L90" s="9" t="b">
        <f t="shared" si="6"/>
        <v>1</v>
      </c>
      <c r="M90" s="9" t="b">
        <f t="shared" si="7"/>
        <v>1</v>
      </c>
      <c r="N90" s="9" t="s">
        <v>491</v>
      </c>
      <c r="O90" s="9">
        <v>-1000</v>
      </c>
      <c r="P90" s="9">
        <v>1000</v>
      </c>
      <c r="Q90" s="13"/>
      <c r="R90" s="13"/>
      <c r="S90" s="9" t="s">
        <v>495</v>
      </c>
      <c r="T90" s="9" t="s">
        <v>49</v>
      </c>
      <c r="U90" s="13"/>
      <c r="V90" s="9" t="s">
        <v>30</v>
      </c>
      <c r="W90" s="13"/>
      <c r="X90" s="9">
        <v>2</v>
      </c>
    </row>
    <row r="91" spans="1:24">
      <c r="A91" s="13"/>
      <c r="B91" s="9" t="s">
        <v>496</v>
      </c>
      <c r="C91" s="9" t="str">
        <f>VLOOKUP(B91,[1]RXNS!$B:$C,1,)</f>
        <v>ASPTA4</v>
      </c>
      <c r="D91" s="9" t="b">
        <f t="shared" si="4"/>
        <v>1</v>
      </c>
      <c r="E91" s="9" t="s">
        <v>488</v>
      </c>
      <c r="F91" s="9" t="s">
        <v>488</v>
      </c>
      <c r="G91" s="9" t="b">
        <f t="shared" si="5"/>
        <v>1</v>
      </c>
      <c r="H91" s="9" t="str">
        <f>VLOOKUP(B91,[1]RXNS!$B:$D,3,FALSE)</f>
        <v>2-Oxoglutarate[c] + L-Cysteine[c] &lt;=&gt; L-Glutamate[c] + Mercaptopyruvate[c]</v>
      </c>
      <c r="I91" s="9" t="s">
        <v>489</v>
      </c>
      <c r="J91" s="9" t="s">
        <v>497</v>
      </c>
      <c r="K91" s="9" t="s">
        <v>489</v>
      </c>
      <c r="L91" s="9" t="b">
        <f t="shared" si="6"/>
        <v>1</v>
      </c>
      <c r="M91" s="9" t="b">
        <f t="shared" si="7"/>
        <v>1</v>
      </c>
      <c r="N91" s="9" t="s">
        <v>491</v>
      </c>
      <c r="O91" s="9">
        <v>-1000</v>
      </c>
      <c r="P91" s="9">
        <v>1000</v>
      </c>
      <c r="Q91" s="13"/>
      <c r="R91" s="13"/>
      <c r="S91" s="9" t="s">
        <v>498</v>
      </c>
      <c r="T91" s="9" t="s">
        <v>239</v>
      </c>
      <c r="U91" s="13"/>
      <c r="V91" s="9" t="s">
        <v>30</v>
      </c>
      <c r="W91" s="13"/>
      <c r="X91" s="9">
        <v>2</v>
      </c>
    </row>
    <row r="92" spans="1:24">
      <c r="A92" s="13"/>
      <c r="B92" s="9" t="s">
        <v>499</v>
      </c>
      <c r="C92" s="9" t="str">
        <f>VLOOKUP(B92,[1]RXNS!$B:$C,1,)</f>
        <v>ASPTA5</v>
      </c>
      <c r="D92" s="9" t="b">
        <f t="shared" si="4"/>
        <v>1</v>
      </c>
      <c r="E92" s="9" t="s">
        <v>488</v>
      </c>
      <c r="F92" s="9" t="s">
        <v>488</v>
      </c>
      <c r="G92" s="9" t="b">
        <f t="shared" si="5"/>
        <v>1</v>
      </c>
      <c r="H92" s="9" t="str">
        <f>VLOOKUP(B92,[1]RXNS!$B:$D,3,FALSE)</f>
        <v>2-Oxoglutarate[c] + L-Tyrosine[c] &lt;=&gt; 3-(4-Hydroxyphenyl)pyruvate[c] + L-Glutamate[c]</v>
      </c>
      <c r="I92" s="9" t="s">
        <v>500</v>
      </c>
      <c r="J92" s="9" t="s">
        <v>501</v>
      </c>
      <c r="K92" s="9" t="s">
        <v>500</v>
      </c>
      <c r="L92" s="9" t="b">
        <f t="shared" si="6"/>
        <v>1</v>
      </c>
      <c r="M92" s="9" t="b">
        <f t="shared" si="7"/>
        <v>1</v>
      </c>
      <c r="N92" s="9" t="s">
        <v>502</v>
      </c>
      <c r="O92" s="9">
        <v>-1000</v>
      </c>
      <c r="P92" s="9">
        <v>1000</v>
      </c>
      <c r="Q92" s="13"/>
      <c r="R92" s="13"/>
      <c r="S92" s="13"/>
      <c r="T92" s="9" t="s">
        <v>503</v>
      </c>
      <c r="U92" s="13"/>
      <c r="V92" s="9" t="s">
        <v>30</v>
      </c>
      <c r="W92" s="13"/>
      <c r="X92" s="9">
        <v>2</v>
      </c>
    </row>
    <row r="93" spans="1:24">
      <c r="A93" s="13"/>
      <c r="B93" s="9" t="s">
        <v>504</v>
      </c>
      <c r="C93" s="9" t="str">
        <f>VLOOKUP(B93,[1]RXNS!$B:$C,1,)</f>
        <v>ASPTA6</v>
      </c>
      <c r="D93" s="9" t="b">
        <f t="shared" si="4"/>
        <v>1</v>
      </c>
      <c r="E93" s="9" t="s">
        <v>488</v>
      </c>
      <c r="F93" s="9" t="s">
        <v>488</v>
      </c>
      <c r="G93" s="9" t="b">
        <f t="shared" si="5"/>
        <v>1</v>
      </c>
      <c r="H93" s="9" t="str">
        <f>VLOOKUP(B93,[1]RXNS!$B:$D,3,FALSE)</f>
        <v>2-Oxoglutarate[c] + L-Phenylalanine[c] &lt;=&gt; L-Glutamate[c] + Phenylpyruvate[c]</v>
      </c>
      <c r="I93" s="9" t="s">
        <v>505</v>
      </c>
      <c r="J93" s="9" t="s">
        <v>506</v>
      </c>
      <c r="K93" s="9" t="s">
        <v>505</v>
      </c>
      <c r="L93" s="9" t="b">
        <f t="shared" si="6"/>
        <v>1</v>
      </c>
      <c r="M93" s="9" t="b">
        <f t="shared" si="7"/>
        <v>1</v>
      </c>
      <c r="N93" s="9" t="s">
        <v>502</v>
      </c>
      <c r="O93" s="9">
        <v>-1000</v>
      </c>
      <c r="P93" s="9">
        <v>1000</v>
      </c>
      <c r="Q93" s="13"/>
      <c r="R93" s="13"/>
      <c r="S93" s="13"/>
      <c r="T93" s="9" t="s">
        <v>42</v>
      </c>
      <c r="U93" s="13"/>
      <c r="V93" s="9" t="s">
        <v>30</v>
      </c>
      <c r="W93" s="13"/>
      <c r="X93" s="9">
        <v>2</v>
      </c>
    </row>
    <row r="94" spans="1:24">
      <c r="A94" s="13"/>
      <c r="B94" s="9" t="s">
        <v>507</v>
      </c>
      <c r="C94" s="9" t="str">
        <f>VLOOKUP(B94,[1]RXNS!$B:$C,1,)</f>
        <v>ASPTRS</v>
      </c>
      <c r="D94" s="9" t="b">
        <f t="shared" si="4"/>
        <v>1</v>
      </c>
      <c r="E94" s="9" t="s">
        <v>508</v>
      </c>
      <c r="F94" s="9" t="s">
        <v>508</v>
      </c>
      <c r="G94" s="9" t="b">
        <f t="shared" si="5"/>
        <v>1</v>
      </c>
      <c r="H94" s="9" t="str">
        <f>VLOOKUP(B94,[1]RXNS!$B:$D,3,FALSE)</f>
        <v>L-Aspartate[c] + ATP[c] + tRNA(Asp)[c] =&gt; AMP[c] + L-Aspartyl-tRNA(Asp)[c] + Diphosphate[c]</v>
      </c>
      <c r="I94" s="9" t="s">
        <v>509</v>
      </c>
      <c r="J94" s="9" t="s">
        <v>510</v>
      </c>
      <c r="K94" s="9" t="s">
        <v>509</v>
      </c>
      <c r="L94" s="9" t="b">
        <f t="shared" si="6"/>
        <v>1</v>
      </c>
      <c r="M94" s="9" t="b">
        <f t="shared" si="7"/>
        <v>1</v>
      </c>
      <c r="N94" s="9" t="s">
        <v>511</v>
      </c>
      <c r="O94" s="9">
        <v>0</v>
      </c>
      <c r="P94" s="9">
        <v>1000</v>
      </c>
      <c r="Q94" s="13"/>
      <c r="R94" s="13"/>
      <c r="S94" s="13"/>
      <c r="T94" s="9" t="s">
        <v>278</v>
      </c>
      <c r="U94" s="13"/>
      <c r="V94" s="9" t="s">
        <v>30</v>
      </c>
      <c r="W94" s="13"/>
      <c r="X94" s="9">
        <v>2</v>
      </c>
    </row>
    <row r="95" spans="1:24">
      <c r="A95" s="13"/>
      <c r="B95" s="9" t="s">
        <v>512</v>
      </c>
      <c r="C95" s="9" t="str">
        <f>VLOOKUP(B95,[1]RXNS!$B:$C,1,)</f>
        <v>ASPt6</v>
      </c>
      <c r="D95" s="9" t="b">
        <f t="shared" si="4"/>
        <v>1</v>
      </c>
      <c r="E95" s="9" t="s">
        <v>513</v>
      </c>
      <c r="F95" s="9" t="s">
        <v>513</v>
      </c>
      <c r="G95" s="9" t="b">
        <f t="shared" si="5"/>
        <v>1</v>
      </c>
      <c r="H95" s="9" t="str">
        <f>VLOOKUP(B95,[1]RXNS!$B:$D,3,FALSE)</f>
        <v>L-Aspartate[e] + H+[e] &lt;=&gt; L-Aspartate[c] + H+[c]</v>
      </c>
      <c r="I95" s="9">
        <f>VLOOKUP(B95,[1]RXNS!$B:$E,4,FALSE)</f>
        <v>0</v>
      </c>
      <c r="J95" s="9" t="s">
        <v>514</v>
      </c>
      <c r="K95" s="13"/>
      <c r="L95" s="9" t="b">
        <f t="shared" si="6"/>
        <v>1</v>
      </c>
      <c r="M95" s="9" t="b">
        <f t="shared" si="7"/>
        <v>0</v>
      </c>
      <c r="N95" s="13"/>
      <c r="O95" s="9">
        <v>-1000</v>
      </c>
      <c r="P95" s="9">
        <v>1000</v>
      </c>
      <c r="Q95" s="13"/>
      <c r="R95" s="13"/>
      <c r="S95" s="13"/>
      <c r="T95" s="9" t="s">
        <v>146</v>
      </c>
      <c r="U95" s="13"/>
      <c r="V95" s="9" t="s">
        <v>35</v>
      </c>
      <c r="W95" s="13"/>
      <c r="X95" s="9">
        <v>2</v>
      </c>
    </row>
    <row r="96" spans="1:24">
      <c r="A96" s="13"/>
      <c r="B96" s="9" t="s">
        <v>515</v>
      </c>
      <c r="C96" s="9" t="str">
        <f>VLOOKUP(B96,[1]RXNS!$B:$C,1,)</f>
        <v>ATPM</v>
      </c>
      <c r="D96" s="9" t="b">
        <f t="shared" si="4"/>
        <v>1</v>
      </c>
      <c r="E96" s="9" t="s">
        <v>516</v>
      </c>
      <c r="F96" s="9" t="s">
        <v>516</v>
      </c>
      <c r="G96" s="9" t="b">
        <f t="shared" si="5"/>
        <v>1</v>
      </c>
      <c r="H96" s="9" t="str">
        <f>VLOOKUP(B96,[1]RXNS!$B:$D,3,FALSE)</f>
        <v>ATP[c] + H2O[c] =&gt; ADP[c] + H+[c] + Phosphate[c]</v>
      </c>
      <c r="I96" s="9" t="s">
        <v>517</v>
      </c>
      <c r="J96" s="9" t="s">
        <v>518</v>
      </c>
      <c r="K96" s="9" t="s">
        <v>517</v>
      </c>
      <c r="L96" s="9" t="b">
        <f t="shared" si="6"/>
        <v>1</v>
      </c>
      <c r="M96" s="9" t="b">
        <f t="shared" si="7"/>
        <v>1</v>
      </c>
      <c r="N96" s="9" t="s">
        <v>519</v>
      </c>
      <c r="O96" s="9">
        <v>0.37</v>
      </c>
      <c r="P96" s="9">
        <v>0.37</v>
      </c>
      <c r="Q96" s="13"/>
      <c r="R96" s="13"/>
      <c r="S96" s="13"/>
      <c r="T96" s="9" t="s">
        <v>520</v>
      </c>
      <c r="U96" s="13"/>
      <c r="V96" s="9" t="s">
        <v>30</v>
      </c>
      <c r="W96" s="13"/>
      <c r="X96" s="9">
        <v>2</v>
      </c>
    </row>
    <row r="97" spans="1:24">
      <c r="A97" s="13"/>
      <c r="B97" s="9" t="s">
        <v>521</v>
      </c>
      <c r="C97" s="9" t="str">
        <f>VLOOKUP(B97,[1]RXNS!$B:$C,1,)</f>
        <v>ATPS3r</v>
      </c>
      <c r="D97" s="9" t="b">
        <f t="shared" si="4"/>
        <v>1</v>
      </c>
      <c r="E97" s="9" t="s">
        <v>522</v>
      </c>
      <c r="F97" s="9" t="s">
        <v>522</v>
      </c>
      <c r="G97" s="9" t="b">
        <f t="shared" si="5"/>
        <v>1</v>
      </c>
      <c r="H97" s="9" t="str">
        <f>VLOOKUP(B97,[1]RXNS!$B:$D,3,FALSE)</f>
        <v>ADP[c] + 3 H+[e] + Phosphate[c] &lt;=&gt; ATP[c] + H2O[c] + 2 H+[c]</v>
      </c>
      <c r="I97" s="9" t="s">
        <v>523</v>
      </c>
      <c r="J97" s="9" t="s">
        <v>524</v>
      </c>
      <c r="K97" s="9" t="s">
        <v>523</v>
      </c>
      <c r="L97" s="9" t="b">
        <f t="shared" si="6"/>
        <v>1</v>
      </c>
      <c r="M97" s="9" t="b">
        <f t="shared" si="7"/>
        <v>1</v>
      </c>
      <c r="N97" s="9" t="s">
        <v>525</v>
      </c>
      <c r="O97" s="9">
        <v>-1000</v>
      </c>
      <c r="P97" s="9">
        <v>1000</v>
      </c>
      <c r="Q97" s="13"/>
      <c r="R97" s="13"/>
      <c r="S97" s="9" t="s">
        <v>526</v>
      </c>
      <c r="T97" s="9" t="s">
        <v>520</v>
      </c>
      <c r="U97" s="13"/>
      <c r="V97" s="9" t="s">
        <v>30</v>
      </c>
      <c r="W97" s="13"/>
      <c r="X97" s="9">
        <v>2</v>
      </c>
    </row>
    <row r="98" spans="1:24">
      <c r="A98" s="13"/>
      <c r="B98" s="9" t="s">
        <v>527</v>
      </c>
      <c r="C98" s="9" t="str">
        <f>VLOOKUP(B98,[1]RXNS!$B:$C,1,)</f>
        <v>BTDD_RR</v>
      </c>
      <c r="D98" s="9" t="b">
        <f t="shared" si="4"/>
        <v>1</v>
      </c>
      <c r="E98" s="9" t="s">
        <v>528</v>
      </c>
      <c r="F98" s="9" t="s">
        <v>528</v>
      </c>
      <c r="G98" s="9" t="b">
        <f t="shared" si="5"/>
        <v>1</v>
      </c>
      <c r="H98" s="9" t="str">
        <f>VLOOKUP(B98,[1]RXNS!$B:$D,3,FALSE)</f>
        <v>(R,R)-2,3-Butanediol[c] + Nicotinamide adenine dinucleotide[c] &lt;=&gt; (R)-Acetoin[c] + H+[c] + Nicotinamide adenine dinucleotide - reduced[c]</v>
      </c>
      <c r="I98" s="9" t="s">
        <v>529</v>
      </c>
      <c r="J98" s="9" t="s">
        <v>530</v>
      </c>
      <c r="K98" s="9" t="s">
        <v>529</v>
      </c>
      <c r="L98" s="9" t="b">
        <f t="shared" si="6"/>
        <v>1</v>
      </c>
      <c r="M98" s="9" t="b">
        <f t="shared" si="7"/>
        <v>1</v>
      </c>
      <c r="N98" s="9" t="s">
        <v>136</v>
      </c>
      <c r="O98" s="9">
        <v>-1000</v>
      </c>
      <c r="P98" s="9">
        <v>1000</v>
      </c>
      <c r="Q98" s="13"/>
      <c r="R98" s="13"/>
      <c r="S98" s="9" t="s">
        <v>531</v>
      </c>
      <c r="T98" s="9" t="s">
        <v>114</v>
      </c>
      <c r="U98" s="13"/>
      <c r="V98" s="9" t="s">
        <v>30</v>
      </c>
      <c r="W98" s="13"/>
      <c r="X98" s="9">
        <v>2</v>
      </c>
    </row>
    <row r="99" spans="1:24">
      <c r="A99" s="13"/>
      <c r="B99" s="9" t="s">
        <v>532</v>
      </c>
      <c r="C99" s="9" t="str">
        <f>VLOOKUP(B99,[1]RXNS!$B:$C,1,)</f>
        <v>BTDt1_RR</v>
      </c>
      <c r="D99" s="9" t="b">
        <f t="shared" si="4"/>
        <v>1</v>
      </c>
      <c r="E99" s="9" t="s">
        <v>533</v>
      </c>
      <c r="F99" s="9" t="s">
        <v>533</v>
      </c>
      <c r="G99" s="9" t="b">
        <f t="shared" si="5"/>
        <v>1</v>
      </c>
      <c r="H99" s="9" t="str">
        <f>VLOOKUP(B99,[1]RXNS!$B:$D,3,FALSE)</f>
        <v>(R,R)-2,3-Butanediol[c] &lt;=&gt; (R,R)-2,3-Butanediol[e]</v>
      </c>
      <c r="I99" s="9">
        <f>VLOOKUP(B99,[1]RXNS!$B:$E,4,FALSE)</f>
        <v>0</v>
      </c>
      <c r="J99" s="9" t="s">
        <v>534</v>
      </c>
      <c r="K99" s="13"/>
      <c r="L99" s="9" t="b">
        <f t="shared" si="6"/>
        <v>1</v>
      </c>
      <c r="M99" s="9" t="b">
        <f t="shared" si="7"/>
        <v>0</v>
      </c>
      <c r="N99" s="13"/>
      <c r="O99" s="9">
        <v>-1000</v>
      </c>
      <c r="P99" s="9">
        <v>1000</v>
      </c>
      <c r="Q99" s="13"/>
      <c r="R99" s="13"/>
      <c r="S99" s="13"/>
      <c r="T99" s="9" t="s">
        <v>146</v>
      </c>
      <c r="U99" s="13"/>
      <c r="V99" s="9" t="s">
        <v>35</v>
      </c>
      <c r="W99" s="13"/>
      <c r="X99" s="9">
        <v>2</v>
      </c>
    </row>
    <row r="100" spans="1:24">
      <c r="A100" s="13"/>
      <c r="B100" s="9" t="s">
        <v>535</v>
      </c>
      <c r="C100" s="9" t="str">
        <f>VLOOKUP(B100,[1]RXNS!$B:$C,1,)</f>
        <v>BTMAT1</v>
      </c>
      <c r="D100" s="9" t="b">
        <f t="shared" si="4"/>
        <v>1</v>
      </c>
      <c r="E100" s="9" t="s">
        <v>536</v>
      </c>
      <c r="F100" s="9" t="s">
        <v>536</v>
      </c>
      <c r="G100" s="9" t="b">
        <f t="shared" si="5"/>
        <v>1</v>
      </c>
      <c r="H100" s="9" t="str">
        <f>VLOOKUP(B100,[1]RXNS!$B:$D,3,FALSE)</f>
        <v>But-2-enoyl-[acyl-carrier protein][c] + H+[c] + Nicotinamide adenine dinucleotide - reduced[c] =&gt; Butyryl-[acyl-carrier protein][c] + Nicotinamide adenine dinucleotide[c]</v>
      </c>
      <c r="I100" s="9" t="s">
        <v>537</v>
      </c>
      <c r="J100" s="9" t="s">
        <v>538</v>
      </c>
      <c r="K100" s="9" t="s">
        <v>537</v>
      </c>
      <c r="L100" s="9" t="b">
        <f t="shared" si="6"/>
        <v>1</v>
      </c>
      <c r="M100" s="9" t="b">
        <f t="shared" si="7"/>
        <v>1</v>
      </c>
      <c r="N100" s="9" t="s">
        <v>539</v>
      </c>
      <c r="O100" s="9">
        <v>0</v>
      </c>
      <c r="P100" s="9">
        <v>1000</v>
      </c>
      <c r="Q100" s="13"/>
      <c r="R100" s="13"/>
      <c r="S100" s="9" t="s">
        <v>540</v>
      </c>
      <c r="T100" s="9" t="s">
        <v>34</v>
      </c>
      <c r="U100" s="13"/>
      <c r="V100" s="9" t="s">
        <v>30</v>
      </c>
      <c r="W100" s="13"/>
      <c r="X100" s="9">
        <v>2</v>
      </c>
    </row>
    <row r="101" spans="1:24">
      <c r="A101" s="13"/>
      <c r="B101" s="9" t="s">
        <v>541</v>
      </c>
      <c r="C101" s="9" t="str">
        <f>VLOOKUP(B101,[1]RXNS!$B:$C,1,)</f>
        <v>BTNt2i</v>
      </c>
      <c r="D101" s="9" t="b">
        <f t="shared" si="4"/>
        <v>1</v>
      </c>
      <c r="E101" s="9" t="s">
        <v>542</v>
      </c>
      <c r="F101" s="9" t="s">
        <v>542</v>
      </c>
      <c r="G101" s="9" t="b">
        <f t="shared" si="5"/>
        <v>1</v>
      </c>
      <c r="H101" s="9" t="str">
        <f>VLOOKUP(B101,[1]RXNS!$B:$D,3,FALSE)</f>
        <v>Biotin[e] + H+[e] =&gt; Biotin[c] + H+[c]</v>
      </c>
      <c r="I101" s="9">
        <f>VLOOKUP(B101,[1]RXNS!$B:$E,4,FALSE)</f>
        <v>0</v>
      </c>
      <c r="J101" s="9" t="s">
        <v>543</v>
      </c>
      <c r="K101" s="13"/>
      <c r="L101" s="9" t="b">
        <f t="shared" si="6"/>
        <v>1</v>
      </c>
      <c r="M101" s="9" t="b">
        <f t="shared" si="7"/>
        <v>0</v>
      </c>
      <c r="N101" s="13"/>
      <c r="O101" s="9">
        <v>0</v>
      </c>
      <c r="P101" s="9">
        <v>1000</v>
      </c>
      <c r="Q101" s="13"/>
      <c r="R101" s="13"/>
      <c r="S101" s="13"/>
      <c r="T101" s="9" t="s">
        <v>146</v>
      </c>
      <c r="U101" s="13"/>
      <c r="V101" s="9" t="s">
        <v>35</v>
      </c>
      <c r="W101" s="13"/>
      <c r="X101" s="9">
        <v>2</v>
      </c>
    </row>
    <row r="102" spans="1:24">
      <c r="A102" s="13"/>
      <c r="B102" s="9" t="s">
        <v>544</v>
      </c>
      <c r="C102" s="9" t="str">
        <f>VLOOKUP(B102,[1]RXNS!$B:$C,1,)</f>
        <v>CBIA</v>
      </c>
      <c r="D102" s="9" t="b">
        <f t="shared" si="4"/>
        <v>1</v>
      </c>
      <c r="E102" s="9" t="s">
        <v>545</v>
      </c>
      <c r="F102" s="9" t="s">
        <v>545</v>
      </c>
      <c r="G102" s="9" t="b">
        <f t="shared" si="5"/>
        <v>1</v>
      </c>
      <c r="H102" s="9" t="str">
        <f>VLOOKUP(B102,[1]RXNS!$B:$D,3,FALSE)</f>
        <v>2 ATP[c] + Cobyrinate[c] + 2 L-Glutamine[c] + 2 H2O[c] =&gt; 2 ADP[c] + Cob(II)yrinate a,c diamide[c] + 2 L-Glutamate[c] + 2 H+[c] + 2 Phosphate[c]</v>
      </c>
      <c r="I102" s="9" t="s">
        <v>546</v>
      </c>
      <c r="J102" s="9" t="s">
        <v>547</v>
      </c>
      <c r="K102" s="9" t="s">
        <v>546</v>
      </c>
      <c r="L102" s="9" t="b">
        <f t="shared" si="6"/>
        <v>1</v>
      </c>
      <c r="M102" s="9" t="b">
        <f t="shared" si="7"/>
        <v>1</v>
      </c>
      <c r="N102" s="13"/>
      <c r="O102" s="9">
        <v>0</v>
      </c>
      <c r="P102" s="9">
        <v>1000</v>
      </c>
      <c r="Q102" s="13"/>
      <c r="R102" s="13"/>
      <c r="S102" s="13"/>
      <c r="T102" s="9" t="s">
        <v>85</v>
      </c>
      <c r="U102" s="13"/>
      <c r="V102" s="9" t="s">
        <v>35</v>
      </c>
      <c r="W102" s="13"/>
      <c r="X102" s="9">
        <v>2</v>
      </c>
    </row>
    <row r="103" spans="1:24">
      <c r="A103" s="13"/>
      <c r="B103" s="9" t="s">
        <v>548</v>
      </c>
      <c r="C103" s="9" t="str">
        <f>VLOOKUP(B103,[1]RXNS!$B:$C,1,)</f>
        <v>CBIAT</v>
      </c>
      <c r="D103" s="9" t="b">
        <f t="shared" si="4"/>
        <v>1</v>
      </c>
      <c r="E103" s="9" t="s">
        <v>549</v>
      </c>
      <c r="F103" s="9" t="s">
        <v>549</v>
      </c>
      <c r="G103" s="9" t="b">
        <f t="shared" si="5"/>
        <v>1</v>
      </c>
      <c r="H103" s="9" t="str">
        <f>VLOOKUP(B103,[1]RXNS!$B:$D,3,FALSE)</f>
        <v>ATP[c] + Cobinamide[c] + H2O[c] &lt;=&gt; Adenosyl cobinamide[c] + Phosphate[c] + Diphosphate[c]</v>
      </c>
      <c r="I103" s="9" t="s">
        <v>550</v>
      </c>
      <c r="J103" s="9" t="s">
        <v>551</v>
      </c>
      <c r="K103" s="9" t="s">
        <v>550</v>
      </c>
      <c r="L103" s="9" t="b">
        <f t="shared" si="6"/>
        <v>1</v>
      </c>
      <c r="M103" s="9" t="b">
        <f t="shared" si="7"/>
        <v>1</v>
      </c>
      <c r="N103" s="13"/>
      <c r="O103" s="9">
        <v>-1000</v>
      </c>
      <c r="P103" s="9">
        <v>1000</v>
      </c>
      <c r="Q103" s="13"/>
      <c r="R103" s="13"/>
      <c r="S103" s="13"/>
      <c r="T103" s="9" t="s">
        <v>85</v>
      </c>
      <c r="U103" s="13"/>
      <c r="V103" s="9" t="s">
        <v>35</v>
      </c>
      <c r="W103" s="13"/>
      <c r="X103" s="9">
        <v>2</v>
      </c>
    </row>
    <row r="104" spans="1:24">
      <c r="A104" s="13"/>
      <c r="B104" s="9" t="s">
        <v>552</v>
      </c>
      <c r="C104" s="9" t="str">
        <f>VLOOKUP(B104,[1]RXNS!$B:$C,1,)</f>
        <v>CBLAT</v>
      </c>
      <c r="D104" s="9" t="b">
        <f t="shared" si="4"/>
        <v>1</v>
      </c>
      <c r="E104" s="9" t="s">
        <v>553</v>
      </c>
      <c r="F104" s="9" t="s">
        <v>553</v>
      </c>
      <c r="G104" s="9" t="b">
        <f t="shared" si="5"/>
        <v>1</v>
      </c>
      <c r="H104" s="9" t="str">
        <f>VLOOKUP(B104,[1]RXNS!$B:$D,3,FALSE)</f>
        <v>ATP[c] + Cob(I)alamin[c] + H+[c] &lt;=&gt; Cobamide coenzyme[c] + Inorganic triphosphate[c]</v>
      </c>
      <c r="I104" s="9" t="s">
        <v>550</v>
      </c>
      <c r="J104" s="9" t="s">
        <v>554</v>
      </c>
      <c r="K104" s="9" t="s">
        <v>550</v>
      </c>
      <c r="L104" s="9" t="b">
        <f t="shared" si="6"/>
        <v>1</v>
      </c>
      <c r="M104" s="9" t="b">
        <f t="shared" si="7"/>
        <v>1</v>
      </c>
      <c r="N104" s="13"/>
      <c r="O104" s="9">
        <v>-1000</v>
      </c>
      <c r="P104" s="9">
        <v>1000</v>
      </c>
      <c r="Q104" s="13"/>
      <c r="R104" s="13"/>
      <c r="S104" s="13"/>
      <c r="T104" s="9" t="s">
        <v>85</v>
      </c>
      <c r="U104" s="13"/>
      <c r="V104" s="9" t="s">
        <v>35</v>
      </c>
      <c r="W104" s="13"/>
      <c r="X104" s="9">
        <v>2</v>
      </c>
    </row>
    <row r="105" spans="1:24">
      <c r="A105" s="13"/>
      <c r="B105" s="9" t="s">
        <v>555</v>
      </c>
      <c r="C105" s="9" t="str">
        <f>VLOOKUP(B105,[1]RXNS!$B:$C,1,)</f>
        <v>CBMKr</v>
      </c>
      <c r="D105" s="9" t="b">
        <f t="shared" si="4"/>
        <v>1</v>
      </c>
      <c r="E105" s="9" t="s">
        <v>556</v>
      </c>
      <c r="F105" s="9" t="s">
        <v>556</v>
      </c>
      <c r="G105" s="9" t="b">
        <f t="shared" si="5"/>
        <v>1</v>
      </c>
      <c r="H105" s="9" t="str">
        <f>VLOOKUP(B105,[1]RXNS!$B:$D,3,FALSE)</f>
        <v>ATP[c] + CO2[c] + Ammonium[c] &lt;=&gt; ADP[c] + Carbamoyl phosphate[c] + 2 H+[c]</v>
      </c>
      <c r="I105" s="9" t="s">
        <v>557</v>
      </c>
      <c r="J105" s="9" t="s">
        <v>558</v>
      </c>
      <c r="K105" s="9" t="s">
        <v>557</v>
      </c>
      <c r="L105" s="9" t="b">
        <f t="shared" si="6"/>
        <v>0</v>
      </c>
      <c r="M105" s="9" t="b">
        <f t="shared" si="7"/>
        <v>1</v>
      </c>
      <c r="N105" s="9" t="s">
        <v>559</v>
      </c>
      <c r="O105" s="9">
        <v>0</v>
      </c>
      <c r="P105" s="9">
        <v>1000</v>
      </c>
      <c r="Q105" s="13"/>
      <c r="R105" s="13"/>
      <c r="S105" s="9" t="s">
        <v>560</v>
      </c>
      <c r="T105" s="9" t="s">
        <v>96</v>
      </c>
      <c r="U105" s="13"/>
      <c r="V105" s="9" t="s">
        <v>30</v>
      </c>
      <c r="W105" s="13"/>
      <c r="X105" s="9">
        <v>2</v>
      </c>
    </row>
    <row r="106" spans="1:24">
      <c r="A106" s="13"/>
      <c r="B106" s="9" t="s">
        <v>561</v>
      </c>
      <c r="C106" s="9" t="str">
        <f>VLOOKUP(B106,[1]RXNS!$B:$C,1,)</f>
        <v>CBPS</v>
      </c>
      <c r="D106" s="9" t="b">
        <f t="shared" si="4"/>
        <v>1</v>
      </c>
      <c r="E106" s="9" t="s">
        <v>562</v>
      </c>
      <c r="F106" s="9" t="s">
        <v>562</v>
      </c>
      <c r="G106" s="9" t="b">
        <f t="shared" si="5"/>
        <v>1</v>
      </c>
      <c r="H106" s="9" t="str">
        <f>VLOOKUP(B106,[1]RXNS!$B:$D,3,FALSE)</f>
        <v>2 ATP[c] + L-Glutamine[c] + H2O[c] + Bicarbonate[c] =&gt; 2 ADP[c] + Carbamoyl phosphate[c] + L-Glutamate[c] + 2 H+[c] + Phosphate[c]</v>
      </c>
      <c r="I106" s="9" t="s">
        <v>563</v>
      </c>
      <c r="J106" s="9" t="s">
        <v>564</v>
      </c>
      <c r="K106" s="9" t="s">
        <v>563</v>
      </c>
      <c r="L106" s="9" t="b">
        <f t="shared" si="6"/>
        <v>1</v>
      </c>
      <c r="M106" s="9" t="b">
        <f t="shared" si="7"/>
        <v>1</v>
      </c>
      <c r="N106" s="9" t="s">
        <v>565</v>
      </c>
      <c r="O106" s="9">
        <v>0</v>
      </c>
      <c r="P106" s="9">
        <v>1000</v>
      </c>
      <c r="Q106" s="13"/>
      <c r="R106" s="13"/>
      <c r="S106" s="9" t="s">
        <v>566</v>
      </c>
      <c r="T106" s="9" t="s">
        <v>49</v>
      </c>
      <c r="U106" s="13"/>
      <c r="V106" s="9" t="s">
        <v>30</v>
      </c>
      <c r="W106" s="13"/>
      <c r="X106" s="9">
        <v>2</v>
      </c>
    </row>
    <row r="107" spans="1:24">
      <c r="A107" s="13"/>
      <c r="B107" s="9" t="s">
        <v>567</v>
      </c>
      <c r="C107" s="9" t="str">
        <f>VLOOKUP(B107,[1]RXNS!$B:$C,1,)</f>
        <v>CDPMEK</v>
      </c>
      <c r="D107" s="9" t="b">
        <f t="shared" si="4"/>
        <v>1</v>
      </c>
      <c r="E107" s="9" t="s">
        <v>568</v>
      </c>
      <c r="F107" s="9" t="s">
        <v>568</v>
      </c>
      <c r="G107" s="9" t="b">
        <f t="shared" si="5"/>
        <v>1</v>
      </c>
      <c r="H107" s="9" t="str">
        <f>VLOOKUP(B107,[1]RXNS!$B:$D,3,FALSE)</f>
        <v>4-(cytidine 5'-diphospho)-2-C-methyl-D-erythritol[c] + ATP[c] =&gt; 2-phospho-4-(cytidine 5'-diphospho)-2-C-methyl-D-erythritol[c] + ADP[c] + H+[c]</v>
      </c>
      <c r="I107" s="9" t="s">
        <v>569</v>
      </c>
      <c r="J107" s="9" t="s">
        <v>570</v>
      </c>
      <c r="K107" s="9" t="s">
        <v>569</v>
      </c>
      <c r="L107" s="9" t="b">
        <f t="shared" si="6"/>
        <v>1</v>
      </c>
      <c r="M107" s="9" t="b">
        <f t="shared" si="7"/>
        <v>1</v>
      </c>
      <c r="N107" s="9" t="s">
        <v>571</v>
      </c>
      <c r="O107" s="9">
        <v>0</v>
      </c>
      <c r="P107" s="9">
        <v>1000</v>
      </c>
      <c r="Q107" s="13"/>
      <c r="R107" s="13"/>
      <c r="S107" s="9" t="s">
        <v>572</v>
      </c>
      <c r="T107" s="9" t="s">
        <v>573</v>
      </c>
      <c r="U107" s="13"/>
      <c r="V107" s="9" t="s">
        <v>30</v>
      </c>
      <c r="W107" s="13"/>
      <c r="X107" s="9">
        <v>2</v>
      </c>
    </row>
    <row r="108" spans="1:24">
      <c r="A108" s="13"/>
      <c r="B108" s="9" t="s">
        <v>574</v>
      </c>
      <c r="C108" s="9" t="str">
        <f>VLOOKUP(B108,[1]RXNS!$B:$C,1,)</f>
        <v>CFAS180</v>
      </c>
      <c r="D108" s="9" t="b">
        <f t="shared" si="4"/>
        <v>1</v>
      </c>
      <c r="E108" s="9" t="s">
        <v>575</v>
      </c>
      <c r="F108" s="9" t="s">
        <v>575</v>
      </c>
      <c r="G108" s="9" t="b">
        <f t="shared" si="5"/>
        <v>1</v>
      </c>
      <c r="H108" s="9" t="str">
        <f>VLOOKUP(B108,[1]RXNS!$B:$D,3,FALSE)</f>
        <v>S-Adenosyl-L-methionine[c] + Octadecenoyl-ACP (n-C18:1ACP)[c] =&gt; S-Adenosyl-L-homocysteine[c] + cyclopropanoyl octadecanoyl-[acyl-carrier protein][c] + H+[c]</v>
      </c>
      <c r="I108" s="9" t="s">
        <v>576</v>
      </c>
      <c r="J108" s="9" t="s">
        <v>577</v>
      </c>
      <c r="K108" s="9" t="s">
        <v>576</v>
      </c>
      <c r="L108" s="9" t="b">
        <f t="shared" si="6"/>
        <v>1</v>
      </c>
      <c r="M108" s="9" t="b">
        <f t="shared" si="7"/>
        <v>1</v>
      </c>
      <c r="N108" s="9" t="s">
        <v>578</v>
      </c>
      <c r="O108" s="9">
        <v>0</v>
      </c>
      <c r="P108" s="9">
        <v>1000</v>
      </c>
      <c r="Q108" s="13"/>
      <c r="R108" s="13"/>
      <c r="S108" s="9" t="s">
        <v>579</v>
      </c>
      <c r="T108" s="9" t="s">
        <v>34</v>
      </c>
      <c r="U108" s="13"/>
      <c r="V108" s="9" t="s">
        <v>30</v>
      </c>
      <c r="W108" s="13"/>
      <c r="X108" s="9">
        <v>2</v>
      </c>
    </row>
    <row r="109" spans="1:24">
      <c r="A109" s="13"/>
      <c r="B109" s="9" t="s">
        <v>580</v>
      </c>
      <c r="C109" s="9" t="str">
        <f>VLOOKUP(B109,[1]RXNS!$B:$C,1,)</f>
        <v>CHLabc</v>
      </c>
      <c r="D109" s="9" t="b">
        <f t="shared" si="4"/>
        <v>1</v>
      </c>
      <c r="E109" s="9" t="s">
        <v>581</v>
      </c>
      <c r="F109" s="9" t="s">
        <v>581</v>
      </c>
      <c r="G109" s="9" t="b">
        <f t="shared" si="5"/>
        <v>1</v>
      </c>
      <c r="H109" s="9" t="str">
        <f>VLOOKUP(B109,[1]RXNS!$B:$D,3,FALSE)</f>
        <v>ATP[c] + Choline[e] + H2O[c] =&gt; ADP[c] + Choline[c] + H+[c] + Phosphate[c]</v>
      </c>
      <c r="I109" s="9">
        <f>VLOOKUP(B109,[1]RXNS!$B:$E,4,FALSE)</f>
        <v>0</v>
      </c>
      <c r="J109" s="9" t="s">
        <v>582</v>
      </c>
      <c r="K109" s="13"/>
      <c r="L109" s="9" t="b">
        <f t="shared" si="6"/>
        <v>1</v>
      </c>
      <c r="M109" s="9" t="b">
        <f t="shared" si="7"/>
        <v>0</v>
      </c>
      <c r="N109" s="9" t="s">
        <v>583</v>
      </c>
      <c r="O109" s="9">
        <v>0</v>
      </c>
      <c r="P109" s="9">
        <v>1000</v>
      </c>
      <c r="Q109" s="13"/>
      <c r="R109" s="13"/>
      <c r="S109" s="9" t="s">
        <v>584</v>
      </c>
      <c r="T109" s="9" t="s">
        <v>146</v>
      </c>
      <c r="U109" s="13"/>
      <c r="V109" s="9" t="s">
        <v>30</v>
      </c>
      <c r="W109" s="13"/>
      <c r="X109" s="9">
        <v>2</v>
      </c>
    </row>
    <row r="110" spans="1:24">
      <c r="A110" s="13"/>
      <c r="B110" s="9" t="s">
        <v>585</v>
      </c>
      <c r="C110" s="9" t="str">
        <f>VLOOKUP(B110,[1]RXNS!$B:$C,1,)</f>
        <v>CHLt6</v>
      </c>
      <c r="D110" s="9" t="b">
        <f t="shared" si="4"/>
        <v>1</v>
      </c>
      <c r="E110" s="9" t="s">
        <v>586</v>
      </c>
      <c r="F110" s="9" t="s">
        <v>586</v>
      </c>
      <c r="G110" s="9" t="b">
        <f t="shared" si="5"/>
        <v>1</v>
      </c>
      <c r="H110" s="9" t="str">
        <f>VLOOKUP(B110,[1]RXNS!$B:$D,3,FALSE)</f>
        <v>Choline[e] + H+[e] &lt;=&gt; Choline[c] + H+[c]</v>
      </c>
      <c r="I110" s="9">
        <f>VLOOKUP(B110,[1]RXNS!$B:$E,4,FALSE)</f>
        <v>0</v>
      </c>
      <c r="J110" s="9" t="s">
        <v>587</v>
      </c>
      <c r="K110" s="13"/>
      <c r="L110" s="9" t="b">
        <f t="shared" si="6"/>
        <v>1</v>
      </c>
      <c r="M110" s="9" t="b">
        <f t="shared" si="7"/>
        <v>0</v>
      </c>
      <c r="N110" s="9" t="s">
        <v>588</v>
      </c>
      <c r="O110" s="9">
        <v>-1000</v>
      </c>
      <c r="P110" s="9">
        <v>1000</v>
      </c>
      <c r="Q110" s="13"/>
      <c r="R110" s="13"/>
      <c r="S110" s="13"/>
      <c r="T110" s="9" t="s">
        <v>146</v>
      </c>
      <c r="U110" s="13"/>
      <c r="V110" s="9" t="s">
        <v>30</v>
      </c>
      <c r="W110" s="13"/>
      <c r="X110" s="9">
        <v>2</v>
      </c>
    </row>
    <row r="111" spans="1:24">
      <c r="A111" s="13"/>
      <c r="B111" s="9" t="s">
        <v>589</v>
      </c>
      <c r="C111" s="9" t="str">
        <f>VLOOKUP(B111,[1]RXNS!$B:$C,1,)</f>
        <v>CLPNS_LRE</v>
      </c>
      <c r="D111" s="9" t="b">
        <f t="shared" si="4"/>
        <v>1</v>
      </c>
      <c r="E111" s="9" t="s">
        <v>590</v>
      </c>
      <c r="F111" s="9" t="s">
        <v>590</v>
      </c>
      <c r="G111" s="9" t="b">
        <f t="shared" si="5"/>
        <v>1</v>
      </c>
      <c r="H111" s="9" t="str">
        <f>VLOOKUP(B111,[1]RXNS!$B:$D,3,FALSE)</f>
        <v>2 Phospatidylglycerol (LRE specific)[c] &lt;=&gt; Cardiolipin (LRE specific)[c] + Glycerol[c]</v>
      </c>
      <c r="I111" s="9" t="s">
        <v>591</v>
      </c>
      <c r="J111" s="9" t="s">
        <v>592</v>
      </c>
      <c r="K111" s="9" t="s">
        <v>591</v>
      </c>
      <c r="L111" s="9" t="b">
        <f t="shared" si="6"/>
        <v>1</v>
      </c>
      <c r="M111" s="9" t="b">
        <f t="shared" si="7"/>
        <v>1</v>
      </c>
      <c r="N111" s="9" t="s">
        <v>593</v>
      </c>
      <c r="O111" s="9">
        <v>-1000</v>
      </c>
      <c r="P111" s="9">
        <v>1000</v>
      </c>
      <c r="Q111" s="13"/>
      <c r="R111" s="13"/>
      <c r="S111" s="13"/>
      <c r="T111" s="9" t="s">
        <v>29</v>
      </c>
      <c r="U111" s="13"/>
      <c r="V111" s="9" t="s">
        <v>30</v>
      </c>
      <c r="W111" s="13"/>
      <c r="X111" s="9">
        <v>2</v>
      </c>
    </row>
    <row r="112" spans="1:24">
      <c r="A112" s="13"/>
      <c r="B112" s="9" t="s">
        <v>594</v>
      </c>
      <c r="C112" s="9" t="str">
        <f>VLOOKUP(B112,[1]RXNS!$B:$C,1,)</f>
        <v>CMLDC</v>
      </c>
      <c r="D112" s="9" t="b">
        <f t="shared" si="4"/>
        <v>1</v>
      </c>
      <c r="E112" s="9" t="s">
        <v>595</v>
      </c>
      <c r="F112" s="9" t="s">
        <v>595</v>
      </c>
      <c r="G112" s="9" t="b">
        <f t="shared" si="5"/>
        <v>1</v>
      </c>
      <c r="H112" s="9" t="str">
        <f>VLOOKUP(B112,[1]RXNS!$B:$D,3,FALSE)</f>
        <v>2-Carboxy-2,5-dihydro-5-oxofuran-2-acetate[c] =&gt; 5-Oxo-4,5-dihydrofuran-2-acetate[c] + CO2[c] + H+[c]</v>
      </c>
      <c r="I112" s="9" t="s">
        <v>596</v>
      </c>
      <c r="J112" s="9" t="s">
        <v>597</v>
      </c>
      <c r="K112" s="9" t="s">
        <v>596</v>
      </c>
      <c r="L112" s="9" t="b">
        <f t="shared" si="6"/>
        <v>1</v>
      </c>
      <c r="M112" s="9" t="b">
        <f t="shared" si="7"/>
        <v>1</v>
      </c>
      <c r="N112" s="9" t="s">
        <v>598</v>
      </c>
      <c r="O112" s="9">
        <v>0</v>
      </c>
      <c r="P112" s="9">
        <v>1000</v>
      </c>
      <c r="Q112" s="13"/>
      <c r="R112" s="13"/>
      <c r="S112" s="13"/>
      <c r="T112" s="9" t="s">
        <v>599</v>
      </c>
      <c r="U112" s="13"/>
      <c r="V112" s="9" t="s">
        <v>30</v>
      </c>
      <c r="W112" s="13"/>
      <c r="X112" s="9">
        <v>2</v>
      </c>
    </row>
    <row r="113" spans="1:24">
      <c r="A113" s="13"/>
      <c r="B113" s="9" t="s">
        <v>600</v>
      </c>
      <c r="C113" s="9" t="str">
        <f>VLOOKUP(B113,[1]RXNS!$B:$C,1,)</f>
        <v>CO2t</v>
      </c>
      <c r="D113" s="9" t="b">
        <f t="shared" si="4"/>
        <v>1</v>
      </c>
      <c r="E113" s="9" t="s">
        <v>601</v>
      </c>
      <c r="F113" s="9" t="s">
        <v>601</v>
      </c>
      <c r="G113" s="9" t="b">
        <f t="shared" si="5"/>
        <v>1</v>
      </c>
      <c r="H113" s="9" t="str">
        <f>VLOOKUP(B113,[1]RXNS!$B:$D,3,FALSE)</f>
        <v>CO2[e] &lt;=&gt; CO2[c]</v>
      </c>
      <c r="I113" s="9">
        <f>VLOOKUP(B113,[1]RXNS!$B:$E,4,FALSE)</f>
        <v>0</v>
      </c>
      <c r="J113" s="9" t="s">
        <v>602</v>
      </c>
      <c r="K113" s="13"/>
      <c r="L113" s="9" t="b">
        <f t="shared" si="6"/>
        <v>1</v>
      </c>
      <c r="M113" s="9" t="b">
        <f t="shared" si="7"/>
        <v>0</v>
      </c>
      <c r="N113" s="13"/>
      <c r="O113" s="9">
        <v>-1000</v>
      </c>
      <c r="P113" s="9">
        <v>1000</v>
      </c>
      <c r="Q113" s="13"/>
      <c r="R113" s="13"/>
      <c r="S113" s="13"/>
      <c r="T113" s="9" t="s">
        <v>146</v>
      </c>
      <c r="U113" s="13"/>
      <c r="V113" s="9" t="s">
        <v>35</v>
      </c>
      <c r="W113" s="13"/>
      <c r="X113" s="9">
        <v>2</v>
      </c>
    </row>
    <row r="114" spans="1:24">
      <c r="A114" s="13"/>
      <c r="B114" s="9" t="s">
        <v>603</v>
      </c>
      <c r="C114" s="9" t="str">
        <f>VLOOKUP(B114,[1]RXNS!$B:$C,1,)</f>
        <v>COBALTt5</v>
      </c>
      <c r="D114" s="9" t="b">
        <f t="shared" si="4"/>
        <v>1</v>
      </c>
      <c r="E114" s="9" t="s">
        <v>604</v>
      </c>
      <c r="F114" s="9" t="s">
        <v>604</v>
      </c>
      <c r="G114" s="9" t="b">
        <f t="shared" si="5"/>
        <v>1</v>
      </c>
      <c r="H114" s="9" t="str">
        <f>VLOOKUP(B114,[1]RXNS!$B:$D,3,FALSE)</f>
        <v>Co2+[c] &lt;=&gt; Co2+[e]</v>
      </c>
      <c r="I114" s="9">
        <f>VLOOKUP(B114,[1]RXNS!$B:$E,4,FALSE)</f>
        <v>0</v>
      </c>
      <c r="J114" s="9" t="s">
        <v>605</v>
      </c>
      <c r="K114" s="13"/>
      <c r="L114" s="9" t="b">
        <f t="shared" si="6"/>
        <v>1</v>
      </c>
      <c r="M114" s="9" t="b">
        <f t="shared" si="7"/>
        <v>0</v>
      </c>
      <c r="N114" s="9" t="s">
        <v>606</v>
      </c>
      <c r="O114" s="9">
        <v>-1000</v>
      </c>
      <c r="P114" s="9">
        <v>1000</v>
      </c>
      <c r="Q114" s="13"/>
      <c r="R114" s="13"/>
      <c r="S114" s="13"/>
      <c r="T114" s="9" t="s">
        <v>146</v>
      </c>
      <c r="U114" s="13"/>
      <c r="V114" s="9" t="s">
        <v>30</v>
      </c>
      <c r="W114" s="13"/>
      <c r="X114" s="9">
        <v>2</v>
      </c>
    </row>
    <row r="115" spans="1:24">
      <c r="A115" s="13"/>
      <c r="B115" s="9" t="s">
        <v>607</v>
      </c>
      <c r="C115" s="9" t="str">
        <f>VLOOKUP(B115,[1]RXNS!$B:$C,1,)</f>
        <v>COPREC2MT</v>
      </c>
      <c r="D115" s="9" t="b">
        <f t="shared" si="4"/>
        <v>1</v>
      </c>
      <c r="E115" s="9" t="s">
        <v>608</v>
      </c>
      <c r="F115" s="9" t="s">
        <v>608</v>
      </c>
      <c r="G115" s="9" t="b">
        <f t="shared" si="5"/>
        <v>1</v>
      </c>
      <c r="H115" s="9" t="str">
        <f>VLOOKUP(B115,[1]RXNS!$B:$D,3,FALSE)</f>
        <v>S-Adenosyl-L-methionine[c] + cobalt-precorrin2[c] =&gt; S-Adenosyl-L-homocysteine[c] + Cobalt-precorrin 3[c] + H+[c]</v>
      </c>
      <c r="I115" s="9">
        <f>VLOOKUP(B115,[1]RXNS!$B:$E,4,FALSE)</f>
        <v>0</v>
      </c>
      <c r="J115" s="9" t="s">
        <v>609</v>
      </c>
      <c r="K115" s="13"/>
      <c r="L115" s="9" t="b">
        <f t="shared" si="6"/>
        <v>1</v>
      </c>
      <c r="M115" s="9" t="b">
        <f t="shared" si="7"/>
        <v>0</v>
      </c>
      <c r="N115" s="13"/>
      <c r="O115" s="9">
        <v>0</v>
      </c>
      <c r="P115" s="9">
        <v>1000</v>
      </c>
      <c r="Q115" s="13"/>
      <c r="R115" s="13"/>
      <c r="S115" s="13"/>
      <c r="T115" s="9" t="s">
        <v>29</v>
      </c>
      <c r="U115" s="13"/>
      <c r="V115" s="9" t="s">
        <v>35</v>
      </c>
      <c r="W115" s="13"/>
      <c r="X115" s="9">
        <v>2</v>
      </c>
    </row>
    <row r="116" spans="1:24">
      <c r="A116" s="13"/>
      <c r="B116" s="9" t="s">
        <v>610</v>
      </c>
      <c r="C116" s="9" t="str">
        <f>VLOOKUP(B116,[1]RXNS!$B:$C,1,)</f>
        <v>COPREC3MT</v>
      </c>
      <c r="D116" s="9" t="b">
        <f t="shared" si="4"/>
        <v>1</v>
      </c>
      <c r="E116" s="9" t="s">
        <v>611</v>
      </c>
      <c r="F116" s="9" t="s">
        <v>611</v>
      </c>
      <c r="G116" s="9" t="b">
        <f t="shared" si="5"/>
        <v>1</v>
      </c>
      <c r="H116" s="9" t="str">
        <f>VLOOKUP(B116,[1]RXNS!$B:$D,3,FALSE)</f>
        <v>S-Adenosyl-L-methionine[c] + Cobalt-precorrin 3[c] =&gt; S-Adenosyl-L-homocysteine[c] + Cobalt-precorrin 4[c]</v>
      </c>
      <c r="I116" s="9" t="s">
        <v>612</v>
      </c>
      <c r="J116" s="9" t="s">
        <v>613</v>
      </c>
      <c r="K116" s="9" t="s">
        <v>612</v>
      </c>
      <c r="L116" s="9" t="b">
        <f t="shared" si="6"/>
        <v>1</v>
      </c>
      <c r="M116" s="9" t="b">
        <f t="shared" si="7"/>
        <v>1</v>
      </c>
      <c r="N116" s="13"/>
      <c r="O116" s="9">
        <v>0</v>
      </c>
      <c r="P116" s="9">
        <v>1000</v>
      </c>
      <c r="Q116" s="13"/>
      <c r="R116" s="13"/>
      <c r="S116" s="13"/>
      <c r="T116" s="9" t="s">
        <v>85</v>
      </c>
      <c r="U116" s="13"/>
      <c r="V116" s="9" t="s">
        <v>35</v>
      </c>
      <c r="W116" s="13"/>
      <c r="X116" s="9">
        <v>2</v>
      </c>
    </row>
    <row r="117" spans="1:24">
      <c r="A117" s="13"/>
      <c r="B117" s="9" t="s">
        <v>614</v>
      </c>
      <c r="C117" s="9" t="str">
        <f>VLOOKUP(B117,[1]RXNS!$B:$C,1,)</f>
        <v>COPREC4MT</v>
      </c>
      <c r="D117" s="9" t="b">
        <f t="shared" si="4"/>
        <v>1</v>
      </c>
      <c r="E117" s="9" t="s">
        <v>615</v>
      </c>
      <c r="F117" s="9" t="s">
        <v>615</v>
      </c>
      <c r="G117" s="9" t="b">
        <f t="shared" si="5"/>
        <v>1</v>
      </c>
      <c r="H117" s="9" t="str">
        <f>VLOOKUP(B117,[1]RXNS!$B:$D,3,FALSE)</f>
        <v>S-Adenosyl-L-methionine[c] + Cobalt-precorrin 4[c] =&gt; S-Adenosyl-L-homocysteine[c] + Cobalt-precorrin 5[c] + H+[c]</v>
      </c>
      <c r="I117" s="9" t="s">
        <v>616</v>
      </c>
      <c r="J117" s="9" t="s">
        <v>617</v>
      </c>
      <c r="K117" s="9" t="s">
        <v>616</v>
      </c>
      <c r="L117" s="9" t="b">
        <f t="shared" si="6"/>
        <v>1</v>
      </c>
      <c r="M117" s="9" t="b">
        <f t="shared" si="7"/>
        <v>1</v>
      </c>
      <c r="N117" s="13"/>
      <c r="O117" s="9">
        <v>0</v>
      </c>
      <c r="P117" s="9">
        <v>1000</v>
      </c>
      <c r="Q117" s="13"/>
      <c r="R117" s="13"/>
      <c r="S117" s="13"/>
      <c r="T117" s="9" t="s">
        <v>85</v>
      </c>
      <c r="U117" s="13"/>
      <c r="V117" s="9" t="s">
        <v>35</v>
      </c>
      <c r="W117" s="13"/>
      <c r="X117" s="9">
        <v>2</v>
      </c>
    </row>
    <row r="118" spans="1:24">
      <c r="A118" s="13"/>
      <c r="B118" s="9" t="s">
        <v>618</v>
      </c>
      <c r="C118" s="9" t="str">
        <f>VLOOKUP(B118,[1]RXNS!$B:$C,1,)</f>
        <v>COPREC6MT</v>
      </c>
      <c r="D118" s="9" t="b">
        <f t="shared" si="4"/>
        <v>1</v>
      </c>
      <c r="E118" s="9" t="s">
        <v>619</v>
      </c>
      <c r="F118" s="9" t="s">
        <v>619</v>
      </c>
      <c r="G118" s="9" t="b">
        <f t="shared" si="5"/>
        <v>1</v>
      </c>
      <c r="H118" s="9" t="str">
        <f>VLOOKUP(B118,[1]RXNS!$B:$D,3,FALSE)</f>
        <v>2 S-Adenosyl-L-methionine[c] + Cobalt-dihydro-precorrin 6[c] =&gt; 2 S-Adenosyl-L-homocysteine[c] + CO2[c] + Cobalt-precorrin 8[c] + H+[c]</v>
      </c>
      <c r="I118" s="9" t="s">
        <v>620</v>
      </c>
      <c r="J118" s="9" t="s">
        <v>621</v>
      </c>
      <c r="K118" s="9" t="s">
        <v>620</v>
      </c>
      <c r="L118" s="9" t="b">
        <f t="shared" si="6"/>
        <v>1</v>
      </c>
      <c r="M118" s="9" t="b">
        <f t="shared" si="7"/>
        <v>1</v>
      </c>
      <c r="N118" s="13"/>
      <c r="O118" s="9">
        <v>0</v>
      </c>
      <c r="P118" s="9">
        <v>1000</v>
      </c>
      <c r="Q118" s="13"/>
      <c r="R118" s="13"/>
      <c r="S118" s="13"/>
      <c r="T118" s="9" t="s">
        <v>160</v>
      </c>
      <c r="U118" s="13"/>
      <c r="V118" s="9" t="s">
        <v>35</v>
      </c>
      <c r="W118" s="13"/>
      <c r="X118" s="9">
        <v>2</v>
      </c>
    </row>
    <row r="119" spans="1:24">
      <c r="A119" s="13"/>
      <c r="B119" s="9" t="s">
        <v>622</v>
      </c>
      <c r="C119" s="9" t="str">
        <f>VLOOKUP(B119,[1]RXNS!$B:$C,1,)</f>
        <v>COPREC6R2</v>
      </c>
      <c r="D119" s="9" t="b">
        <f t="shared" si="4"/>
        <v>1</v>
      </c>
      <c r="E119" s="9" t="s">
        <v>623</v>
      </c>
      <c r="F119" s="9" t="s">
        <v>623</v>
      </c>
      <c r="G119" s="9" t="b">
        <f t="shared" si="5"/>
        <v>1</v>
      </c>
      <c r="H119" s="9" t="str">
        <f>VLOOKUP(B119,[1]RXNS!$B:$D,3,FALSE)</f>
        <v>Cobalt-precorrin 6[c] + H+[c] + Nicotinamide adenine dinucleotide phosphate - reduced[c] =&gt; Cobalt-dihydro-precorrin 6[c] + Nicotinamide adenine dinucleotide phosphate[c]</v>
      </c>
      <c r="I119" s="9" t="s">
        <v>624</v>
      </c>
      <c r="J119" s="9" t="s">
        <v>625</v>
      </c>
      <c r="K119" s="9" t="s">
        <v>624</v>
      </c>
      <c r="L119" s="9" t="b">
        <f t="shared" si="6"/>
        <v>1</v>
      </c>
      <c r="M119" s="9" t="b">
        <f t="shared" si="7"/>
        <v>1</v>
      </c>
      <c r="N119" s="13"/>
      <c r="O119" s="9">
        <v>0</v>
      </c>
      <c r="P119" s="9">
        <v>1000</v>
      </c>
      <c r="Q119" s="13"/>
      <c r="R119" s="13"/>
      <c r="S119" s="13"/>
      <c r="T119" s="9" t="s">
        <v>85</v>
      </c>
      <c r="U119" s="13"/>
      <c r="V119" s="9" t="s">
        <v>35</v>
      </c>
      <c r="W119" s="13"/>
      <c r="X119" s="9">
        <v>2</v>
      </c>
    </row>
    <row r="120" spans="1:24">
      <c r="A120" s="13"/>
      <c r="B120" s="9" t="s">
        <v>626</v>
      </c>
      <c r="C120" s="9" t="str">
        <f>VLOOKUP(B120,[1]RXNS!$B:$C,1,)</f>
        <v>COPRECI</v>
      </c>
      <c r="D120" s="9" t="b">
        <f t="shared" si="4"/>
        <v>1</v>
      </c>
      <c r="E120" s="9" t="s">
        <v>627</v>
      </c>
      <c r="F120" s="9" t="s">
        <v>627</v>
      </c>
      <c r="G120" s="9" t="b">
        <f t="shared" si="5"/>
        <v>1</v>
      </c>
      <c r="H120" s="9" t="str">
        <f>VLOOKUP(B120,[1]RXNS!$B:$D,3,FALSE)</f>
        <v>Cobalt-precorrin 8[c] =&gt; Cobyrinate[c]</v>
      </c>
      <c r="I120" s="9" t="s">
        <v>628</v>
      </c>
      <c r="J120" s="9" t="s">
        <v>629</v>
      </c>
      <c r="K120" s="9" t="s">
        <v>628</v>
      </c>
      <c r="L120" s="9" t="b">
        <f t="shared" si="6"/>
        <v>1</v>
      </c>
      <c r="M120" s="9" t="b">
        <f t="shared" si="7"/>
        <v>1</v>
      </c>
      <c r="N120" s="13"/>
      <c r="O120" s="9">
        <v>0</v>
      </c>
      <c r="P120" s="9">
        <v>1000</v>
      </c>
      <c r="Q120" s="13"/>
      <c r="R120" s="13"/>
      <c r="S120" s="13"/>
      <c r="T120" s="9" t="s">
        <v>160</v>
      </c>
      <c r="U120" s="13"/>
      <c r="V120" s="9" t="s">
        <v>35</v>
      </c>
      <c r="W120" s="13"/>
      <c r="X120" s="9">
        <v>2</v>
      </c>
    </row>
    <row r="121" spans="1:24">
      <c r="A121" s="13"/>
      <c r="B121" s="9" t="s">
        <v>630</v>
      </c>
      <c r="C121" s="9" t="str">
        <f>VLOOKUP(B121,[1]RXNS!$B:$C,1,)</f>
        <v>COPRECT</v>
      </c>
      <c r="D121" s="9" t="b">
        <f t="shared" si="4"/>
        <v>1</v>
      </c>
      <c r="E121" s="9" t="s">
        <v>631</v>
      </c>
      <c r="F121" s="9" t="s">
        <v>631</v>
      </c>
      <c r="G121" s="9" t="b">
        <f t="shared" si="5"/>
        <v>1</v>
      </c>
      <c r="H121" s="9" t="str">
        <f>VLOOKUP(B121,[1]RXNS!$B:$D,3,FALSE)</f>
        <v>S-Adenosyl-L-methionine[c] + Cobalt-precorrin 5[c] + H2O[c] =&gt; Acetaldehyde[c] + S-Adenosyl-L-homocysteine[c] + Cobalt-precorrin 6[c] + H+[c]</v>
      </c>
      <c r="I121" s="9">
        <f>VLOOKUP(B121,[1]RXNS!$B:$E,4,FALSE)</f>
        <v>0</v>
      </c>
      <c r="J121" s="9" t="s">
        <v>632</v>
      </c>
      <c r="K121" s="13"/>
      <c r="L121" s="9" t="b">
        <f t="shared" si="6"/>
        <v>1</v>
      </c>
      <c r="M121" s="9" t="b">
        <f t="shared" si="7"/>
        <v>0</v>
      </c>
      <c r="N121" s="13"/>
      <c r="O121" s="9">
        <v>0</v>
      </c>
      <c r="P121" s="9">
        <v>1000</v>
      </c>
      <c r="Q121" s="13"/>
      <c r="R121" s="13"/>
      <c r="S121" s="13"/>
      <c r="T121" s="9" t="s">
        <v>29</v>
      </c>
      <c r="U121" s="13"/>
      <c r="V121" s="9" t="s">
        <v>35</v>
      </c>
      <c r="W121" s="13"/>
      <c r="X121" s="9">
        <v>2</v>
      </c>
    </row>
    <row r="122" spans="1:24">
      <c r="A122" s="13"/>
      <c r="B122" s="9" t="s">
        <v>633</v>
      </c>
      <c r="C122" s="9" t="e">
        <f>VLOOKUP(B122,[1]RXNS!$B:$C,1,)</f>
        <v>#N/A</v>
      </c>
      <c r="D122" s="9" t="e">
        <f t="shared" si="4"/>
        <v>#N/A</v>
      </c>
      <c r="E122" s="9" t="e">
        <v>#N/A</v>
      </c>
      <c r="F122" s="9" t="s">
        <v>634</v>
      </c>
      <c r="G122" s="9" t="e">
        <f t="shared" si="5"/>
        <v>#N/A</v>
      </c>
      <c r="H122" s="9" t="e">
        <f>VLOOKUP(B122,[1]RXNS!$B:$D,3,FALSE)</f>
        <v>#N/A</v>
      </c>
      <c r="I122" s="9" t="s">
        <v>635</v>
      </c>
      <c r="J122" s="9" t="s">
        <v>636</v>
      </c>
      <c r="K122" s="9" t="s">
        <v>635</v>
      </c>
      <c r="L122" s="9" t="e">
        <f t="shared" si="6"/>
        <v>#N/A</v>
      </c>
      <c r="M122" s="9" t="b">
        <f t="shared" si="7"/>
        <v>1</v>
      </c>
      <c r="N122" s="13"/>
      <c r="O122" s="9">
        <v>0</v>
      </c>
      <c r="P122" s="9">
        <v>1000</v>
      </c>
      <c r="Q122" s="13"/>
      <c r="R122" s="13"/>
      <c r="S122" s="13"/>
      <c r="T122" s="9" t="s">
        <v>85</v>
      </c>
      <c r="U122" s="13"/>
      <c r="V122" s="9" t="s">
        <v>35</v>
      </c>
      <c r="W122" s="13"/>
      <c r="X122" s="9">
        <v>2</v>
      </c>
    </row>
    <row r="123" spans="1:24">
      <c r="A123" s="13"/>
      <c r="B123" s="9" t="s">
        <v>637</v>
      </c>
      <c r="C123" s="9" t="str">
        <f>VLOOKUP(B123,[1]RXNS!$B:$C,1,)</f>
        <v>CPSS_LRE</v>
      </c>
      <c r="D123" s="9" t="b">
        <f t="shared" si="4"/>
        <v>1</v>
      </c>
      <c r="E123" s="9" t="s">
        <v>638</v>
      </c>
      <c r="F123" s="9" t="s">
        <v>638</v>
      </c>
      <c r="G123" s="9" t="b">
        <f t="shared" si="5"/>
        <v>1</v>
      </c>
      <c r="H123" s="9" t="str">
        <f>VLOOKUP(B123,[1]RXNS!$B:$D,3,FALSE)</f>
        <v>4 H2O[c] + 4 UDPglucose[c] &lt;=&gt; capsular polysaccharide linkage unit, LRE specific[c] + 5 H+[c] + 3 UDP[c] + UMP[c]</v>
      </c>
      <c r="I123" s="9" t="s">
        <v>639</v>
      </c>
      <c r="J123" s="9" t="s">
        <v>640</v>
      </c>
      <c r="K123" s="9" t="s">
        <v>639</v>
      </c>
      <c r="L123" s="9" t="b">
        <f t="shared" si="6"/>
        <v>1</v>
      </c>
      <c r="M123" s="9" t="b">
        <f t="shared" si="7"/>
        <v>1</v>
      </c>
      <c r="N123" s="9" t="s">
        <v>641</v>
      </c>
      <c r="O123" s="9">
        <v>-1000</v>
      </c>
      <c r="P123" s="9">
        <v>1000</v>
      </c>
      <c r="Q123" s="13"/>
      <c r="R123" s="13"/>
      <c r="S123" s="13"/>
      <c r="T123" s="9" t="s">
        <v>29</v>
      </c>
      <c r="U123" s="13"/>
      <c r="V123" s="9" t="s">
        <v>30</v>
      </c>
      <c r="W123" s="13"/>
      <c r="X123" s="9">
        <v>2</v>
      </c>
    </row>
    <row r="124" spans="1:24">
      <c r="A124" s="13"/>
      <c r="B124" s="9" t="s">
        <v>642</v>
      </c>
      <c r="C124" s="9" t="str">
        <f>VLOOKUP(B124,[1]RXNS!$B:$C,1,)</f>
        <v>CSND</v>
      </c>
      <c r="D124" s="9" t="b">
        <f t="shared" si="4"/>
        <v>1</v>
      </c>
      <c r="E124" s="9" t="s">
        <v>643</v>
      </c>
      <c r="F124" s="9" t="s">
        <v>643</v>
      </c>
      <c r="G124" s="9" t="b">
        <f t="shared" si="5"/>
        <v>1</v>
      </c>
      <c r="H124" s="9" t="str">
        <f>VLOOKUP(B124,[1]RXNS!$B:$D,3,FALSE)</f>
        <v>Cytosine[c] + H2O[c] + H+[c] =&gt; Ammonium[c] + Uracil[c]</v>
      </c>
      <c r="I124" s="9" t="s">
        <v>644</v>
      </c>
      <c r="J124" s="9" t="s">
        <v>645</v>
      </c>
      <c r="K124" s="9" t="s">
        <v>644</v>
      </c>
      <c r="L124" s="9" t="b">
        <f t="shared" si="6"/>
        <v>1</v>
      </c>
      <c r="M124" s="9" t="b">
        <f t="shared" si="7"/>
        <v>1</v>
      </c>
      <c r="N124" s="9" t="s">
        <v>646</v>
      </c>
      <c r="O124" s="9">
        <v>0</v>
      </c>
      <c r="P124" s="9">
        <v>1000</v>
      </c>
      <c r="Q124" s="13"/>
      <c r="R124" s="13"/>
      <c r="S124" s="9" t="s">
        <v>647</v>
      </c>
      <c r="T124" s="9" t="s">
        <v>648</v>
      </c>
      <c r="U124" s="13"/>
      <c r="V124" s="9" t="s">
        <v>30</v>
      </c>
      <c r="W124" s="13"/>
      <c r="X124" s="9">
        <v>2</v>
      </c>
    </row>
    <row r="125" spans="1:24">
      <c r="A125" s="13"/>
      <c r="B125" s="9" t="s">
        <v>649</v>
      </c>
      <c r="C125" s="9" t="str">
        <f>VLOOKUP(B125,[1]RXNS!$B:$C,1,)</f>
        <v>CTPS1__1</v>
      </c>
      <c r="D125" s="9" t="b">
        <f t="shared" si="4"/>
        <v>1</v>
      </c>
      <c r="E125" s="9" t="s">
        <v>650</v>
      </c>
      <c r="F125" s="9" t="s">
        <v>650</v>
      </c>
      <c r="G125" s="9" t="b">
        <f t="shared" si="5"/>
        <v>1</v>
      </c>
      <c r="H125" s="9" t="str">
        <f>VLOOKUP(B125,[1]RXNS!$B:$D,3,FALSE)</f>
        <v>ATP[c] + Ammonium[c] + UTP[c] =&gt; ADP[c] + CTP[c] + 2 H+[c] + Phosphate[c]</v>
      </c>
      <c r="I125" s="9" t="s">
        <v>651</v>
      </c>
      <c r="J125" s="9" t="s">
        <v>652</v>
      </c>
      <c r="K125" s="9" t="s">
        <v>651</v>
      </c>
      <c r="L125" s="9" t="b">
        <f t="shared" si="6"/>
        <v>1</v>
      </c>
      <c r="M125" s="9" t="b">
        <f t="shared" si="7"/>
        <v>1</v>
      </c>
      <c r="N125" s="9" t="s">
        <v>653</v>
      </c>
      <c r="O125" s="9">
        <v>0</v>
      </c>
      <c r="P125" s="9">
        <v>1000</v>
      </c>
      <c r="Q125" s="13"/>
      <c r="R125" s="13"/>
      <c r="S125" s="13"/>
      <c r="T125" s="9" t="s">
        <v>648</v>
      </c>
      <c r="U125" s="13"/>
      <c r="V125" s="9" t="s">
        <v>30</v>
      </c>
      <c r="W125" s="13"/>
      <c r="X125" s="9">
        <v>2</v>
      </c>
    </row>
    <row r="126" spans="1:24">
      <c r="A126" s="13"/>
      <c r="B126" s="9" t="s">
        <v>654</v>
      </c>
      <c r="C126" s="9" t="str">
        <f>VLOOKUP(B126,[1]RXNS!$B:$C,1,)</f>
        <v>CTPS2</v>
      </c>
      <c r="D126" s="9" t="b">
        <f t="shared" si="4"/>
        <v>1</v>
      </c>
      <c r="E126" s="9" t="s">
        <v>655</v>
      </c>
      <c r="F126" s="9" t="s">
        <v>655</v>
      </c>
      <c r="G126" s="9" t="b">
        <f t="shared" si="5"/>
        <v>1</v>
      </c>
      <c r="H126" s="9" t="str">
        <f>VLOOKUP(B126,[1]RXNS!$B:$D,3,FALSE)</f>
        <v>ATP[c] + L-Glutamine[c] + H2O[c] + UTP[c] =&gt; ADP[c] + CTP[c] + L-Glutamate[c] + 2 H+[c] + Phosphate[c]</v>
      </c>
      <c r="I126" s="9" t="s">
        <v>651</v>
      </c>
      <c r="J126" s="9" t="s">
        <v>656</v>
      </c>
      <c r="K126" s="9" t="s">
        <v>651</v>
      </c>
      <c r="L126" s="9" t="b">
        <f t="shared" si="6"/>
        <v>1</v>
      </c>
      <c r="M126" s="9" t="b">
        <f t="shared" si="7"/>
        <v>1</v>
      </c>
      <c r="N126" s="9" t="s">
        <v>657</v>
      </c>
      <c r="O126" s="9">
        <v>0</v>
      </c>
      <c r="P126" s="9">
        <v>1000</v>
      </c>
      <c r="Q126" s="13"/>
      <c r="R126" s="13"/>
      <c r="S126" s="9" t="s">
        <v>658</v>
      </c>
      <c r="T126" s="9" t="s">
        <v>648</v>
      </c>
      <c r="U126" s="13"/>
      <c r="V126" s="9" t="s">
        <v>30</v>
      </c>
      <c r="W126" s="13"/>
      <c r="X126" s="9">
        <v>2</v>
      </c>
    </row>
    <row r="127" spans="1:24">
      <c r="A127" s="13"/>
      <c r="B127" s="9" t="s">
        <v>659</v>
      </c>
      <c r="C127" s="9" t="str">
        <f>VLOOKUP(B127,[1]RXNS!$B:$C,1,)</f>
        <v>CYSDabc</v>
      </c>
      <c r="D127" s="9" t="b">
        <f t="shared" si="4"/>
        <v>1</v>
      </c>
      <c r="E127" s="9" t="s">
        <v>660</v>
      </c>
      <c r="F127" s="9" t="s">
        <v>660</v>
      </c>
      <c r="G127" s="9" t="b">
        <f t="shared" si="5"/>
        <v>1</v>
      </c>
      <c r="H127" s="9" t="str">
        <f>VLOOKUP(B127,[1]RXNS!$B:$D,3,FALSE)</f>
        <v>ATP[c] + D-Cysteine[e] + H2O[c] =&gt; ADP[c] + D-Cysteine[c] + H+[c] + Phosphate[c]</v>
      </c>
      <c r="I127" s="9">
        <f>VLOOKUP(B127,[1]RXNS!$B:$E,4,FALSE)</f>
        <v>0</v>
      </c>
      <c r="J127" s="9" t="s">
        <v>661</v>
      </c>
      <c r="K127" s="13"/>
      <c r="L127" s="9" t="b">
        <f t="shared" si="6"/>
        <v>1</v>
      </c>
      <c r="M127" s="9" t="b">
        <f t="shared" si="7"/>
        <v>0</v>
      </c>
      <c r="N127" s="9" t="s">
        <v>662</v>
      </c>
      <c r="O127" s="9">
        <v>0</v>
      </c>
      <c r="P127" s="9">
        <v>1000</v>
      </c>
      <c r="Q127" s="13"/>
      <c r="R127" s="13"/>
      <c r="S127" s="13"/>
      <c r="T127" s="9" t="s">
        <v>146</v>
      </c>
      <c r="U127" s="13"/>
      <c r="V127" s="9" t="s">
        <v>30</v>
      </c>
      <c r="W127" s="13"/>
      <c r="X127" s="9">
        <v>2</v>
      </c>
    </row>
    <row r="128" spans="1:24">
      <c r="A128" s="13"/>
      <c r="B128" s="9" t="s">
        <v>663</v>
      </c>
      <c r="C128" s="9" t="str">
        <f>VLOOKUP(B128,[1]RXNS!$B:$C,1,)</f>
        <v>CYSS</v>
      </c>
      <c r="D128" s="9" t="b">
        <f t="shared" si="4"/>
        <v>1</v>
      </c>
      <c r="E128" s="9" t="s">
        <v>664</v>
      </c>
      <c r="F128" s="9" t="s">
        <v>664</v>
      </c>
      <c r="G128" s="9" t="b">
        <f t="shared" si="5"/>
        <v>1</v>
      </c>
      <c r="H128" s="9" t="str">
        <f>VLOOKUP(B128,[1]RXNS!$B:$D,3,FALSE)</f>
        <v>O-Acetyl-L-serine[c] + Hydrogen sulfide[c] =&gt; Acetate[c] + L-Cysteine[c] + H+[c]</v>
      </c>
      <c r="I128" s="9" t="s">
        <v>665</v>
      </c>
      <c r="J128" s="9" t="s">
        <v>666</v>
      </c>
      <c r="K128" s="9" t="s">
        <v>665</v>
      </c>
      <c r="L128" s="9" t="b">
        <f t="shared" si="6"/>
        <v>1</v>
      </c>
      <c r="M128" s="9" t="b">
        <f t="shared" si="7"/>
        <v>1</v>
      </c>
      <c r="N128" s="9" t="s">
        <v>667</v>
      </c>
      <c r="O128" s="9">
        <v>0</v>
      </c>
      <c r="P128" s="9">
        <v>1000</v>
      </c>
      <c r="Q128" s="13"/>
      <c r="R128" s="13"/>
      <c r="S128" s="9" t="s">
        <v>668</v>
      </c>
      <c r="T128" s="9" t="s">
        <v>239</v>
      </c>
      <c r="U128" s="13"/>
      <c r="V128" s="9" t="s">
        <v>30</v>
      </c>
      <c r="W128" s="13"/>
      <c r="X128" s="9">
        <v>2</v>
      </c>
    </row>
    <row r="129" spans="1:24">
      <c r="A129" s="13"/>
      <c r="B129" s="9" t="s">
        <v>669</v>
      </c>
      <c r="C129" s="9" t="str">
        <f>VLOOKUP(B129,[1]RXNS!$B:$C,1,)</f>
        <v>CYSTGL</v>
      </c>
      <c r="D129" s="9" t="b">
        <f t="shared" si="4"/>
        <v>1</v>
      </c>
      <c r="E129" s="9" t="s">
        <v>670</v>
      </c>
      <c r="F129" s="9" t="s">
        <v>670</v>
      </c>
      <c r="G129" s="9" t="b">
        <f t="shared" si="5"/>
        <v>1</v>
      </c>
      <c r="H129" s="9" t="str">
        <f>VLOOKUP(B129,[1]RXNS!$B:$D,3,FALSE)</f>
        <v>L-Cystathionine[c] + H2O[c] =&gt; 2-Oxobutanoate[c] + L-Cysteine[c] + Ammonium[c]</v>
      </c>
      <c r="I129" s="9" t="s">
        <v>671</v>
      </c>
      <c r="J129" s="9" t="s">
        <v>672</v>
      </c>
      <c r="K129" s="9" t="s">
        <v>671</v>
      </c>
      <c r="L129" s="9" t="b">
        <f t="shared" si="6"/>
        <v>1</v>
      </c>
      <c r="M129" s="9" t="b">
        <f t="shared" si="7"/>
        <v>1</v>
      </c>
      <c r="N129" s="9" t="s">
        <v>673</v>
      </c>
      <c r="O129" s="9">
        <v>0</v>
      </c>
      <c r="P129" s="9">
        <v>1000</v>
      </c>
      <c r="Q129" s="13"/>
      <c r="R129" s="13"/>
      <c r="S129" s="9" t="s">
        <v>674</v>
      </c>
      <c r="T129" s="9" t="s">
        <v>239</v>
      </c>
      <c r="U129" s="13"/>
      <c r="V129" s="9" t="s">
        <v>30</v>
      </c>
      <c r="W129" s="13"/>
      <c r="X129" s="9">
        <v>2</v>
      </c>
    </row>
    <row r="130" spans="1:24">
      <c r="A130" s="13"/>
      <c r="B130" s="9" t="s">
        <v>675</v>
      </c>
      <c r="C130" s="9" t="str">
        <f>VLOOKUP(B130,[1]RXNS!$B:$C,1,)</f>
        <v>CYSTL2</v>
      </c>
      <c r="D130" s="9" t="b">
        <f t="shared" ref="D130:D193" si="8">EXACT(B130,C130)</f>
        <v>1</v>
      </c>
      <c r="E130" s="9" t="s">
        <v>676</v>
      </c>
      <c r="F130" s="9" t="s">
        <v>676</v>
      </c>
      <c r="G130" s="9" t="b">
        <f t="shared" ref="G130:G193" si="9">EXACT(E130,F130)</f>
        <v>1</v>
      </c>
      <c r="H130" s="9" t="str">
        <f>VLOOKUP(B130,[1]RXNS!$B:$D,3,FALSE)</f>
        <v>H2O[c] + L-Homocysteine[c] =&gt; 2-Oxobutanoate[c] + Hydrogen sulfide[c] + Ammonium[c]</v>
      </c>
      <c r="I130" s="9" t="s">
        <v>677</v>
      </c>
      <c r="J130" s="9" t="s">
        <v>678</v>
      </c>
      <c r="K130" s="9" t="s">
        <v>677</v>
      </c>
      <c r="L130" s="9" t="b">
        <f t="shared" ref="L130:L193" si="10">EXACT(H130,J130)</f>
        <v>1</v>
      </c>
      <c r="M130" s="9" t="b">
        <f t="shared" ref="M130:M193" si="11">EXACT(I130,K130)</f>
        <v>1</v>
      </c>
      <c r="N130" s="9" t="s">
        <v>673</v>
      </c>
      <c r="O130" s="9">
        <v>0</v>
      </c>
      <c r="P130" s="9">
        <v>1000</v>
      </c>
      <c r="Q130" s="13"/>
      <c r="R130" s="13"/>
      <c r="S130" s="13"/>
      <c r="T130" s="9" t="s">
        <v>679</v>
      </c>
      <c r="U130" s="13"/>
      <c r="V130" s="9" t="s">
        <v>30</v>
      </c>
      <c r="W130" s="13"/>
      <c r="X130" s="9">
        <v>2</v>
      </c>
    </row>
    <row r="131" spans="1:24">
      <c r="A131" s="13"/>
      <c r="B131" s="9" t="s">
        <v>680</v>
      </c>
      <c r="C131" s="9" t="str">
        <f>VLOOKUP(B131,[1]RXNS!$B:$C,1,)</f>
        <v>CYSTRS</v>
      </c>
      <c r="D131" s="9" t="b">
        <f t="shared" si="8"/>
        <v>1</v>
      </c>
      <c r="E131" s="9" t="s">
        <v>681</v>
      </c>
      <c r="F131" s="9" t="s">
        <v>681</v>
      </c>
      <c r="G131" s="9" t="b">
        <f t="shared" si="9"/>
        <v>1</v>
      </c>
      <c r="H131" s="9" t="str">
        <f>VLOOKUP(B131,[1]RXNS!$B:$D,3,FALSE)</f>
        <v>ATP[c] + L-Cysteine[c] + tRNA(Cys)[c] =&gt; AMP[c] + L-Cysteinyl-tRNA(Cys)[c] + Diphosphate[c]</v>
      </c>
      <c r="I131" s="9" t="s">
        <v>682</v>
      </c>
      <c r="J131" s="9" t="s">
        <v>683</v>
      </c>
      <c r="K131" s="9" t="s">
        <v>682</v>
      </c>
      <c r="L131" s="9" t="b">
        <f t="shared" si="10"/>
        <v>1</v>
      </c>
      <c r="M131" s="9" t="b">
        <f t="shared" si="11"/>
        <v>1</v>
      </c>
      <c r="N131" s="9" t="s">
        <v>684</v>
      </c>
      <c r="O131" s="9">
        <v>0</v>
      </c>
      <c r="P131" s="9">
        <v>1000</v>
      </c>
      <c r="Q131" s="13"/>
      <c r="R131" s="13"/>
      <c r="S131" s="13"/>
      <c r="T131" s="9" t="s">
        <v>278</v>
      </c>
      <c r="U131" s="13"/>
      <c r="V131" s="9" t="s">
        <v>30</v>
      </c>
      <c r="W131" s="13"/>
      <c r="X131" s="9">
        <v>2</v>
      </c>
    </row>
    <row r="132" spans="1:24">
      <c r="A132" s="13"/>
      <c r="B132" s="9" t="s">
        <v>685</v>
      </c>
      <c r="C132" s="9" t="str">
        <f>VLOOKUP(B132,[1]RXNS!$B:$C,1,)</f>
        <v>CYSTS</v>
      </c>
      <c r="D132" s="9" t="b">
        <f t="shared" si="8"/>
        <v>1</v>
      </c>
      <c r="E132" s="9" t="s">
        <v>686</v>
      </c>
      <c r="F132" s="9" t="s">
        <v>686</v>
      </c>
      <c r="G132" s="9" t="b">
        <f t="shared" si="9"/>
        <v>1</v>
      </c>
      <c r="H132" s="9" t="str">
        <f>VLOOKUP(B132,[1]RXNS!$B:$D,3,FALSE)</f>
        <v>L-Homocysteine[c] + L-Serine[c] =&gt; L-Cystathionine[c] + H2O[c]</v>
      </c>
      <c r="I132" s="9" t="s">
        <v>687</v>
      </c>
      <c r="J132" s="9" t="s">
        <v>688</v>
      </c>
      <c r="K132" s="9" t="s">
        <v>687</v>
      </c>
      <c r="L132" s="9" t="b">
        <f t="shared" si="10"/>
        <v>1</v>
      </c>
      <c r="M132" s="9" t="b">
        <f t="shared" si="11"/>
        <v>1</v>
      </c>
      <c r="N132" s="9" t="s">
        <v>667</v>
      </c>
      <c r="O132" s="9">
        <v>0</v>
      </c>
      <c r="P132" s="9">
        <v>1000</v>
      </c>
      <c r="Q132" s="13"/>
      <c r="R132" s="13"/>
      <c r="S132" s="9" t="s">
        <v>689</v>
      </c>
      <c r="T132" s="9" t="s">
        <v>364</v>
      </c>
      <c r="U132" s="13"/>
      <c r="V132" s="9" t="s">
        <v>30</v>
      </c>
      <c r="W132" s="13"/>
      <c r="X132" s="9">
        <v>2</v>
      </c>
    </row>
    <row r="133" spans="1:24">
      <c r="A133" s="13"/>
      <c r="B133" s="9" t="s">
        <v>690</v>
      </c>
      <c r="C133" s="9" t="str">
        <f>VLOOKUP(B133,[1]RXNS!$B:$C,1,)</f>
        <v>CYSabc</v>
      </c>
      <c r="D133" s="9" t="b">
        <f t="shared" si="8"/>
        <v>1</v>
      </c>
      <c r="E133" s="9" t="s">
        <v>691</v>
      </c>
      <c r="F133" s="9" t="s">
        <v>691</v>
      </c>
      <c r="G133" s="9" t="b">
        <f t="shared" si="9"/>
        <v>1</v>
      </c>
      <c r="H133" s="9" t="str">
        <f>VLOOKUP(B133,[1]RXNS!$B:$D,3,FALSE)</f>
        <v>ATP[c] + L-Cysteine[e] + H2O[c] =&gt; ADP[c] + L-Cysteine[c] + H+[c] + Phosphate[c]</v>
      </c>
      <c r="I133" s="9" t="s">
        <v>431</v>
      </c>
      <c r="J133" s="9" t="s">
        <v>692</v>
      </c>
      <c r="K133" s="9" t="s">
        <v>431</v>
      </c>
      <c r="L133" s="9" t="b">
        <f t="shared" si="10"/>
        <v>1</v>
      </c>
      <c r="M133" s="9" t="b">
        <f t="shared" si="11"/>
        <v>1</v>
      </c>
      <c r="N133" s="9" t="s">
        <v>662</v>
      </c>
      <c r="O133" s="9">
        <v>0</v>
      </c>
      <c r="P133" s="9">
        <v>1000</v>
      </c>
      <c r="Q133" s="13"/>
      <c r="R133" s="13"/>
      <c r="S133" s="9" t="s">
        <v>693</v>
      </c>
      <c r="T133" s="9" t="s">
        <v>146</v>
      </c>
      <c r="U133" s="13"/>
      <c r="V133" s="9" t="s">
        <v>30</v>
      </c>
      <c r="W133" s="13"/>
      <c r="X133" s="9">
        <v>2</v>
      </c>
    </row>
    <row r="134" spans="1:24">
      <c r="A134" s="13"/>
      <c r="B134" s="9" t="s">
        <v>694</v>
      </c>
      <c r="C134" s="9" t="str">
        <f>VLOOKUP(B134,[1]RXNS!$B:$C,1,)</f>
        <v>CYSt6</v>
      </c>
      <c r="D134" s="9" t="b">
        <f t="shared" si="8"/>
        <v>1</v>
      </c>
      <c r="E134" s="9" t="s">
        <v>695</v>
      </c>
      <c r="F134" s="9" t="s">
        <v>695</v>
      </c>
      <c r="G134" s="9" t="b">
        <f t="shared" si="9"/>
        <v>1</v>
      </c>
      <c r="H134" s="9" t="str">
        <f>VLOOKUP(B134,[1]RXNS!$B:$D,3,FALSE)</f>
        <v>L-Cysteine[e] + H+[e] &lt;=&gt; L-Cysteine[c] + H+[c]</v>
      </c>
      <c r="I134" s="9">
        <f>VLOOKUP(B134,[1]RXNS!$B:$E,4,FALSE)</f>
        <v>0</v>
      </c>
      <c r="J134" s="9" t="s">
        <v>696</v>
      </c>
      <c r="K134" s="13"/>
      <c r="L134" s="9" t="b">
        <f t="shared" si="10"/>
        <v>1</v>
      </c>
      <c r="M134" s="9" t="b">
        <f t="shared" si="11"/>
        <v>0</v>
      </c>
      <c r="N134" s="13"/>
      <c r="O134" s="9">
        <v>-1000</v>
      </c>
      <c r="P134" s="9">
        <v>1000</v>
      </c>
      <c r="Q134" s="13"/>
      <c r="R134" s="13"/>
      <c r="S134" s="13"/>
      <c r="T134" s="9" t="s">
        <v>146</v>
      </c>
      <c r="U134" s="13"/>
      <c r="V134" s="9" t="s">
        <v>35</v>
      </c>
      <c r="W134" s="13"/>
      <c r="X134" s="9">
        <v>2</v>
      </c>
    </row>
    <row r="135" spans="1:24">
      <c r="A135" s="13"/>
      <c r="B135" s="9" t="s">
        <v>697</v>
      </c>
      <c r="C135" s="9" t="str">
        <f>VLOOKUP(B135,[1]RXNS!$B:$C,1,)</f>
        <v>CYTB_B2</v>
      </c>
      <c r="D135" s="9" t="b">
        <f t="shared" si="8"/>
        <v>1</v>
      </c>
      <c r="E135" s="9" t="s">
        <v>698</v>
      </c>
      <c r="F135" s="9" t="s">
        <v>698</v>
      </c>
      <c r="G135" s="9" t="b">
        <f t="shared" si="9"/>
        <v>1</v>
      </c>
      <c r="H135" s="9" t="str">
        <f>VLOOKUP(B135,[1]RXNS!$B:$D,3,FALSE)</f>
        <v>2 H+[c] + Menaquinol 7[c] + 0.5 O2[c] =&gt; H2O[c] + 2 H+[e] + Menaquinone 7[c]</v>
      </c>
      <c r="I135" s="9" t="s">
        <v>699</v>
      </c>
      <c r="J135" s="9" t="s">
        <v>700</v>
      </c>
      <c r="K135" s="9" t="s">
        <v>699</v>
      </c>
      <c r="L135" s="9" t="b">
        <f t="shared" si="10"/>
        <v>1</v>
      </c>
      <c r="M135" s="9" t="b">
        <f t="shared" si="11"/>
        <v>1</v>
      </c>
      <c r="N135" s="9" t="s">
        <v>701</v>
      </c>
      <c r="O135" s="9">
        <v>0</v>
      </c>
      <c r="P135" s="9">
        <v>1000</v>
      </c>
      <c r="Q135" s="13"/>
      <c r="R135" s="13"/>
      <c r="S135" s="9" t="s">
        <v>702</v>
      </c>
      <c r="T135" s="9" t="s">
        <v>520</v>
      </c>
      <c r="U135" s="13"/>
      <c r="V135" s="9" t="s">
        <v>30</v>
      </c>
      <c r="W135" s="13"/>
      <c r="X135" s="9">
        <v>2</v>
      </c>
    </row>
    <row r="136" spans="1:24">
      <c r="A136" s="13"/>
      <c r="B136" s="9" t="s">
        <v>703</v>
      </c>
      <c r="C136" s="9" t="str">
        <f>VLOOKUP(B136,[1]RXNS!$B:$C,1,)</f>
        <v>CYTD</v>
      </c>
      <c r="D136" s="9" t="b">
        <f t="shared" si="8"/>
        <v>1</v>
      </c>
      <c r="E136" s="9" t="s">
        <v>704</v>
      </c>
      <c r="F136" s="9" t="s">
        <v>704</v>
      </c>
      <c r="G136" s="9" t="b">
        <f t="shared" si="9"/>
        <v>1</v>
      </c>
      <c r="H136" s="9" t="str">
        <f>VLOOKUP(B136,[1]RXNS!$B:$D,3,FALSE)</f>
        <v>Cytidine[c] + H2O[c] + H+[c] =&gt; Ammonium[c] + Uridine[c]</v>
      </c>
      <c r="I136" s="9" t="s">
        <v>705</v>
      </c>
      <c r="J136" s="9" t="s">
        <v>706</v>
      </c>
      <c r="K136" s="9" t="s">
        <v>705</v>
      </c>
      <c r="L136" s="9" t="b">
        <f t="shared" si="10"/>
        <v>1</v>
      </c>
      <c r="M136" s="9" t="b">
        <f t="shared" si="11"/>
        <v>1</v>
      </c>
      <c r="N136" s="9" t="s">
        <v>707</v>
      </c>
      <c r="O136" s="9">
        <v>0</v>
      </c>
      <c r="P136" s="9">
        <v>1000</v>
      </c>
      <c r="Q136" s="13"/>
      <c r="R136" s="13"/>
      <c r="S136" s="9" t="s">
        <v>708</v>
      </c>
      <c r="T136" s="9" t="s">
        <v>648</v>
      </c>
      <c r="U136" s="13"/>
      <c r="V136" s="9" t="s">
        <v>30</v>
      </c>
      <c r="W136" s="13"/>
      <c r="X136" s="9">
        <v>2</v>
      </c>
    </row>
    <row r="137" spans="1:24">
      <c r="A137" s="13"/>
      <c r="B137" s="9" t="s">
        <v>709</v>
      </c>
      <c r="C137" s="9" t="str">
        <f>VLOOKUP(B137,[1]RXNS!$B:$C,1,)</f>
        <v>CYTDK1</v>
      </c>
      <c r="D137" s="9" t="b">
        <f t="shared" si="8"/>
        <v>1</v>
      </c>
      <c r="E137" s="9" t="s">
        <v>710</v>
      </c>
      <c r="F137" s="9" t="s">
        <v>710</v>
      </c>
      <c r="G137" s="9" t="b">
        <f t="shared" si="9"/>
        <v>1</v>
      </c>
      <c r="H137" s="9" t="str">
        <f>VLOOKUP(B137,[1]RXNS!$B:$D,3,FALSE)</f>
        <v>ATP[c] + Cytidine[c] =&gt; ADP[c] + CMP[c] + H+[c]</v>
      </c>
      <c r="I137" s="9" t="s">
        <v>711</v>
      </c>
      <c r="J137" s="9" t="s">
        <v>712</v>
      </c>
      <c r="K137" s="9" t="s">
        <v>711</v>
      </c>
      <c r="L137" s="9" t="b">
        <f t="shared" si="10"/>
        <v>1</v>
      </c>
      <c r="M137" s="9" t="b">
        <f t="shared" si="11"/>
        <v>1</v>
      </c>
      <c r="N137" s="9" t="s">
        <v>713</v>
      </c>
      <c r="O137" s="9">
        <v>0</v>
      </c>
      <c r="P137" s="9">
        <v>1000</v>
      </c>
      <c r="Q137" s="13"/>
      <c r="R137" s="13"/>
      <c r="S137" s="13"/>
      <c r="T137" s="9" t="s">
        <v>648</v>
      </c>
      <c r="U137" s="13"/>
      <c r="V137" s="9" t="s">
        <v>30</v>
      </c>
      <c r="W137" s="13"/>
      <c r="X137" s="9">
        <v>2</v>
      </c>
    </row>
    <row r="138" spans="1:24">
      <c r="A138" s="13"/>
      <c r="B138" s="9" t="s">
        <v>714</v>
      </c>
      <c r="C138" s="9" t="str">
        <f>VLOOKUP(B138,[1]RXNS!$B:$C,1,)</f>
        <v>CYTDK2</v>
      </c>
      <c r="D138" s="9" t="b">
        <f t="shared" si="8"/>
        <v>1</v>
      </c>
      <c r="E138" s="9" t="s">
        <v>715</v>
      </c>
      <c r="F138" s="9" t="s">
        <v>715</v>
      </c>
      <c r="G138" s="9" t="b">
        <f t="shared" si="9"/>
        <v>1</v>
      </c>
      <c r="H138" s="9" t="str">
        <f>VLOOKUP(B138,[1]RXNS!$B:$D,3,FALSE)</f>
        <v>Cytidine[c] + GTP[c] =&gt; CMP[c] + GDP[c] + H+[c]</v>
      </c>
      <c r="I138" s="9" t="s">
        <v>711</v>
      </c>
      <c r="J138" s="9" t="s">
        <v>716</v>
      </c>
      <c r="K138" s="9" t="s">
        <v>711</v>
      </c>
      <c r="L138" s="9" t="b">
        <f t="shared" si="10"/>
        <v>1</v>
      </c>
      <c r="M138" s="9" t="b">
        <f t="shared" si="11"/>
        <v>1</v>
      </c>
      <c r="N138" s="9" t="s">
        <v>713</v>
      </c>
      <c r="O138" s="9">
        <v>0</v>
      </c>
      <c r="P138" s="9">
        <v>1000</v>
      </c>
      <c r="Q138" s="13"/>
      <c r="R138" s="13"/>
      <c r="S138" s="9" t="s">
        <v>717</v>
      </c>
      <c r="T138" s="9" t="s">
        <v>648</v>
      </c>
      <c r="U138" s="13"/>
      <c r="V138" s="9" t="s">
        <v>30</v>
      </c>
      <c r="W138" s="13"/>
      <c r="X138" s="9">
        <v>2</v>
      </c>
    </row>
    <row r="139" spans="1:24">
      <c r="A139" s="13"/>
      <c r="B139" s="9" t="s">
        <v>718</v>
      </c>
      <c r="C139" s="9" t="str">
        <f>VLOOKUP(B139,[1]RXNS!$B:$C,1,)</f>
        <v>CYTDK3</v>
      </c>
      <c r="D139" s="9" t="b">
        <f t="shared" si="8"/>
        <v>1</v>
      </c>
      <c r="E139" s="9" t="s">
        <v>719</v>
      </c>
      <c r="F139" s="9" t="s">
        <v>719</v>
      </c>
      <c r="G139" s="9" t="b">
        <f t="shared" si="9"/>
        <v>1</v>
      </c>
      <c r="H139" s="9" t="str">
        <f>VLOOKUP(B139,[1]RXNS!$B:$D,3,FALSE)</f>
        <v>Cytidine[c] + ITP[c] =&gt; CMP[c] + H+[c] + IDP[c]</v>
      </c>
      <c r="I139" s="9" t="s">
        <v>720</v>
      </c>
      <c r="J139" s="9" t="s">
        <v>721</v>
      </c>
      <c r="K139" s="9" t="s">
        <v>720</v>
      </c>
      <c r="L139" s="9" t="b">
        <f t="shared" si="10"/>
        <v>1</v>
      </c>
      <c r="M139" s="9" t="b">
        <f t="shared" si="11"/>
        <v>1</v>
      </c>
      <c r="N139" s="9" t="s">
        <v>713</v>
      </c>
      <c r="O139" s="9">
        <v>0</v>
      </c>
      <c r="P139" s="9">
        <v>1000</v>
      </c>
      <c r="Q139" s="13"/>
      <c r="R139" s="13"/>
      <c r="S139" s="13"/>
      <c r="T139" s="9" t="s">
        <v>648</v>
      </c>
      <c r="U139" s="13"/>
      <c r="V139" s="9" t="s">
        <v>30</v>
      </c>
      <c r="W139" s="13"/>
      <c r="X139" s="9">
        <v>2</v>
      </c>
    </row>
    <row r="140" spans="1:24">
      <c r="A140" s="13"/>
      <c r="B140" s="9" t="s">
        <v>722</v>
      </c>
      <c r="C140" s="9" t="str">
        <f>VLOOKUP(B140,[1]RXNS!$B:$C,1,)</f>
        <v>CYTK1</v>
      </c>
      <c r="D140" s="9" t="b">
        <f t="shared" si="8"/>
        <v>1</v>
      </c>
      <c r="E140" s="9" t="s">
        <v>723</v>
      </c>
      <c r="F140" s="9" t="s">
        <v>723</v>
      </c>
      <c r="G140" s="9" t="b">
        <f t="shared" si="9"/>
        <v>1</v>
      </c>
      <c r="H140" s="9" t="str">
        <f>VLOOKUP(B140,[1]RXNS!$B:$D,3,FALSE)</f>
        <v>ATP[c] + CMP[c] &lt;=&gt; ADP[c] + CDP[c]</v>
      </c>
      <c r="I140" s="9" t="s">
        <v>724</v>
      </c>
      <c r="J140" s="9" t="s">
        <v>725</v>
      </c>
      <c r="K140" s="9" t="s">
        <v>724</v>
      </c>
      <c r="L140" s="9" t="b">
        <f t="shared" si="10"/>
        <v>0</v>
      </c>
      <c r="M140" s="9" t="b">
        <f t="shared" si="11"/>
        <v>1</v>
      </c>
      <c r="N140" s="9" t="s">
        <v>726</v>
      </c>
      <c r="O140" s="9">
        <v>0</v>
      </c>
      <c r="P140" s="9">
        <v>1000</v>
      </c>
      <c r="Q140" s="13"/>
      <c r="R140" s="13"/>
      <c r="S140" s="9" t="s">
        <v>727</v>
      </c>
      <c r="T140" s="9" t="s">
        <v>648</v>
      </c>
      <c r="U140" s="13"/>
      <c r="V140" s="9" t="s">
        <v>30</v>
      </c>
      <c r="W140" s="13"/>
      <c r="X140" s="9">
        <v>2</v>
      </c>
    </row>
    <row r="141" spans="1:24">
      <c r="A141" s="13"/>
      <c r="B141" s="9" t="s">
        <v>728</v>
      </c>
      <c r="C141" s="9" t="str">
        <f>VLOOKUP(B141,[1]RXNS!$B:$C,1,)</f>
        <v>CYTK2</v>
      </c>
      <c r="D141" s="9" t="b">
        <f t="shared" si="8"/>
        <v>1</v>
      </c>
      <c r="E141" s="9" t="s">
        <v>729</v>
      </c>
      <c r="F141" s="9" t="s">
        <v>729</v>
      </c>
      <c r="G141" s="9" t="b">
        <f t="shared" si="9"/>
        <v>1</v>
      </c>
      <c r="H141" s="9" t="str">
        <f>VLOOKUP(B141,[1]RXNS!$B:$D,3,FALSE)</f>
        <v>ATP[c] + dCMP[c] &lt;=&gt; ADP[c] + dCDP[c]</v>
      </c>
      <c r="I141" s="9" t="s">
        <v>730</v>
      </c>
      <c r="J141" s="9" t="s">
        <v>731</v>
      </c>
      <c r="K141" s="9" t="s">
        <v>730</v>
      </c>
      <c r="L141" s="9" t="b">
        <f t="shared" si="10"/>
        <v>0</v>
      </c>
      <c r="M141" s="9" t="b">
        <f t="shared" si="11"/>
        <v>1</v>
      </c>
      <c r="N141" s="9" t="s">
        <v>726</v>
      </c>
      <c r="O141" s="9">
        <v>0</v>
      </c>
      <c r="P141" s="9">
        <v>1000</v>
      </c>
      <c r="Q141" s="13"/>
      <c r="R141" s="13"/>
      <c r="S141" s="9" t="s">
        <v>732</v>
      </c>
      <c r="T141" s="9" t="s">
        <v>648</v>
      </c>
      <c r="U141" s="13"/>
      <c r="V141" s="9" t="s">
        <v>30</v>
      </c>
      <c r="W141" s="13"/>
      <c r="X141" s="9">
        <v>2</v>
      </c>
    </row>
    <row r="142" spans="1:24">
      <c r="A142" s="13"/>
      <c r="B142" s="9" t="s">
        <v>733</v>
      </c>
      <c r="C142" s="9" t="str">
        <f>VLOOKUP(B142,[1]RXNS!$B:$C,1,)</f>
        <v>Coabc</v>
      </c>
      <c r="D142" s="9" t="b">
        <f t="shared" si="8"/>
        <v>1</v>
      </c>
      <c r="E142" s="9" t="s">
        <v>734</v>
      </c>
      <c r="F142" s="9" t="s">
        <v>734</v>
      </c>
      <c r="G142" s="9" t="b">
        <f t="shared" si="9"/>
        <v>1</v>
      </c>
      <c r="H142" s="9" t="str">
        <f>VLOOKUP(B142,[1]RXNS!$B:$D,3,FALSE)</f>
        <v>ATP[c] + Co2+[e] + H2O[c] =&gt; ADP[c] + Co2+[c] + H+[c] + Phosphate[c]</v>
      </c>
      <c r="I142" s="9">
        <f>VLOOKUP(B142,[1]RXNS!$B:$E,4,FALSE)</f>
        <v>0</v>
      </c>
      <c r="J142" s="9" t="s">
        <v>735</v>
      </c>
      <c r="K142" s="13"/>
      <c r="L142" s="9" t="b">
        <f t="shared" si="10"/>
        <v>1</v>
      </c>
      <c r="M142" s="9" t="b">
        <f t="shared" si="11"/>
        <v>0</v>
      </c>
      <c r="N142" s="9" t="s">
        <v>736</v>
      </c>
      <c r="O142" s="9">
        <v>0</v>
      </c>
      <c r="P142" s="9">
        <v>1000</v>
      </c>
      <c r="Q142" s="13"/>
      <c r="R142" s="13"/>
      <c r="S142" s="13"/>
      <c r="T142" s="9" t="s">
        <v>146</v>
      </c>
      <c r="U142" s="13"/>
      <c r="V142" s="9" t="s">
        <v>30</v>
      </c>
      <c r="W142" s="13"/>
      <c r="X142" s="9">
        <v>2</v>
      </c>
    </row>
    <row r="143" spans="1:24">
      <c r="A143" s="13"/>
      <c r="B143" s="9" t="s">
        <v>737</v>
      </c>
      <c r="C143" s="9" t="str">
        <f>VLOOKUP(B143,[1]RXNS!$B:$C,1,)</f>
        <v>Cut1</v>
      </c>
      <c r="D143" s="9" t="b">
        <f t="shared" si="8"/>
        <v>1</v>
      </c>
      <c r="E143" s="9" t="s">
        <v>738</v>
      </c>
      <c r="F143" s="9" t="s">
        <v>738</v>
      </c>
      <c r="G143" s="9" t="b">
        <f t="shared" si="9"/>
        <v>1</v>
      </c>
      <c r="H143" s="9" t="str">
        <f>VLOOKUP(B143,[1]RXNS!$B:$D,3,FALSE)</f>
        <v>ATP[c] + Cu2+[c] + H2O[c] =&gt; ADP[c] + Cu2+[e] + H+[c] + Phosphate[c]</v>
      </c>
      <c r="I143" s="9" t="s">
        <v>739</v>
      </c>
      <c r="J143" s="9" t="s">
        <v>740</v>
      </c>
      <c r="K143" s="9" t="s">
        <v>739</v>
      </c>
      <c r="L143" s="9" t="b">
        <f t="shared" si="10"/>
        <v>1</v>
      </c>
      <c r="M143" s="9" t="b">
        <f t="shared" si="11"/>
        <v>1</v>
      </c>
      <c r="N143" s="9" t="s">
        <v>741</v>
      </c>
      <c r="O143" s="9">
        <v>0</v>
      </c>
      <c r="P143" s="9">
        <v>1000</v>
      </c>
      <c r="Q143" s="13"/>
      <c r="R143" s="13"/>
      <c r="S143" s="9" t="s">
        <v>742</v>
      </c>
      <c r="T143" s="9" t="s">
        <v>146</v>
      </c>
      <c r="U143" s="13"/>
      <c r="V143" s="9" t="s">
        <v>30</v>
      </c>
      <c r="W143" s="13"/>
      <c r="X143" s="9">
        <v>2</v>
      </c>
    </row>
    <row r="144" spans="1:24">
      <c r="A144" s="13"/>
      <c r="B144" s="9" t="s">
        <v>743</v>
      </c>
      <c r="C144" s="9" t="str">
        <f>VLOOKUP(B144,[1]RXNS!$B:$C,1,)</f>
        <v>DADA</v>
      </c>
      <c r="D144" s="9" t="b">
        <f t="shared" si="8"/>
        <v>1</v>
      </c>
      <c r="E144" s="9" t="s">
        <v>744</v>
      </c>
      <c r="F144" s="9" t="s">
        <v>744</v>
      </c>
      <c r="G144" s="9" t="b">
        <f t="shared" si="9"/>
        <v>1</v>
      </c>
      <c r="H144" s="9" t="str">
        <f>VLOOKUP(B144,[1]RXNS!$B:$D,3,FALSE)</f>
        <v>Deoxyadenosine[c] + H2O[c] + H+[c] =&gt; Deoxyinosine[c] + Ammonium[c]</v>
      </c>
      <c r="I144" s="9" t="s">
        <v>149</v>
      </c>
      <c r="J144" s="9" t="s">
        <v>745</v>
      </c>
      <c r="K144" s="9" t="s">
        <v>149</v>
      </c>
      <c r="L144" s="9" t="b">
        <f t="shared" si="10"/>
        <v>1</v>
      </c>
      <c r="M144" s="9" t="b">
        <f t="shared" si="11"/>
        <v>1</v>
      </c>
      <c r="N144" s="9" t="s">
        <v>151</v>
      </c>
      <c r="O144" s="9">
        <v>0</v>
      </c>
      <c r="P144" s="9">
        <v>1000</v>
      </c>
      <c r="Q144" s="13"/>
      <c r="R144" s="13"/>
      <c r="S144" s="9" t="s">
        <v>746</v>
      </c>
      <c r="T144" s="9" t="s">
        <v>153</v>
      </c>
      <c r="U144" s="13"/>
      <c r="V144" s="9" t="s">
        <v>30</v>
      </c>
      <c r="W144" s="13"/>
      <c r="X144" s="9">
        <v>2</v>
      </c>
    </row>
    <row r="145" spans="1:24">
      <c r="A145" s="13"/>
      <c r="B145" s="9" t="s">
        <v>747</v>
      </c>
      <c r="C145" s="9" t="str">
        <f>VLOOKUP(B145,[1]RXNS!$B:$C,1,)</f>
        <v>DADNK</v>
      </c>
      <c r="D145" s="9" t="b">
        <f t="shared" si="8"/>
        <v>1</v>
      </c>
      <c r="E145" s="9" t="s">
        <v>748</v>
      </c>
      <c r="F145" s="9" t="s">
        <v>748</v>
      </c>
      <c r="G145" s="9" t="b">
        <f t="shared" si="9"/>
        <v>1</v>
      </c>
      <c r="H145" s="9" t="str">
        <f>VLOOKUP(B145,[1]RXNS!$B:$D,3,FALSE)</f>
        <v>ATP[c] + Deoxyadenosine[c] =&gt; ADP[c] + dAMP[c] + H+[c]</v>
      </c>
      <c r="I145" s="9" t="s">
        <v>749</v>
      </c>
      <c r="J145" s="9" t="s">
        <v>750</v>
      </c>
      <c r="K145" s="9" t="s">
        <v>749</v>
      </c>
      <c r="L145" s="9" t="b">
        <f t="shared" si="10"/>
        <v>1</v>
      </c>
      <c r="M145" s="9" t="b">
        <f t="shared" si="11"/>
        <v>1</v>
      </c>
      <c r="N145" s="9" t="s">
        <v>751</v>
      </c>
      <c r="O145" s="9">
        <v>0</v>
      </c>
      <c r="P145" s="9">
        <v>1000</v>
      </c>
      <c r="Q145" s="13"/>
      <c r="R145" s="13"/>
      <c r="S145" s="9" t="s">
        <v>752</v>
      </c>
      <c r="T145" s="9" t="s">
        <v>153</v>
      </c>
      <c r="U145" s="13"/>
      <c r="V145" s="9" t="s">
        <v>30</v>
      </c>
      <c r="W145" s="13"/>
      <c r="X145" s="9">
        <v>2</v>
      </c>
    </row>
    <row r="146" spans="1:24">
      <c r="A146" s="13"/>
      <c r="B146" s="9" t="s">
        <v>753</v>
      </c>
      <c r="C146" s="9" t="str">
        <f>VLOOKUP(B146,[1]RXNS!$B:$C,1,)</f>
        <v>DAGGT_LRE</v>
      </c>
      <c r="D146" s="9" t="b">
        <f t="shared" si="8"/>
        <v>1</v>
      </c>
      <c r="E146" s="9" t="s">
        <v>754</v>
      </c>
      <c r="F146" s="9" t="s">
        <v>754</v>
      </c>
      <c r="G146" s="9" t="b">
        <f t="shared" si="9"/>
        <v>1</v>
      </c>
      <c r="H146" s="9" t="str">
        <f>VLOOKUP(B146,[1]RXNS!$B:$D,3,FALSE)</f>
        <v>1,2-Diacylglycerol, LRE specific[c] + 2 UDPglucose[c] =&gt; Diglucosyl-diacylglycerol[c] + 2 H+[c] + 2 UDP[c]</v>
      </c>
      <c r="I146" s="9" t="s">
        <v>755</v>
      </c>
      <c r="J146" s="9" t="s">
        <v>756</v>
      </c>
      <c r="K146" s="9" t="s">
        <v>755</v>
      </c>
      <c r="L146" s="9" t="b">
        <f t="shared" si="10"/>
        <v>0</v>
      </c>
      <c r="M146" s="9" t="b">
        <f t="shared" si="11"/>
        <v>1</v>
      </c>
      <c r="N146" s="9" t="s">
        <v>757</v>
      </c>
      <c r="O146" s="9">
        <v>0</v>
      </c>
      <c r="P146" s="9">
        <v>1000</v>
      </c>
      <c r="Q146" s="13"/>
      <c r="R146" s="13"/>
      <c r="S146" s="13"/>
      <c r="T146" s="9" t="s">
        <v>228</v>
      </c>
      <c r="U146" s="13"/>
      <c r="V146" s="9" t="s">
        <v>30</v>
      </c>
      <c r="W146" s="13"/>
      <c r="X146" s="9">
        <v>2</v>
      </c>
    </row>
    <row r="147" spans="1:24">
      <c r="A147" s="13"/>
      <c r="B147" s="9" t="s">
        <v>758</v>
      </c>
      <c r="C147" s="9" t="str">
        <f>VLOOKUP(B147,[1]RXNS!$B:$C,1,)</f>
        <v>DAGK_LRE</v>
      </c>
      <c r="D147" s="9" t="b">
        <f t="shared" si="8"/>
        <v>1</v>
      </c>
      <c r="E147" s="9" t="s">
        <v>759</v>
      </c>
      <c r="F147" s="9" t="s">
        <v>759</v>
      </c>
      <c r="G147" s="9" t="b">
        <f t="shared" si="9"/>
        <v>1</v>
      </c>
      <c r="H147" s="9" t="str">
        <f>VLOOKUP(B147,[1]RXNS!$B:$D,3,FALSE)</f>
        <v>ATP[c] + 1,2-Diacylglycerol, LRE specific[c] =&gt; ADP[c] + H+[c] + phosphatidic acid (Lb reuteri specific)[c]</v>
      </c>
      <c r="I147" s="9" t="s">
        <v>760</v>
      </c>
      <c r="J147" s="9" t="s">
        <v>761</v>
      </c>
      <c r="K147" s="9" t="s">
        <v>760</v>
      </c>
      <c r="L147" s="9" t="b">
        <f t="shared" si="10"/>
        <v>0</v>
      </c>
      <c r="M147" s="9" t="b">
        <f t="shared" si="11"/>
        <v>1</v>
      </c>
      <c r="N147" s="9" t="s">
        <v>762</v>
      </c>
      <c r="O147" s="9">
        <v>0</v>
      </c>
      <c r="P147" s="9">
        <v>1000</v>
      </c>
      <c r="Q147" s="13"/>
      <c r="R147" s="13"/>
      <c r="S147" s="13"/>
      <c r="T147" s="9" t="s">
        <v>228</v>
      </c>
      <c r="U147" s="13"/>
      <c r="V147" s="9" t="s">
        <v>30</v>
      </c>
      <c r="W147" s="13"/>
      <c r="X147" s="9">
        <v>2</v>
      </c>
    </row>
    <row r="148" spans="1:24">
      <c r="A148" s="13"/>
      <c r="B148" s="9" t="s">
        <v>763</v>
      </c>
      <c r="C148" s="9" t="str">
        <f>VLOOKUP(B148,[1]RXNS!$B:$C,1,)</f>
        <v>DALTAL</v>
      </c>
      <c r="D148" s="9" t="b">
        <f t="shared" si="8"/>
        <v>1</v>
      </c>
      <c r="E148" s="9" t="s">
        <v>764</v>
      </c>
      <c r="F148" s="9" t="s">
        <v>764</v>
      </c>
      <c r="G148" s="9" t="b">
        <f t="shared" si="9"/>
        <v>1</v>
      </c>
      <c r="H148" s="9" t="str">
        <f>VLOOKUP(B148,[1]RXNS!$B:$D,3,FALSE)</f>
        <v>lipoteichoic acid (n=25, LRE specific)[c] + 20 D-Alanine[c] + 20 ATP[c] =&gt; Lipoteichoic acid (n=25) with 100% D-Ala substitutions (LRE specific)[c] + 20 ADP[c] + 20 Phosphate[c]</v>
      </c>
      <c r="I148" s="9" t="s">
        <v>765</v>
      </c>
      <c r="J148" s="9" t="s">
        <v>766</v>
      </c>
      <c r="K148" s="9" t="s">
        <v>765</v>
      </c>
      <c r="L148" s="9" t="b">
        <f t="shared" si="10"/>
        <v>1</v>
      </c>
      <c r="M148" s="9" t="b">
        <f t="shared" si="11"/>
        <v>1</v>
      </c>
      <c r="N148" s="9" t="s">
        <v>767</v>
      </c>
      <c r="O148" s="9">
        <v>0</v>
      </c>
      <c r="P148" s="9">
        <v>1000</v>
      </c>
      <c r="Q148" s="13"/>
      <c r="R148" s="13"/>
      <c r="S148" s="13"/>
      <c r="T148" s="9" t="s">
        <v>348</v>
      </c>
      <c r="U148" s="13"/>
      <c r="V148" s="9" t="s">
        <v>30</v>
      </c>
      <c r="W148" s="13"/>
      <c r="X148" s="9">
        <v>2</v>
      </c>
    </row>
    <row r="149" spans="1:24">
      <c r="A149" s="13"/>
      <c r="B149" s="9" t="s">
        <v>768</v>
      </c>
      <c r="C149" s="9" t="str">
        <f>VLOOKUP(B149,[1]RXNS!$B:$C,1,)</f>
        <v>DAPDC</v>
      </c>
      <c r="D149" s="9" t="b">
        <f t="shared" si="8"/>
        <v>1</v>
      </c>
      <c r="E149" s="9" t="s">
        <v>769</v>
      </c>
      <c r="F149" s="9" t="s">
        <v>769</v>
      </c>
      <c r="G149" s="9" t="b">
        <f t="shared" si="9"/>
        <v>1</v>
      </c>
      <c r="H149" s="9" t="str">
        <f>VLOOKUP(B149,[1]RXNS!$B:$D,3,FALSE)</f>
        <v>meso-2,6-Diaminoheptanedioate[c] + H+[c] =&gt; CO2[c] + L-Lysine[c]</v>
      </c>
      <c r="I149" s="9" t="s">
        <v>770</v>
      </c>
      <c r="J149" s="9" t="s">
        <v>771</v>
      </c>
      <c r="K149" s="9" t="s">
        <v>770</v>
      </c>
      <c r="L149" s="9" t="b">
        <f t="shared" si="10"/>
        <v>1</v>
      </c>
      <c r="M149" s="9" t="b">
        <f t="shared" si="11"/>
        <v>1</v>
      </c>
      <c r="N149" s="9" t="s">
        <v>772</v>
      </c>
      <c r="O149" s="9">
        <v>0</v>
      </c>
      <c r="P149" s="9">
        <v>1000</v>
      </c>
      <c r="Q149" s="13"/>
      <c r="R149" s="13"/>
      <c r="S149" s="9" t="s">
        <v>773</v>
      </c>
      <c r="T149" s="9" t="s">
        <v>188</v>
      </c>
      <c r="U149" s="13"/>
      <c r="V149" s="9" t="s">
        <v>30</v>
      </c>
      <c r="W149" s="13"/>
      <c r="X149" s="9">
        <v>2</v>
      </c>
    </row>
    <row r="150" spans="1:24">
      <c r="A150" s="13"/>
      <c r="B150" s="9" t="s">
        <v>774</v>
      </c>
      <c r="C150" s="9" t="str">
        <f>VLOOKUP(B150,[1]RXNS!$B:$C,1,)</f>
        <v>DAPE</v>
      </c>
      <c r="D150" s="9" t="b">
        <f t="shared" si="8"/>
        <v>1</v>
      </c>
      <c r="E150" s="9" t="s">
        <v>775</v>
      </c>
      <c r="F150" s="9" t="s">
        <v>775</v>
      </c>
      <c r="G150" s="9" t="b">
        <f t="shared" si="9"/>
        <v>1</v>
      </c>
      <c r="H150" s="9" t="str">
        <f>VLOOKUP(B150,[1]RXNS!$B:$D,3,FALSE)</f>
        <v>LL-2,6-Diaminoheptanedioate[c] &lt;=&gt; meso-2,6-Diaminoheptanedioate[c]</v>
      </c>
      <c r="I150" s="9" t="s">
        <v>776</v>
      </c>
      <c r="J150" s="9" t="s">
        <v>777</v>
      </c>
      <c r="K150" s="9" t="s">
        <v>776</v>
      </c>
      <c r="L150" s="9" t="b">
        <f t="shared" si="10"/>
        <v>1</v>
      </c>
      <c r="M150" s="9" t="b">
        <f t="shared" si="11"/>
        <v>1</v>
      </c>
      <c r="N150" s="9" t="s">
        <v>778</v>
      </c>
      <c r="O150" s="9">
        <v>-1000</v>
      </c>
      <c r="P150" s="9">
        <v>1000</v>
      </c>
      <c r="Q150" s="13"/>
      <c r="R150" s="13"/>
      <c r="S150" s="9" t="s">
        <v>779</v>
      </c>
      <c r="T150" s="9" t="s">
        <v>188</v>
      </c>
      <c r="U150" s="13"/>
      <c r="V150" s="9" t="s">
        <v>30</v>
      </c>
      <c r="W150" s="13"/>
      <c r="X150" s="9">
        <v>2</v>
      </c>
    </row>
    <row r="151" spans="1:24">
      <c r="A151" s="13"/>
      <c r="B151" s="9" t="s">
        <v>780</v>
      </c>
      <c r="C151" s="9" t="str">
        <f>VLOOKUP(B151,[1]RXNS!$B:$C,1,)</f>
        <v>DASYN_LRE</v>
      </c>
      <c r="D151" s="9" t="b">
        <f t="shared" si="8"/>
        <v>1</v>
      </c>
      <c r="E151" s="9" t="s">
        <v>781</v>
      </c>
      <c r="F151" s="9" t="s">
        <v>781</v>
      </c>
      <c r="G151" s="9" t="b">
        <f t="shared" si="9"/>
        <v>1</v>
      </c>
      <c r="H151" s="9" t="str">
        <f>VLOOKUP(B151,[1]RXNS!$B:$D,3,FALSE)</f>
        <v>CTP[c] + H+[c] + phosphatidic acid (Lb reuteri specific)[c] &lt;=&gt; CDPdiacylglycerol (LRE specific)[c] + Diphosphate[c]</v>
      </c>
      <c r="I151" s="9" t="s">
        <v>782</v>
      </c>
      <c r="J151" s="9" t="s">
        <v>783</v>
      </c>
      <c r="K151" s="9" t="s">
        <v>782</v>
      </c>
      <c r="L151" s="9" t="b">
        <f t="shared" si="10"/>
        <v>1</v>
      </c>
      <c r="M151" s="9" t="b">
        <f t="shared" si="11"/>
        <v>1</v>
      </c>
      <c r="N151" s="9" t="s">
        <v>784</v>
      </c>
      <c r="O151" s="9">
        <v>-1000</v>
      </c>
      <c r="P151" s="9">
        <v>1000</v>
      </c>
      <c r="Q151" s="13"/>
      <c r="R151" s="13"/>
      <c r="S151" s="13"/>
      <c r="T151" s="9" t="s">
        <v>785</v>
      </c>
      <c r="U151" s="13"/>
      <c r="V151" s="9" t="s">
        <v>30</v>
      </c>
      <c r="W151" s="13"/>
      <c r="X151" s="9">
        <v>2</v>
      </c>
    </row>
    <row r="152" spans="1:24">
      <c r="A152" s="13"/>
      <c r="B152" s="9" t="s">
        <v>786</v>
      </c>
      <c r="C152" s="9" t="str">
        <f>VLOOKUP(B152,[1]RXNS!$B:$C,1,)</f>
        <v>DB4PS</v>
      </c>
      <c r="D152" s="9" t="b">
        <f t="shared" si="8"/>
        <v>1</v>
      </c>
      <c r="E152" s="9" t="s">
        <v>787</v>
      </c>
      <c r="F152" s="9" t="s">
        <v>787</v>
      </c>
      <c r="G152" s="9" t="b">
        <f t="shared" si="9"/>
        <v>1</v>
      </c>
      <c r="H152" s="9" t="str">
        <f>VLOOKUP(B152,[1]RXNS!$B:$D,3,FALSE)</f>
        <v>D-Ribulose 5-phosphate[c] =&gt; 3,4-dihydroxy-2-butanone 4-phosphate[c] + Formate[c] + H+[c]</v>
      </c>
      <c r="I152" s="9" t="s">
        <v>788</v>
      </c>
      <c r="J152" s="9" t="s">
        <v>789</v>
      </c>
      <c r="K152" s="9" t="s">
        <v>788</v>
      </c>
      <c r="L152" s="9" t="b">
        <f t="shared" si="10"/>
        <v>1</v>
      </c>
      <c r="M152" s="9" t="b">
        <f t="shared" si="11"/>
        <v>1</v>
      </c>
      <c r="N152" s="9" t="s">
        <v>790</v>
      </c>
      <c r="O152" s="9">
        <v>0</v>
      </c>
      <c r="P152" s="9">
        <v>1000</v>
      </c>
      <c r="Q152" s="13"/>
      <c r="R152" s="13"/>
      <c r="S152" s="9" t="s">
        <v>791</v>
      </c>
      <c r="T152" s="9" t="s">
        <v>387</v>
      </c>
      <c r="U152" s="13"/>
      <c r="V152" s="9" t="s">
        <v>30</v>
      </c>
      <c r="W152" s="13"/>
      <c r="X152" s="9">
        <v>2</v>
      </c>
    </row>
    <row r="153" spans="1:24">
      <c r="A153" s="13"/>
      <c r="B153" s="9" t="s">
        <v>792</v>
      </c>
      <c r="C153" s="9" t="str">
        <f>VLOOKUP(B153,[1]RXNS!$B:$C,1,)</f>
        <v>DCYTD</v>
      </c>
      <c r="D153" s="9" t="b">
        <f t="shared" si="8"/>
        <v>1</v>
      </c>
      <c r="E153" s="9" t="s">
        <v>793</v>
      </c>
      <c r="F153" s="9" t="s">
        <v>793</v>
      </c>
      <c r="G153" s="9" t="b">
        <f t="shared" si="9"/>
        <v>1</v>
      </c>
      <c r="H153" s="9" t="str">
        <f>VLOOKUP(B153,[1]RXNS!$B:$D,3,FALSE)</f>
        <v>Deoxycytidine[c] + H2O[c] + H+[c] =&gt; Deoxyuridine[c] + Ammonium[c]</v>
      </c>
      <c r="I153" s="9" t="s">
        <v>705</v>
      </c>
      <c r="J153" s="9" t="s">
        <v>794</v>
      </c>
      <c r="K153" s="9" t="s">
        <v>705</v>
      </c>
      <c r="L153" s="9" t="b">
        <f t="shared" si="10"/>
        <v>1</v>
      </c>
      <c r="M153" s="9" t="b">
        <f t="shared" si="11"/>
        <v>1</v>
      </c>
      <c r="N153" s="9" t="s">
        <v>707</v>
      </c>
      <c r="O153" s="9">
        <v>0</v>
      </c>
      <c r="P153" s="9">
        <v>1000</v>
      </c>
      <c r="Q153" s="13"/>
      <c r="R153" s="13"/>
      <c r="S153" s="9" t="s">
        <v>795</v>
      </c>
      <c r="T153" s="9" t="s">
        <v>648</v>
      </c>
      <c r="U153" s="13"/>
      <c r="V153" s="9" t="s">
        <v>30</v>
      </c>
      <c r="W153" s="13"/>
      <c r="X153" s="9">
        <v>2</v>
      </c>
    </row>
    <row r="154" spans="1:24">
      <c r="A154" s="13"/>
      <c r="B154" s="9" t="s">
        <v>796</v>
      </c>
      <c r="C154" s="9" t="str">
        <f>VLOOKUP(B154,[1]RXNS!$B:$C,1,)</f>
        <v>DDMAT5</v>
      </c>
      <c r="D154" s="9" t="b">
        <f t="shared" si="8"/>
        <v>1</v>
      </c>
      <c r="E154" s="9" t="s">
        <v>797</v>
      </c>
      <c r="F154" s="9" t="s">
        <v>797</v>
      </c>
      <c r="G154" s="9" t="b">
        <f t="shared" si="9"/>
        <v>1</v>
      </c>
      <c r="H154" s="9" t="str">
        <f>VLOOKUP(B154,[1]RXNS!$B:$D,3,FALSE)</f>
        <v>trans-Dodec-2-enoyl-[acyl-carrier protein][c] + H+[c] + Nicotinamide adenine dinucleotide - reduced[c] =&gt; Dodecanoyl-[acyl-carrier protein][c] + Nicotinamide adenine dinucleotide[c]</v>
      </c>
      <c r="I154" s="9" t="s">
        <v>798</v>
      </c>
      <c r="J154" s="9" t="s">
        <v>799</v>
      </c>
      <c r="K154" s="9" t="s">
        <v>798</v>
      </c>
      <c r="L154" s="9" t="b">
        <f t="shared" si="10"/>
        <v>1</v>
      </c>
      <c r="M154" s="9" t="b">
        <f t="shared" si="11"/>
        <v>1</v>
      </c>
      <c r="N154" s="9" t="s">
        <v>539</v>
      </c>
      <c r="O154" s="9">
        <v>0</v>
      </c>
      <c r="P154" s="9">
        <v>1000</v>
      </c>
      <c r="Q154" s="13"/>
      <c r="R154" s="13"/>
      <c r="S154" s="9" t="s">
        <v>800</v>
      </c>
      <c r="T154" s="9" t="s">
        <v>34</v>
      </c>
      <c r="U154" s="13"/>
      <c r="V154" s="9" t="s">
        <v>30</v>
      </c>
      <c r="W154" s="13"/>
      <c r="X154" s="9">
        <v>2</v>
      </c>
    </row>
    <row r="155" spans="1:24">
      <c r="A155" s="13"/>
      <c r="B155" s="9" t="s">
        <v>801</v>
      </c>
      <c r="C155" s="9" t="str">
        <f>VLOOKUP(B155,[1]RXNS!$B:$C,1,)</f>
        <v>DEMAT4</v>
      </c>
      <c r="D155" s="9" t="b">
        <f t="shared" si="8"/>
        <v>1</v>
      </c>
      <c r="E155" s="9" t="s">
        <v>802</v>
      </c>
      <c r="F155" s="9" t="s">
        <v>802</v>
      </c>
      <c r="G155" s="9" t="b">
        <f t="shared" si="9"/>
        <v>1</v>
      </c>
      <c r="H155" s="9" t="str">
        <f>VLOOKUP(B155,[1]RXNS!$B:$D,3,FALSE)</f>
        <v>trans-Dec-2-enoyl-[acyl-carrier protein][c] + H+[c] + Nicotinamide adenine dinucleotide - reduced[c] =&gt; Decanoyl-[acyl-carrier protein][c] + Nicotinamide adenine dinucleotide[c]</v>
      </c>
      <c r="I155" s="9" t="s">
        <v>798</v>
      </c>
      <c r="J155" s="9" t="s">
        <v>803</v>
      </c>
      <c r="K155" s="9" t="s">
        <v>798</v>
      </c>
      <c r="L155" s="9" t="b">
        <f t="shared" si="10"/>
        <v>1</v>
      </c>
      <c r="M155" s="9" t="b">
        <f t="shared" si="11"/>
        <v>1</v>
      </c>
      <c r="N155" s="9" t="s">
        <v>539</v>
      </c>
      <c r="O155" s="9">
        <v>0</v>
      </c>
      <c r="P155" s="9">
        <v>1000</v>
      </c>
      <c r="Q155" s="13"/>
      <c r="R155" s="13"/>
      <c r="S155" s="9" t="s">
        <v>804</v>
      </c>
      <c r="T155" s="9" t="s">
        <v>34</v>
      </c>
      <c r="U155" s="13"/>
      <c r="V155" s="9" t="s">
        <v>30</v>
      </c>
      <c r="W155" s="13"/>
      <c r="X155" s="9">
        <v>2</v>
      </c>
    </row>
    <row r="156" spans="1:24">
      <c r="A156" s="13"/>
      <c r="B156" s="9" t="s">
        <v>805</v>
      </c>
      <c r="C156" s="9" t="str">
        <f>VLOOKUP(B156,[1]RXNS!$B:$C,1,)</f>
        <v>DGNSK</v>
      </c>
      <c r="D156" s="9" t="b">
        <f t="shared" si="8"/>
        <v>1</v>
      </c>
      <c r="E156" s="9" t="s">
        <v>806</v>
      </c>
      <c r="F156" s="9" t="s">
        <v>806</v>
      </c>
      <c r="G156" s="9" t="b">
        <f t="shared" si="9"/>
        <v>1</v>
      </c>
      <c r="H156" s="9" t="str">
        <f>VLOOKUP(B156,[1]RXNS!$B:$D,3,FALSE)</f>
        <v>ATP[c] + Deoxyguanosine[c] =&gt; ADP[c] + dGMP[c] + H+[c]</v>
      </c>
      <c r="I156" s="9" t="s">
        <v>807</v>
      </c>
      <c r="J156" s="9" t="s">
        <v>808</v>
      </c>
      <c r="K156" s="9" t="s">
        <v>807</v>
      </c>
      <c r="L156" s="9" t="b">
        <f t="shared" si="10"/>
        <v>1</v>
      </c>
      <c r="M156" s="9" t="b">
        <f t="shared" si="11"/>
        <v>1</v>
      </c>
      <c r="N156" s="9" t="s">
        <v>751</v>
      </c>
      <c r="O156" s="9">
        <v>0</v>
      </c>
      <c r="P156" s="9">
        <v>1000</v>
      </c>
      <c r="Q156" s="13"/>
      <c r="R156" s="13"/>
      <c r="S156" s="9" t="s">
        <v>809</v>
      </c>
      <c r="T156" s="9" t="s">
        <v>153</v>
      </c>
      <c r="U156" s="13"/>
      <c r="V156" s="9" t="s">
        <v>30</v>
      </c>
      <c r="W156" s="13"/>
      <c r="X156" s="9">
        <v>2</v>
      </c>
    </row>
    <row r="157" spans="1:24">
      <c r="A157" s="13"/>
      <c r="B157" s="9" t="s">
        <v>810</v>
      </c>
      <c r="C157" s="9" t="str">
        <f>VLOOKUP(B157,[1]RXNS!$B:$C,1,)</f>
        <v>DHAt</v>
      </c>
      <c r="D157" s="9" t="b">
        <f t="shared" si="8"/>
        <v>1</v>
      </c>
      <c r="E157" s="9" t="s">
        <v>811</v>
      </c>
      <c r="F157" s="9" t="s">
        <v>811</v>
      </c>
      <c r="G157" s="9" t="b">
        <f t="shared" si="9"/>
        <v>1</v>
      </c>
      <c r="H157" s="9" t="str">
        <f>VLOOKUP(B157,[1]RXNS!$B:$D,3,FALSE)</f>
        <v>Dihydroxyacetone[e] &lt;=&gt; Dihydroxyacetone[c]</v>
      </c>
      <c r="I157" s="9">
        <f>VLOOKUP(B157,[1]RXNS!$B:$E,4,FALSE)</f>
        <v>0</v>
      </c>
      <c r="J157" s="9" t="s">
        <v>812</v>
      </c>
      <c r="K157" s="13"/>
      <c r="L157" s="9" t="b">
        <f t="shared" si="10"/>
        <v>1</v>
      </c>
      <c r="M157" s="9" t="b">
        <f t="shared" si="11"/>
        <v>0</v>
      </c>
      <c r="N157" s="13"/>
      <c r="O157" s="9">
        <v>-1000</v>
      </c>
      <c r="P157" s="9">
        <v>1000</v>
      </c>
      <c r="Q157" s="13"/>
      <c r="R157" s="13"/>
      <c r="S157" s="13"/>
      <c r="T157" s="9" t="s">
        <v>146</v>
      </c>
      <c r="U157" s="13"/>
      <c r="V157" s="9" t="s">
        <v>35</v>
      </c>
      <c r="W157" s="13"/>
      <c r="X157" s="9">
        <v>2</v>
      </c>
    </row>
    <row r="158" spans="1:24">
      <c r="A158" s="13"/>
      <c r="B158" s="9" t="s">
        <v>813</v>
      </c>
      <c r="C158" s="9" t="str">
        <f>VLOOKUP(B158,[1]RXNS!$B:$C,1,)</f>
        <v>DHDPRy</v>
      </c>
      <c r="D158" s="9" t="b">
        <f t="shared" si="8"/>
        <v>1</v>
      </c>
      <c r="E158" s="9" t="s">
        <v>814</v>
      </c>
      <c r="F158" s="9" t="s">
        <v>814</v>
      </c>
      <c r="G158" s="9" t="b">
        <f t="shared" si="9"/>
        <v>1</v>
      </c>
      <c r="H158" s="9" t="str">
        <f>VLOOKUP(B158,[1]RXNS!$B:$D,3,FALSE)</f>
        <v>2,3-Dihydrodipicolinate[c] + H+[c] + Nicotinamide adenine dinucleotide phosphate - reduced[c] =&gt; Nicotinamide adenine dinucleotide phosphate[c] + 2,3,4,5-Tetrahydrodipicolinate[c]</v>
      </c>
      <c r="I158" s="9" t="s">
        <v>815</v>
      </c>
      <c r="J158" s="9" t="s">
        <v>816</v>
      </c>
      <c r="K158" s="9" t="s">
        <v>815</v>
      </c>
      <c r="L158" s="9" t="b">
        <f t="shared" si="10"/>
        <v>1</v>
      </c>
      <c r="M158" s="9" t="b">
        <f t="shared" si="11"/>
        <v>1</v>
      </c>
      <c r="N158" s="9" t="s">
        <v>817</v>
      </c>
      <c r="O158" s="9">
        <v>0</v>
      </c>
      <c r="P158" s="9">
        <v>1000</v>
      </c>
      <c r="Q158" s="13"/>
      <c r="R158" s="13"/>
      <c r="S158" s="9" t="s">
        <v>818</v>
      </c>
      <c r="T158" s="9" t="s">
        <v>188</v>
      </c>
      <c r="U158" s="13"/>
      <c r="V158" s="9" t="s">
        <v>30</v>
      </c>
      <c r="W158" s="13"/>
      <c r="X158" s="9">
        <v>2</v>
      </c>
    </row>
    <row r="159" spans="1:24">
      <c r="A159" s="13"/>
      <c r="B159" s="9" t="s">
        <v>819</v>
      </c>
      <c r="C159" s="9" t="str">
        <f>VLOOKUP(B159,[1]RXNS!$B:$C,1,)</f>
        <v>DHDPS</v>
      </c>
      <c r="D159" s="9" t="b">
        <f t="shared" si="8"/>
        <v>1</v>
      </c>
      <c r="E159" s="9" t="s">
        <v>820</v>
      </c>
      <c r="F159" s="9" t="s">
        <v>820</v>
      </c>
      <c r="G159" s="9" t="b">
        <f t="shared" si="9"/>
        <v>1</v>
      </c>
      <c r="H159" s="9" t="str">
        <f>VLOOKUP(B159,[1]RXNS!$B:$D,3,FALSE)</f>
        <v>L-Aspartate 4-semialdehyde[c] + Pyruvate[c] =&gt; 2,3-Dihydrodipicolinate[c] + 2 H2O[c] + H+[c]</v>
      </c>
      <c r="I159" s="9" t="s">
        <v>821</v>
      </c>
      <c r="J159" s="9" t="s">
        <v>822</v>
      </c>
      <c r="K159" s="9" t="s">
        <v>821</v>
      </c>
      <c r="L159" s="9" t="b">
        <f t="shared" si="10"/>
        <v>1</v>
      </c>
      <c r="M159" s="9" t="b">
        <f t="shared" si="11"/>
        <v>1</v>
      </c>
      <c r="N159" s="9" t="s">
        <v>823</v>
      </c>
      <c r="O159" s="9">
        <v>0</v>
      </c>
      <c r="P159" s="9">
        <v>1000</v>
      </c>
      <c r="Q159" s="13"/>
      <c r="R159" s="13"/>
      <c r="S159" s="9" t="s">
        <v>824</v>
      </c>
      <c r="T159" s="9" t="s">
        <v>188</v>
      </c>
      <c r="U159" s="13"/>
      <c r="V159" s="9" t="s">
        <v>30</v>
      </c>
      <c r="W159" s="13"/>
      <c r="X159" s="9">
        <v>2</v>
      </c>
    </row>
    <row r="160" spans="1:24">
      <c r="A160" s="13"/>
      <c r="B160" s="9" t="s">
        <v>825</v>
      </c>
      <c r="C160" s="9" t="str">
        <f>VLOOKUP(B160,[1]RXNS!$B:$C,1,)</f>
        <v>DHFOR2</v>
      </c>
      <c r="D160" s="9" t="b">
        <f t="shared" si="8"/>
        <v>1</v>
      </c>
      <c r="E160" s="9" t="s">
        <v>826</v>
      </c>
      <c r="F160" s="9" t="s">
        <v>826</v>
      </c>
      <c r="G160" s="9" t="b">
        <f t="shared" si="9"/>
        <v>1</v>
      </c>
      <c r="H160" s="9" t="str">
        <f>VLOOKUP(B160,[1]RXNS!$B:$D,3,FALSE)</f>
        <v>7,8-Dihydrofolate[c] + Nicotinamide adenine dinucleotide phosphate[c] &lt;=&gt; Folate[c] + H+[c] + Nicotinamide adenine dinucleotide phosphate - reduced[c]</v>
      </c>
      <c r="I160" s="9" t="s">
        <v>827</v>
      </c>
      <c r="J160" s="9" t="s">
        <v>828</v>
      </c>
      <c r="K160" s="9" t="s">
        <v>827</v>
      </c>
      <c r="L160" s="9" t="b">
        <f t="shared" si="10"/>
        <v>1</v>
      </c>
      <c r="M160" s="9" t="b">
        <f t="shared" si="11"/>
        <v>1</v>
      </c>
      <c r="N160" s="9" t="s">
        <v>829</v>
      </c>
      <c r="O160" s="9">
        <v>-1000</v>
      </c>
      <c r="P160" s="9">
        <v>1000</v>
      </c>
      <c r="Q160" s="13"/>
      <c r="R160" s="13"/>
      <c r="S160" s="13"/>
      <c r="T160" s="9" t="s">
        <v>830</v>
      </c>
      <c r="U160" s="13"/>
      <c r="V160" s="9" t="s">
        <v>30</v>
      </c>
      <c r="W160" s="13"/>
      <c r="X160" s="9">
        <v>2</v>
      </c>
    </row>
    <row r="161" spans="1:24">
      <c r="A161" s="13"/>
      <c r="B161" s="9" t="s">
        <v>831</v>
      </c>
      <c r="C161" s="9" t="str">
        <f>VLOOKUP(B161,[1]RXNS!$B:$C,1,)</f>
        <v>DHFR</v>
      </c>
      <c r="D161" s="9" t="b">
        <f t="shared" si="8"/>
        <v>1</v>
      </c>
      <c r="E161" s="9" t="s">
        <v>826</v>
      </c>
      <c r="F161" s="9" t="s">
        <v>826</v>
      </c>
      <c r="G161" s="9" t="b">
        <f t="shared" si="9"/>
        <v>1</v>
      </c>
      <c r="H161" s="9" t="str">
        <f>VLOOKUP(B161,[1]RXNS!$B:$D,3,FALSE)</f>
        <v>7,8-Dihydrofolate[c] + H+[c] + Nicotinamide adenine dinucleotide phosphate - reduced[c] &lt;=&gt; Nicotinamide adenine dinucleotide phosphate[c] + 5,6,7,8-Tetrahydrofolate[c]</v>
      </c>
      <c r="I161" s="9" t="s">
        <v>827</v>
      </c>
      <c r="J161" s="9" t="s">
        <v>832</v>
      </c>
      <c r="K161" s="9" t="s">
        <v>827</v>
      </c>
      <c r="L161" s="9" t="b">
        <f t="shared" si="10"/>
        <v>1</v>
      </c>
      <c r="M161" s="9" t="b">
        <f t="shared" si="11"/>
        <v>1</v>
      </c>
      <c r="N161" s="9" t="s">
        <v>829</v>
      </c>
      <c r="O161" s="9">
        <v>-1000</v>
      </c>
      <c r="P161" s="9">
        <v>1000</v>
      </c>
      <c r="Q161" s="13"/>
      <c r="R161" s="13"/>
      <c r="S161" s="9" t="s">
        <v>833</v>
      </c>
      <c r="T161" s="9" t="s">
        <v>830</v>
      </c>
      <c r="U161" s="13"/>
      <c r="V161" s="9" t="s">
        <v>30</v>
      </c>
      <c r="W161" s="13"/>
      <c r="X161" s="9">
        <v>2</v>
      </c>
    </row>
    <row r="162" spans="1:24">
      <c r="A162" s="13"/>
      <c r="B162" s="9" t="s">
        <v>834</v>
      </c>
      <c r="C162" s="9" t="str">
        <f>VLOOKUP(B162,[1]RXNS!$B:$C,1,)</f>
        <v>DHFS</v>
      </c>
      <c r="D162" s="9" t="b">
        <f t="shared" si="8"/>
        <v>1</v>
      </c>
      <c r="E162" s="9" t="s">
        <v>835</v>
      </c>
      <c r="F162" s="9" t="s">
        <v>835</v>
      </c>
      <c r="G162" s="9" t="b">
        <f t="shared" si="9"/>
        <v>1</v>
      </c>
      <c r="H162" s="9" t="str">
        <f>VLOOKUP(B162,[1]RXNS!$B:$D,3,FALSE)</f>
        <v>ATP[c] + Dihydropteroate[c] + L-Glutamate[c] =&gt; ADP[c] + 7,8-Dihydrofolate[c] + H+[c] + Phosphate[c]</v>
      </c>
      <c r="I162" s="9" t="s">
        <v>836</v>
      </c>
      <c r="J162" s="9" t="s">
        <v>837</v>
      </c>
      <c r="K162" s="9" t="s">
        <v>836</v>
      </c>
      <c r="L162" s="9" t="b">
        <f t="shared" si="10"/>
        <v>1</v>
      </c>
      <c r="M162" s="9" t="b">
        <f t="shared" si="11"/>
        <v>1</v>
      </c>
      <c r="N162" s="9" t="s">
        <v>838</v>
      </c>
      <c r="O162" s="9">
        <v>0</v>
      </c>
      <c r="P162" s="9">
        <v>1000</v>
      </c>
      <c r="Q162" s="13"/>
      <c r="R162" s="13"/>
      <c r="S162" s="9" t="s">
        <v>839</v>
      </c>
      <c r="T162" s="9" t="s">
        <v>830</v>
      </c>
      <c r="U162" s="13"/>
      <c r="V162" s="9" t="s">
        <v>30</v>
      </c>
      <c r="W162" s="13"/>
      <c r="X162" s="9">
        <v>2</v>
      </c>
    </row>
    <row r="163" spans="1:24">
      <c r="A163" s="13"/>
      <c r="B163" s="9" t="s">
        <v>840</v>
      </c>
      <c r="C163" s="9" t="str">
        <f>VLOOKUP(B163,[1]RXNS!$B:$C,1,)</f>
        <v>DHNPA</v>
      </c>
      <c r="D163" s="9" t="b">
        <f t="shared" si="8"/>
        <v>1</v>
      </c>
      <c r="E163" s="9" t="s">
        <v>841</v>
      </c>
      <c r="F163" s="9" t="s">
        <v>841</v>
      </c>
      <c r="G163" s="9" t="b">
        <f t="shared" si="9"/>
        <v>1</v>
      </c>
      <c r="H163" s="9" t="str">
        <f>VLOOKUP(B163,[1]RXNS!$B:$D,3,FALSE)</f>
        <v>2-Amino-4-hydroxy-6-(D-erythro-1,2,3-trihydroxypropyl)-7,8-dihydropteridine[c] =&gt; 2-Amino-4-hydroxy-6-hydroxymethyl-7,8-dihydropteridine[c] + Glycolaldehyde[c]</v>
      </c>
      <c r="I163" s="9" t="s">
        <v>842</v>
      </c>
      <c r="J163" s="9" t="s">
        <v>843</v>
      </c>
      <c r="K163" s="9" t="s">
        <v>842</v>
      </c>
      <c r="L163" s="9" t="b">
        <f t="shared" si="10"/>
        <v>1</v>
      </c>
      <c r="M163" s="9" t="b">
        <f t="shared" si="11"/>
        <v>1</v>
      </c>
      <c r="N163" s="9" t="s">
        <v>844</v>
      </c>
      <c r="O163" s="9">
        <v>0</v>
      </c>
      <c r="P163" s="9">
        <v>1000</v>
      </c>
      <c r="Q163" s="13"/>
      <c r="R163" s="13"/>
      <c r="S163" s="13"/>
      <c r="T163" s="9" t="s">
        <v>830</v>
      </c>
      <c r="U163" s="13"/>
      <c r="V163" s="9" t="s">
        <v>30</v>
      </c>
      <c r="W163" s="13"/>
      <c r="X163" s="9">
        <v>2</v>
      </c>
    </row>
    <row r="164" spans="1:24">
      <c r="A164" s="13"/>
      <c r="B164" s="9" t="s">
        <v>845</v>
      </c>
      <c r="C164" s="9" t="str">
        <f>VLOOKUP(B164,[1]RXNS!$B:$C,1,)</f>
        <v>DHORD6</v>
      </c>
      <c r="D164" s="9" t="b">
        <f t="shared" si="8"/>
        <v>1</v>
      </c>
      <c r="E164" s="9" t="s">
        <v>846</v>
      </c>
      <c r="F164" s="9" t="s">
        <v>846</v>
      </c>
      <c r="G164" s="9" t="b">
        <f t="shared" si="9"/>
        <v>1</v>
      </c>
      <c r="H164" s="9" t="str">
        <f>VLOOKUP(B164,[1]RXNS!$B:$D,3,FALSE)</f>
        <v>(S)-Dihydroorotate[c] + Nicotinamide adenine dinucleotide[c] &lt;=&gt; H+[c] + Nicotinamide adenine dinucleotide - reduced[c] + Orotate[c]</v>
      </c>
      <c r="I164" s="9" t="s">
        <v>847</v>
      </c>
      <c r="J164" s="9" t="s">
        <v>848</v>
      </c>
      <c r="K164" s="9" t="s">
        <v>847</v>
      </c>
      <c r="L164" s="9" t="b">
        <f t="shared" si="10"/>
        <v>1</v>
      </c>
      <c r="M164" s="9" t="b">
        <f t="shared" si="11"/>
        <v>1</v>
      </c>
      <c r="N164" s="9" t="s">
        <v>849</v>
      </c>
      <c r="O164" s="9">
        <v>-1000</v>
      </c>
      <c r="P164" s="9">
        <v>1000</v>
      </c>
      <c r="Q164" s="13"/>
      <c r="R164" s="13"/>
      <c r="S164" s="9" t="s">
        <v>850</v>
      </c>
      <c r="T164" s="9" t="s">
        <v>648</v>
      </c>
      <c r="U164" s="13"/>
      <c r="V164" s="9" t="s">
        <v>30</v>
      </c>
      <c r="W164" s="13"/>
      <c r="X164" s="9">
        <v>2</v>
      </c>
    </row>
    <row r="165" spans="1:24">
      <c r="A165" s="13"/>
      <c r="B165" s="9" t="s">
        <v>851</v>
      </c>
      <c r="C165" s="9" t="str">
        <f>VLOOKUP(B165,[1]RXNS!$B:$C,1,)</f>
        <v>DHORTS</v>
      </c>
      <c r="D165" s="9" t="b">
        <f t="shared" si="8"/>
        <v>1</v>
      </c>
      <c r="E165" s="9" t="s">
        <v>852</v>
      </c>
      <c r="F165" s="9" t="s">
        <v>852</v>
      </c>
      <c r="G165" s="9" t="b">
        <f t="shared" si="9"/>
        <v>1</v>
      </c>
      <c r="H165" s="9" t="str">
        <f>VLOOKUP(B165,[1]RXNS!$B:$D,3,FALSE)</f>
        <v>(S)-Dihydroorotate[c] + H2O[c] &lt;=&gt; N-Carbamoyl-L-aspartate[c] + H+[c]</v>
      </c>
      <c r="I165" s="9" t="s">
        <v>853</v>
      </c>
      <c r="J165" s="9" t="s">
        <v>854</v>
      </c>
      <c r="K165" s="9" t="s">
        <v>853</v>
      </c>
      <c r="L165" s="9" t="b">
        <f t="shared" si="10"/>
        <v>1</v>
      </c>
      <c r="M165" s="9" t="b">
        <f t="shared" si="11"/>
        <v>1</v>
      </c>
      <c r="N165" s="9" t="s">
        <v>855</v>
      </c>
      <c r="O165" s="9">
        <v>-1000</v>
      </c>
      <c r="P165" s="9">
        <v>1000</v>
      </c>
      <c r="Q165" s="13"/>
      <c r="R165" s="13"/>
      <c r="S165" s="9" t="s">
        <v>856</v>
      </c>
      <c r="T165" s="9" t="s">
        <v>648</v>
      </c>
      <c r="U165" s="13"/>
      <c r="V165" s="9" t="s">
        <v>30</v>
      </c>
      <c r="W165" s="13"/>
      <c r="X165" s="9">
        <v>2</v>
      </c>
    </row>
    <row r="166" spans="1:24">
      <c r="A166" s="13"/>
      <c r="B166" s="9" t="s">
        <v>857</v>
      </c>
      <c r="C166" s="9" t="str">
        <f>VLOOKUP(B166,[1]RXNS!$B:$C,1,)</f>
        <v>DHPPDA__1</v>
      </c>
      <c r="D166" s="9" t="b">
        <f t="shared" si="8"/>
        <v>1</v>
      </c>
      <c r="E166" s="9" t="s">
        <v>858</v>
      </c>
      <c r="F166" s="9" t="s">
        <v>858</v>
      </c>
      <c r="G166" s="9" t="b">
        <f t="shared" si="9"/>
        <v>1</v>
      </c>
      <c r="H166" s="9" t="str">
        <f>VLOOKUP(B166,[1]RXNS!$B:$D,3,FALSE)</f>
        <v>2,5-Diamino-6-hydroxy-4-(5'-phosphoribosylamino)-pyrimidine[c] + H2O[c] + H+[c] =&gt; 5-Amino-6-(5'-phosphoribosylamino)uracil[c] + Ammonium[c]</v>
      </c>
      <c r="I166" s="9" t="s">
        <v>859</v>
      </c>
      <c r="J166" s="9" t="s">
        <v>860</v>
      </c>
      <c r="K166" s="9" t="s">
        <v>859</v>
      </c>
      <c r="L166" s="9" t="b">
        <f t="shared" si="10"/>
        <v>1</v>
      </c>
      <c r="M166" s="9" t="b">
        <f t="shared" si="11"/>
        <v>1</v>
      </c>
      <c r="N166" s="9" t="s">
        <v>385</v>
      </c>
      <c r="O166" s="9">
        <v>0</v>
      </c>
      <c r="P166" s="9">
        <v>1000</v>
      </c>
      <c r="Q166" s="13"/>
      <c r="R166" s="13"/>
      <c r="S166" s="13"/>
      <c r="T166" s="9" t="s">
        <v>387</v>
      </c>
      <c r="U166" s="13"/>
      <c r="V166" s="9" t="s">
        <v>30</v>
      </c>
      <c r="W166" s="13"/>
      <c r="X166" s="9">
        <v>2</v>
      </c>
    </row>
    <row r="167" spans="1:24">
      <c r="A167" s="13"/>
      <c r="B167" s="9" t="s">
        <v>861</v>
      </c>
      <c r="C167" s="9" t="str">
        <f>VLOOKUP(B167,[1]RXNS!$B:$C,1,)</f>
        <v>DHPS3</v>
      </c>
      <c r="D167" s="9" t="b">
        <f t="shared" si="8"/>
        <v>1</v>
      </c>
      <c r="E167" s="9" t="s">
        <v>862</v>
      </c>
      <c r="F167" s="9" t="s">
        <v>862</v>
      </c>
      <c r="G167" s="9" t="b">
        <f t="shared" si="9"/>
        <v>1</v>
      </c>
      <c r="H167" s="9" t="str">
        <f>VLOOKUP(B167,[1]RXNS!$B:$D,3,FALSE)</f>
        <v>2-Amino-4-hydroxy-6-hydroxymethyl-7,8-dihydropteridine diphosphate[c] + 4-Aminobenzoate[c] =&gt; Dihydropteroate[c] + Diphosphate[c]</v>
      </c>
      <c r="I167" s="9" t="s">
        <v>863</v>
      </c>
      <c r="J167" s="9" t="s">
        <v>864</v>
      </c>
      <c r="K167" s="9" t="s">
        <v>863</v>
      </c>
      <c r="L167" s="9" t="b">
        <f t="shared" si="10"/>
        <v>1</v>
      </c>
      <c r="M167" s="9" t="b">
        <f t="shared" si="11"/>
        <v>1</v>
      </c>
      <c r="N167" s="9" t="s">
        <v>865</v>
      </c>
      <c r="O167" s="9">
        <v>0</v>
      </c>
      <c r="P167" s="9">
        <v>1000</v>
      </c>
      <c r="Q167" s="13"/>
      <c r="R167" s="13"/>
      <c r="S167" s="13"/>
      <c r="T167" s="9" t="s">
        <v>830</v>
      </c>
      <c r="U167" s="13"/>
      <c r="V167" s="9" t="s">
        <v>30</v>
      </c>
      <c r="W167" s="13"/>
      <c r="X167" s="9">
        <v>2</v>
      </c>
    </row>
    <row r="168" spans="1:24">
      <c r="A168" s="13"/>
      <c r="B168" s="9" t="s">
        <v>866</v>
      </c>
      <c r="C168" s="9" t="str">
        <f>VLOOKUP(B168,[1]RXNS!$B:$C,1,)</f>
        <v>DINSK</v>
      </c>
      <c r="D168" s="9" t="b">
        <f t="shared" si="8"/>
        <v>1</v>
      </c>
      <c r="E168" s="9" t="s">
        <v>867</v>
      </c>
      <c r="F168" s="9" t="s">
        <v>867</v>
      </c>
      <c r="G168" s="9" t="b">
        <f t="shared" si="9"/>
        <v>1</v>
      </c>
      <c r="H168" s="9" t="str">
        <f>VLOOKUP(B168,[1]RXNS!$B:$D,3,FALSE)</f>
        <v>ATP[c] + Deoxyinosine[c] =&gt; ADP[c] + dIMP[c]</v>
      </c>
      <c r="I168" s="9" t="s">
        <v>868</v>
      </c>
      <c r="J168" s="9" t="s">
        <v>869</v>
      </c>
      <c r="K168" s="9" t="s">
        <v>868</v>
      </c>
      <c r="L168" s="9" t="b">
        <f t="shared" si="10"/>
        <v>1</v>
      </c>
      <c r="M168" s="9" t="b">
        <f t="shared" si="11"/>
        <v>1</v>
      </c>
      <c r="N168" s="9" t="s">
        <v>751</v>
      </c>
      <c r="O168" s="9">
        <v>0</v>
      </c>
      <c r="P168" s="9">
        <v>1000</v>
      </c>
      <c r="Q168" s="13"/>
      <c r="R168" s="13"/>
      <c r="S168" s="9" t="s">
        <v>870</v>
      </c>
      <c r="T168" s="9" t="s">
        <v>153</v>
      </c>
      <c r="U168" s="13"/>
      <c r="V168" s="9" t="s">
        <v>30</v>
      </c>
      <c r="W168" s="13"/>
      <c r="X168" s="9">
        <v>2</v>
      </c>
    </row>
    <row r="169" spans="1:24">
      <c r="A169" s="13"/>
      <c r="B169" s="9" t="s">
        <v>871</v>
      </c>
      <c r="C169" s="9" t="str">
        <f>VLOOKUP(B169,[1]RXNS!$B:$C,1,)</f>
        <v>DKGLCNR1</v>
      </c>
      <c r="D169" s="9" t="b">
        <f t="shared" si="8"/>
        <v>1</v>
      </c>
      <c r="E169" s="9" t="s">
        <v>872</v>
      </c>
      <c r="F169" s="9" t="s">
        <v>872</v>
      </c>
      <c r="G169" s="9" t="b">
        <f t="shared" si="9"/>
        <v>1</v>
      </c>
      <c r="H169" s="9" t="str">
        <f>VLOOKUP(B169,[1]RXNS!$B:$D,3,FALSE)</f>
        <v>2,5-diketo-D-gluconate[c] + H+[c] + Nicotinamide adenine dinucleotide phosphate - reduced[c] =&gt; 2-Dehydro-L-gulonate[c] + Nicotinamide adenine dinucleotide phosphate[c]</v>
      </c>
      <c r="I169" s="9" t="s">
        <v>873</v>
      </c>
      <c r="J169" s="9" t="s">
        <v>874</v>
      </c>
      <c r="K169" s="9" t="s">
        <v>873</v>
      </c>
      <c r="L169" s="9" t="b">
        <f t="shared" si="10"/>
        <v>1</v>
      </c>
      <c r="M169" s="9" t="b">
        <f t="shared" si="11"/>
        <v>1</v>
      </c>
      <c r="N169" s="9" t="s">
        <v>875</v>
      </c>
      <c r="O169" s="9">
        <v>0</v>
      </c>
      <c r="P169" s="9">
        <v>1000</v>
      </c>
      <c r="Q169" s="13"/>
      <c r="R169" s="13"/>
      <c r="S169" s="9" t="s">
        <v>876</v>
      </c>
      <c r="T169" s="9" t="s">
        <v>398</v>
      </c>
      <c r="U169" s="13"/>
      <c r="V169" s="9" t="s">
        <v>30</v>
      </c>
      <c r="W169" s="13"/>
      <c r="X169" s="9">
        <v>2</v>
      </c>
    </row>
    <row r="170" spans="1:24">
      <c r="A170" s="13"/>
      <c r="B170" s="9" t="s">
        <v>877</v>
      </c>
      <c r="C170" s="9" t="str">
        <f>VLOOKUP(B170,[1]RXNS!$B:$C,1,)</f>
        <v>DKGLCNR2x</v>
      </c>
      <c r="D170" s="9" t="b">
        <f t="shared" si="8"/>
        <v>1</v>
      </c>
      <c r="E170" s="9" t="s">
        <v>878</v>
      </c>
      <c r="F170" s="9" t="s">
        <v>878</v>
      </c>
      <c r="G170" s="9" t="b">
        <f t="shared" si="9"/>
        <v>1</v>
      </c>
      <c r="H170" s="9" t="str">
        <f>VLOOKUP(B170,[1]RXNS!$B:$D,3,FALSE)</f>
        <v>2,5-diketo-D-gluconate[c] + H+[c] + Nicotinamide adenine dinucleotide - reduced[c] =&gt; 5-Dehydro-D-gluconate[c] + Nicotinamide adenine dinucleotide[c]</v>
      </c>
      <c r="I170" s="9" t="s">
        <v>879</v>
      </c>
      <c r="J170" s="9" t="s">
        <v>880</v>
      </c>
      <c r="K170" s="9" t="s">
        <v>879</v>
      </c>
      <c r="L170" s="9" t="b">
        <f t="shared" si="10"/>
        <v>1</v>
      </c>
      <c r="M170" s="9" t="b">
        <f t="shared" si="11"/>
        <v>1</v>
      </c>
      <c r="N170" s="9" t="s">
        <v>875</v>
      </c>
      <c r="O170" s="9">
        <v>0</v>
      </c>
      <c r="P170" s="9">
        <v>1000</v>
      </c>
      <c r="Q170" s="13"/>
      <c r="R170" s="13"/>
      <c r="S170" s="9" t="s">
        <v>881</v>
      </c>
      <c r="T170" s="9" t="s">
        <v>398</v>
      </c>
      <c r="U170" s="13"/>
      <c r="V170" s="9" t="s">
        <v>30</v>
      </c>
      <c r="W170" s="13"/>
      <c r="X170" s="9">
        <v>2</v>
      </c>
    </row>
    <row r="171" spans="1:24">
      <c r="A171" s="13"/>
      <c r="B171" s="9" t="s">
        <v>882</v>
      </c>
      <c r="C171" s="9" t="str">
        <f>VLOOKUP(B171,[1]RXNS!$B:$C,1,)</f>
        <v>DKGLCNR2y</v>
      </c>
      <c r="D171" s="9" t="b">
        <f t="shared" si="8"/>
        <v>1</v>
      </c>
      <c r="E171" s="9" t="s">
        <v>883</v>
      </c>
      <c r="F171" s="9" t="s">
        <v>883</v>
      </c>
      <c r="G171" s="9" t="b">
        <f t="shared" si="9"/>
        <v>1</v>
      </c>
      <c r="H171" s="9" t="str">
        <f>VLOOKUP(B171,[1]RXNS!$B:$D,3,FALSE)</f>
        <v>2,5-diketo-D-gluconate[c] + H+[c] + Nicotinamide adenine dinucleotide phosphate - reduced[c] =&gt; 5-Dehydro-D-gluconate[c] + Nicotinamide adenine dinucleotide phosphate[c]</v>
      </c>
      <c r="I171" s="9" t="s">
        <v>884</v>
      </c>
      <c r="J171" s="9" t="s">
        <v>885</v>
      </c>
      <c r="K171" s="9" t="s">
        <v>884</v>
      </c>
      <c r="L171" s="9" t="b">
        <f t="shared" si="10"/>
        <v>1</v>
      </c>
      <c r="M171" s="9" t="b">
        <f t="shared" si="11"/>
        <v>1</v>
      </c>
      <c r="N171" s="9" t="s">
        <v>886</v>
      </c>
      <c r="O171" s="9">
        <v>0</v>
      </c>
      <c r="P171" s="9">
        <v>1000</v>
      </c>
      <c r="Q171" s="13"/>
      <c r="R171" s="13"/>
      <c r="S171" s="9" t="s">
        <v>887</v>
      </c>
      <c r="T171" s="9" t="s">
        <v>398</v>
      </c>
      <c r="U171" s="13"/>
      <c r="V171" s="9" t="s">
        <v>30</v>
      </c>
      <c r="W171" s="13"/>
      <c r="X171" s="9">
        <v>2</v>
      </c>
    </row>
    <row r="172" spans="1:24">
      <c r="A172" s="13"/>
      <c r="B172" s="9" t="s">
        <v>888</v>
      </c>
      <c r="C172" s="9" t="str">
        <f>VLOOKUP(B172,[1]RXNS!$B:$C,1,)</f>
        <v>DMATT</v>
      </c>
      <c r="D172" s="9" t="b">
        <f t="shared" si="8"/>
        <v>1</v>
      </c>
      <c r="E172" s="9" t="s">
        <v>889</v>
      </c>
      <c r="F172" s="9" t="s">
        <v>889</v>
      </c>
      <c r="G172" s="9" t="b">
        <f t="shared" si="9"/>
        <v>1</v>
      </c>
      <c r="H172" s="9" t="str">
        <f>VLOOKUP(B172,[1]RXNS!$B:$D,3,FALSE)</f>
        <v>Dimethylallyl diphosphate[c] + Isopentenyl diphosphate[c] =&gt; Geranyl diphosphate[c] + Diphosphate[c]</v>
      </c>
      <c r="I172" s="9" t="s">
        <v>890</v>
      </c>
      <c r="J172" s="9" t="s">
        <v>891</v>
      </c>
      <c r="K172" s="9" t="s">
        <v>890</v>
      </c>
      <c r="L172" s="9" t="b">
        <f t="shared" si="10"/>
        <v>1</v>
      </c>
      <c r="M172" s="9" t="b">
        <f t="shared" si="11"/>
        <v>1</v>
      </c>
      <c r="N172" s="9" t="s">
        <v>892</v>
      </c>
      <c r="O172" s="9">
        <v>0</v>
      </c>
      <c r="P172" s="9">
        <v>1000</v>
      </c>
      <c r="Q172" s="13"/>
      <c r="R172" s="13"/>
      <c r="S172" s="9" t="s">
        <v>893</v>
      </c>
      <c r="T172" s="9" t="s">
        <v>573</v>
      </c>
      <c r="U172" s="13"/>
      <c r="V172" s="9" t="s">
        <v>30</v>
      </c>
      <c r="W172" s="13"/>
      <c r="X172" s="9">
        <v>2</v>
      </c>
    </row>
    <row r="173" spans="1:24">
      <c r="A173" s="13"/>
      <c r="B173" s="9" t="s">
        <v>894</v>
      </c>
      <c r="C173" s="9" t="str">
        <f>VLOOKUP(B173,[1]RXNS!$B:$C,1,)</f>
        <v>DNMPPA</v>
      </c>
      <c r="D173" s="9" t="b">
        <f t="shared" si="8"/>
        <v>1</v>
      </c>
      <c r="E173" s="9" t="s">
        <v>895</v>
      </c>
      <c r="F173" s="9" t="s">
        <v>895</v>
      </c>
      <c r="G173" s="9" t="b">
        <f t="shared" si="9"/>
        <v>1</v>
      </c>
      <c r="H173" s="9" t="str">
        <f>VLOOKUP(B173,[1]RXNS!$B:$D,3,FALSE)</f>
        <v>Dihydroneopterin monophosphate[c] + H2O[c] =&gt; 2-Amino-4-hydroxy-6-(D-erythro-1,2,3-trihydroxypropyl)-7,8-dihydropteridine[c] + Phosphate[c]</v>
      </c>
      <c r="I173" s="9" t="s">
        <v>896</v>
      </c>
      <c r="J173" s="9" t="s">
        <v>897</v>
      </c>
      <c r="K173" s="9" t="s">
        <v>896</v>
      </c>
      <c r="L173" s="9" t="b">
        <f t="shared" si="10"/>
        <v>1</v>
      </c>
      <c r="M173" s="9" t="b">
        <f t="shared" si="11"/>
        <v>1</v>
      </c>
      <c r="N173" s="9" t="s">
        <v>898</v>
      </c>
      <c r="O173" s="9">
        <v>0</v>
      </c>
      <c r="P173" s="9">
        <v>1000</v>
      </c>
      <c r="Q173" s="13"/>
      <c r="R173" s="13"/>
      <c r="S173" s="13"/>
      <c r="T173" s="9" t="s">
        <v>830</v>
      </c>
      <c r="U173" s="13"/>
      <c r="V173" s="9" t="s">
        <v>30</v>
      </c>
      <c r="W173" s="13"/>
      <c r="X173" s="9">
        <v>2</v>
      </c>
    </row>
    <row r="174" spans="1:24">
      <c r="A174" s="13"/>
      <c r="B174" s="9" t="s">
        <v>899</v>
      </c>
      <c r="C174" s="9" t="str">
        <f>VLOOKUP(B174,[1]RXNS!$B:$C,1,)</f>
        <v>DNTPPA</v>
      </c>
      <c r="D174" s="9" t="b">
        <f t="shared" si="8"/>
        <v>1</v>
      </c>
      <c r="E174" s="9" t="s">
        <v>900</v>
      </c>
      <c r="F174" s="9" t="s">
        <v>900</v>
      </c>
      <c r="G174" s="9" t="b">
        <f t="shared" si="9"/>
        <v>1</v>
      </c>
      <c r="H174" s="9" t="str">
        <f>VLOOKUP(B174,[1]RXNS!$B:$D,3,FALSE)</f>
        <v>2-Amino-4-hydroxy-6-(erythro-1,2,3-trihydroxypropyl)dihydropteridine triphosphate[c] + H2O[c] =&gt; Dihydroneopterin monophosphate[c] + H+[c] + Diphosphate[c]</v>
      </c>
      <c r="I174" s="9" t="s">
        <v>901</v>
      </c>
      <c r="J174" s="9" t="s">
        <v>902</v>
      </c>
      <c r="K174" s="9" t="s">
        <v>901</v>
      </c>
      <c r="L174" s="9" t="b">
        <f t="shared" si="10"/>
        <v>1</v>
      </c>
      <c r="M174" s="9" t="b">
        <f t="shared" si="11"/>
        <v>1</v>
      </c>
      <c r="N174" s="13"/>
      <c r="O174" s="9">
        <v>0</v>
      </c>
      <c r="P174" s="9">
        <v>1000</v>
      </c>
      <c r="Q174" s="13"/>
      <c r="R174" s="13"/>
      <c r="S174" s="13"/>
      <c r="T174" s="9" t="s">
        <v>830</v>
      </c>
      <c r="U174" s="13"/>
      <c r="V174" s="9" t="s">
        <v>35</v>
      </c>
      <c r="W174" s="13"/>
      <c r="X174" s="9">
        <v>2</v>
      </c>
    </row>
    <row r="175" spans="1:24">
      <c r="A175" s="13"/>
      <c r="B175" s="9" t="s">
        <v>903</v>
      </c>
      <c r="C175" s="9" t="str">
        <f>VLOOKUP(B175,[1]RXNS!$B:$C,1,)</f>
        <v>DPCOAK</v>
      </c>
      <c r="D175" s="9" t="b">
        <f t="shared" si="8"/>
        <v>1</v>
      </c>
      <c r="E175" s="9" t="s">
        <v>904</v>
      </c>
      <c r="F175" s="9" t="s">
        <v>904</v>
      </c>
      <c r="G175" s="9" t="b">
        <f t="shared" si="9"/>
        <v>1</v>
      </c>
      <c r="H175" s="9" t="str">
        <f>VLOOKUP(B175,[1]RXNS!$B:$D,3,FALSE)</f>
        <v>ATP[c] + Dephospho-CoA[c] =&gt; ADP[c] + Coenzyme A[c] + H+[c]</v>
      </c>
      <c r="I175" s="9" t="s">
        <v>905</v>
      </c>
      <c r="J175" s="9" t="s">
        <v>906</v>
      </c>
      <c r="K175" s="9" t="s">
        <v>905</v>
      </c>
      <c r="L175" s="9" t="b">
        <f t="shared" si="10"/>
        <v>1</v>
      </c>
      <c r="M175" s="9" t="b">
        <f t="shared" si="11"/>
        <v>1</v>
      </c>
      <c r="N175" s="9" t="s">
        <v>907</v>
      </c>
      <c r="O175" s="9">
        <v>0</v>
      </c>
      <c r="P175" s="9">
        <v>1000</v>
      </c>
      <c r="Q175" s="13"/>
      <c r="R175" s="13"/>
      <c r="S175" s="9" t="s">
        <v>908</v>
      </c>
      <c r="T175" s="9" t="s">
        <v>131</v>
      </c>
      <c r="U175" s="13"/>
      <c r="V175" s="9" t="s">
        <v>30</v>
      </c>
      <c r="W175" s="13"/>
      <c r="X175" s="9">
        <v>2</v>
      </c>
    </row>
    <row r="176" spans="1:24">
      <c r="A176" s="13"/>
      <c r="B176" s="9" t="s">
        <v>909</v>
      </c>
      <c r="C176" s="9" t="str">
        <f>VLOOKUP(B176,[1]RXNS!$B:$C,1,)</f>
        <v>DPMVD</v>
      </c>
      <c r="D176" s="9" t="b">
        <f t="shared" si="8"/>
        <v>1</v>
      </c>
      <c r="E176" s="9" t="s">
        <v>910</v>
      </c>
      <c r="F176" s="9" t="s">
        <v>910</v>
      </c>
      <c r="G176" s="9" t="b">
        <f t="shared" si="9"/>
        <v>1</v>
      </c>
      <c r="H176" s="9" t="str">
        <f>VLOOKUP(B176,[1]RXNS!$B:$D,3,FALSE)</f>
        <v>(R)-5-Diphosphomevalonate[c] + ATP[c] =&gt; ADP[c] + CO2[c] + Isopentenyl diphosphate[c] + Phosphate[c]</v>
      </c>
      <c r="I176" s="9" t="s">
        <v>911</v>
      </c>
      <c r="J176" s="9" t="s">
        <v>912</v>
      </c>
      <c r="K176" s="9" t="s">
        <v>911</v>
      </c>
      <c r="L176" s="9" t="b">
        <f t="shared" si="10"/>
        <v>1</v>
      </c>
      <c r="M176" s="9" t="b">
        <f t="shared" si="11"/>
        <v>1</v>
      </c>
      <c r="N176" s="9" t="s">
        <v>913</v>
      </c>
      <c r="O176" s="9">
        <v>0</v>
      </c>
      <c r="P176" s="9">
        <v>1000</v>
      </c>
      <c r="Q176" s="13"/>
      <c r="R176" s="13"/>
      <c r="S176" s="9" t="s">
        <v>914</v>
      </c>
      <c r="T176" s="9" t="s">
        <v>573</v>
      </c>
      <c r="U176" s="13"/>
      <c r="V176" s="9" t="s">
        <v>30</v>
      </c>
      <c r="W176" s="13"/>
      <c r="X176" s="9">
        <v>2</v>
      </c>
    </row>
    <row r="177" spans="1:24">
      <c r="A177" s="13"/>
      <c r="B177" s="9" t="s">
        <v>915</v>
      </c>
      <c r="C177" s="9" t="str">
        <f>VLOOKUP(B177,[1]RXNS!$B:$C,1,)</f>
        <v>DPR</v>
      </c>
      <c r="D177" s="9" t="b">
        <f t="shared" si="8"/>
        <v>1</v>
      </c>
      <c r="E177" s="9" t="s">
        <v>916</v>
      </c>
      <c r="F177" s="9" t="s">
        <v>916</v>
      </c>
      <c r="G177" s="9" t="b">
        <f t="shared" si="9"/>
        <v>1</v>
      </c>
      <c r="H177" s="9" t="str">
        <f>VLOOKUP(B177,[1]RXNS!$B:$D,3,FALSE)</f>
        <v>2-Dehydropantoate[c] + H+[c] + Nicotinamide adenine dinucleotide phosphate - reduced[c] =&gt; Nicotinamide adenine dinucleotide phosphate[c] + (R)-Pantoate[c]</v>
      </c>
      <c r="I177" s="9" t="s">
        <v>917</v>
      </c>
      <c r="J177" s="9" t="s">
        <v>918</v>
      </c>
      <c r="K177" s="9" t="s">
        <v>917</v>
      </c>
      <c r="L177" s="9" t="b">
        <f t="shared" si="10"/>
        <v>1</v>
      </c>
      <c r="M177" s="9" t="b">
        <f t="shared" si="11"/>
        <v>1</v>
      </c>
      <c r="N177" s="9" t="s">
        <v>919</v>
      </c>
      <c r="O177" s="9">
        <v>0</v>
      </c>
      <c r="P177" s="9">
        <v>1000</v>
      </c>
      <c r="Q177" s="13"/>
      <c r="R177" s="13"/>
      <c r="S177" s="9" t="s">
        <v>920</v>
      </c>
      <c r="T177" s="9" t="s">
        <v>131</v>
      </c>
      <c r="U177" s="13"/>
      <c r="V177" s="9" t="s">
        <v>30</v>
      </c>
      <c r="W177" s="13"/>
      <c r="X177" s="9">
        <v>2</v>
      </c>
    </row>
    <row r="178" spans="1:24">
      <c r="A178" s="13"/>
      <c r="B178" s="9" t="s">
        <v>921</v>
      </c>
      <c r="C178" s="9" t="str">
        <f>VLOOKUP(B178,[1]RXNS!$B:$C,1,)</f>
        <v>DRBK</v>
      </c>
      <c r="D178" s="9" t="b">
        <f t="shared" si="8"/>
        <v>1</v>
      </c>
      <c r="E178" s="9" t="s">
        <v>922</v>
      </c>
      <c r="F178" s="9" t="s">
        <v>922</v>
      </c>
      <c r="G178" s="9" t="b">
        <f t="shared" si="9"/>
        <v>1</v>
      </c>
      <c r="H178" s="9" t="str">
        <f>VLOOKUP(B178,[1]RXNS!$B:$D,3,FALSE)</f>
        <v>ATP[c] + Deoxyribose[c] =&gt; 2-Deoxy-D-ribose 5-phosphate[c] + ADP[c] + H+[c]</v>
      </c>
      <c r="I178" s="9" t="s">
        <v>923</v>
      </c>
      <c r="J178" s="9" t="s">
        <v>924</v>
      </c>
      <c r="K178" s="9" t="s">
        <v>923</v>
      </c>
      <c r="L178" s="9" t="b">
        <f t="shared" si="10"/>
        <v>1</v>
      </c>
      <c r="M178" s="9" t="b">
        <f t="shared" si="11"/>
        <v>1</v>
      </c>
      <c r="N178" s="9" t="s">
        <v>925</v>
      </c>
      <c r="O178" s="9">
        <v>0</v>
      </c>
      <c r="P178" s="9">
        <v>1000</v>
      </c>
      <c r="Q178" s="13"/>
      <c r="R178" s="13"/>
      <c r="S178" s="9" t="s">
        <v>926</v>
      </c>
      <c r="T178" s="9" t="s">
        <v>393</v>
      </c>
      <c r="U178" s="13"/>
      <c r="V178" s="9" t="s">
        <v>30</v>
      </c>
      <c r="W178" s="13"/>
      <c r="X178" s="9">
        <v>2</v>
      </c>
    </row>
    <row r="179" spans="1:24">
      <c r="A179" s="13"/>
      <c r="B179" s="9" t="s">
        <v>927</v>
      </c>
      <c r="C179" s="9" t="str">
        <f>VLOOKUP(B179,[1]RXNS!$B:$C,1,)</f>
        <v>DRIBt2</v>
      </c>
      <c r="D179" s="9" t="b">
        <f t="shared" si="8"/>
        <v>1</v>
      </c>
      <c r="E179" s="9" t="s">
        <v>928</v>
      </c>
      <c r="F179" s="9" t="s">
        <v>928</v>
      </c>
      <c r="G179" s="9" t="b">
        <f t="shared" si="9"/>
        <v>1</v>
      </c>
      <c r="H179" s="9" t="str">
        <f>VLOOKUP(B179,[1]RXNS!$B:$D,3,FALSE)</f>
        <v>Deoxyribose[e] + H+[e] =&gt; Deoxyribose[c] + H+[c]</v>
      </c>
      <c r="I179" s="9">
        <f>VLOOKUP(B179,[1]RXNS!$B:$E,4,FALSE)</f>
        <v>0</v>
      </c>
      <c r="J179" s="9" t="s">
        <v>929</v>
      </c>
      <c r="K179" s="13"/>
      <c r="L179" s="9" t="b">
        <f t="shared" si="10"/>
        <v>1</v>
      </c>
      <c r="M179" s="9" t="b">
        <f t="shared" si="11"/>
        <v>0</v>
      </c>
      <c r="N179" s="13"/>
      <c r="O179" s="9">
        <v>0</v>
      </c>
      <c r="P179" s="9">
        <v>1000</v>
      </c>
      <c r="Q179" s="13"/>
      <c r="R179" s="13"/>
      <c r="S179" s="13"/>
      <c r="T179" s="9" t="s">
        <v>146</v>
      </c>
      <c r="U179" s="13"/>
      <c r="V179" s="9" t="s">
        <v>35</v>
      </c>
      <c r="W179" s="13"/>
      <c r="X179" s="9">
        <v>2</v>
      </c>
    </row>
    <row r="180" spans="1:24">
      <c r="A180" s="13"/>
      <c r="B180" s="9" t="s">
        <v>930</v>
      </c>
      <c r="C180" s="9" t="str">
        <f>VLOOKUP(B180,[1]RXNS!$B:$C,1,)</f>
        <v>DRPA</v>
      </c>
      <c r="D180" s="9" t="b">
        <f t="shared" si="8"/>
        <v>1</v>
      </c>
      <c r="E180" s="9" t="s">
        <v>931</v>
      </c>
      <c r="F180" s="9" t="s">
        <v>931</v>
      </c>
      <c r="G180" s="9" t="b">
        <f t="shared" si="9"/>
        <v>1</v>
      </c>
      <c r="H180" s="9" t="str">
        <f>VLOOKUP(B180,[1]RXNS!$B:$D,3,FALSE)</f>
        <v>2-Deoxy-D-ribose 5-phosphate[c] =&gt; Acetaldehyde[c] + Glyceraldehyde 3-phosphate[c]</v>
      </c>
      <c r="I180" s="9" t="s">
        <v>932</v>
      </c>
      <c r="J180" s="9" t="s">
        <v>933</v>
      </c>
      <c r="K180" s="9" t="s">
        <v>932</v>
      </c>
      <c r="L180" s="9" t="b">
        <f t="shared" si="10"/>
        <v>1</v>
      </c>
      <c r="M180" s="9" t="b">
        <f t="shared" si="11"/>
        <v>1</v>
      </c>
      <c r="N180" s="13"/>
      <c r="O180" s="9">
        <v>0</v>
      </c>
      <c r="P180" s="9">
        <v>1000</v>
      </c>
      <c r="Q180" s="13"/>
      <c r="R180" s="13"/>
      <c r="S180" s="13"/>
      <c r="T180" s="9" t="s">
        <v>393</v>
      </c>
      <c r="U180" s="13"/>
      <c r="V180" s="9" t="s">
        <v>35</v>
      </c>
      <c r="W180" s="13"/>
      <c r="X180" s="9">
        <v>2</v>
      </c>
    </row>
    <row r="181" spans="1:24">
      <c r="A181" s="13"/>
      <c r="B181" s="9" t="s">
        <v>934</v>
      </c>
      <c r="C181" s="9" t="str">
        <f>VLOOKUP(B181,[1]RXNS!$B:$C,1,)</f>
        <v>DTMPK</v>
      </c>
      <c r="D181" s="9" t="b">
        <f t="shared" si="8"/>
        <v>1</v>
      </c>
      <c r="E181" s="9" t="s">
        <v>935</v>
      </c>
      <c r="F181" s="9" t="s">
        <v>935</v>
      </c>
      <c r="G181" s="9" t="b">
        <f t="shared" si="9"/>
        <v>1</v>
      </c>
      <c r="H181" s="9" t="str">
        <f>VLOOKUP(B181,[1]RXNS!$B:$D,3,FALSE)</f>
        <v>ATP[c] + dTMP[c] &lt;=&gt; ADP[c] + dTDP[c]</v>
      </c>
      <c r="I181" s="9" t="s">
        <v>936</v>
      </c>
      <c r="J181" s="9" t="s">
        <v>937</v>
      </c>
      <c r="K181" s="9" t="s">
        <v>936</v>
      </c>
      <c r="L181" s="9" t="b">
        <f t="shared" si="10"/>
        <v>0</v>
      </c>
      <c r="M181" s="9" t="b">
        <f t="shared" si="11"/>
        <v>1</v>
      </c>
      <c r="N181" s="9" t="s">
        <v>938</v>
      </c>
      <c r="O181" s="9">
        <v>0</v>
      </c>
      <c r="P181" s="9">
        <v>1000</v>
      </c>
      <c r="Q181" s="13"/>
      <c r="R181" s="13"/>
      <c r="S181" s="9" t="s">
        <v>939</v>
      </c>
      <c r="T181" s="9" t="s">
        <v>648</v>
      </c>
      <c r="U181" s="13"/>
      <c r="V181" s="9" t="s">
        <v>30</v>
      </c>
      <c r="W181" s="13"/>
      <c r="X181" s="9">
        <v>2</v>
      </c>
    </row>
    <row r="182" spans="1:24">
      <c r="A182" s="13"/>
      <c r="B182" s="9" t="s">
        <v>940</v>
      </c>
      <c r="C182" s="9" t="str">
        <f>VLOOKUP(B182,[1]RXNS!$B:$C,1,)</f>
        <v>DURADy</v>
      </c>
      <c r="D182" s="9" t="b">
        <f t="shared" si="8"/>
        <v>1</v>
      </c>
      <c r="E182" s="9" t="s">
        <v>941</v>
      </c>
      <c r="F182" s="9" t="s">
        <v>941</v>
      </c>
      <c r="G182" s="9" t="b">
        <f t="shared" si="9"/>
        <v>1</v>
      </c>
      <c r="H182" s="9" t="str">
        <f>VLOOKUP(B182,[1]RXNS!$B:$D,3,FALSE)</f>
        <v>5,6-dihydrouracil[c] + Nicotinamide adenine dinucleotide phosphate[c] &lt;=&gt; H+[c] + Nicotinamide adenine dinucleotide phosphate - reduced[c] + Uracil[c]</v>
      </c>
      <c r="I182" s="9" t="s">
        <v>942</v>
      </c>
      <c r="J182" s="9" t="s">
        <v>943</v>
      </c>
      <c r="K182" s="9" t="s">
        <v>942</v>
      </c>
      <c r="L182" s="9" t="b">
        <f t="shared" si="10"/>
        <v>1</v>
      </c>
      <c r="M182" s="9" t="b">
        <f t="shared" si="11"/>
        <v>1</v>
      </c>
      <c r="N182" s="13"/>
      <c r="O182" s="9">
        <v>-1000</v>
      </c>
      <c r="P182" s="9">
        <v>1000</v>
      </c>
      <c r="Q182" s="13"/>
      <c r="R182" s="13"/>
      <c r="S182" s="13"/>
      <c r="T182" s="9" t="s">
        <v>648</v>
      </c>
      <c r="U182" s="13"/>
      <c r="V182" s="9" t="s">
        <v>35</v>
      </c>
      <c r="W182" s="13"/>
      <c r="X182" s="9">
        <v>2</v>
      </c>
    </row>
    <row r="183" spans="1:24">
      <c r="A183" s="13"/>
      <c r="B183" s="9" t="s">
        <v>944</v>
      </c>
      <c r="C183" s="9" t="str">
        <f>VLOOKUP(B183,[1]RXNS!$B:$C,1,)</f>
        <v>DURIK1</v>
      </c>
      <c r="D183" s="9" t="b">
        <f t="shared" si="8"/>
        <v>1</v>
      </c>
      <c r="E183" s="9" t="s">
        <v>945</v>
      </c>
      <c r="F183" s="9" t="s">
        <v>945</v>
      </c>
      <c r="G183" s="9" t="b">
        <f t="shared" si="9"/>
        <v>1</v>
      </c>
      <c r="H183" s="9" t="str">
        <f>VLOOKUP(B183,[1]RXNS!$B:$D,3,FALSE)</f>
        <v>ATP[c] + Deoxyuridine[c] =&gt; ADP[c] + dUMP[c] + H+[c]</v>
      </c>
      <c r="I183" s="9" t="s">
        <v>946</v>
      </c>
      <c r="J183" s="9" t="s">
        <v>947</v>
      </c>
      <c r="K183" s="9" t="s">
        <v>946</v>
      </c>
      <c r="L183" s="9" t="b">
        <f t="shared" si="10"/>
        <v>1</v>
      </c>
      <c r="M183" s="9" t="b">
        <f t="shared" si="11"/>
        <v>1</v>
      </c>
      <c r="N183" s="9" t="s">
        <v>948</v>
      </c>
      <c r="O183" s="9">
        <v>0</v>
      </c>
      <c r="P183" s="9">
        <v>1000</v>
      </c>
      <c r="Q183" s="13"/>
      <c r="R183" s="13"/>
      <c r="S183" s="9" t="s">
        <v>949</v>
      </c>
      <c r="T183" s="9" t="s">
        <v>648</v>
      </c>
      <c r="U183" s="13"/>
      <c r="V183" s="9" t="s">
        <v>30</v>
      </c>
      <c r="W183" s="13"/>
      <c r="X183" s="9">
        <v>2</v>
      </c>
    </row>
    <row r="184" spans="1:24">
      <c r="A184" s="13"/>
      <c r="B184" s="9" t="s">
        <v>950</v>
      </c>
      <c r="C184" s="9" t="str">
        <f>VLOOKUP(B184,[1]RXNS!$B:$C,1,)</f>
        <v>DURIPP</v>
      </c>
      <c r="D184" s="9" t="b">
        <f t="shared" si="8"/>
        <v>1</v>
      </c>
      <c r="E184" s="9" t="s">
        <v>951</v>
      </c>
      <c r="F184" s="9" t="s">
        <v>951</v>
      </c>
      <c r="G184" s="9" t="b">
        <f t="shared" si="9"/>
        <v>1</v>
      </c>
      <c r="H184" s="9" t="str">
        <f>VLOOKUP(B184,[1]RXNS!$B:$D,3,FALSE)</f>
        <v>Deoxyuridine[c] + Phosphate[c] &lt;=&gt; 2-Deoxy-D-ribose 1-phosphate[c] + Uracil[c]</v>
      </c>
      <c r="I184" s="9" t="s">
        <v>952</v>
      </c>
      <c r="J184" s="9" t="s">
        <v>953</v>
      </c>
      <c r="K184" s="9" t="s">
        <v>952</v>
      </c>
      <c r="L184" s="9" t="b">
        <f t="shared" si="10"/>
        <v>1</v>
      </c>
      <c r="M184" s="9" t="b">
        <f t="shared" si="11"/>
        <v>1</v>
      </c>
      <c r="N184" s="13"/>
      <c r="O184" s="9">
        <v>-1000</v>
      </c>
      <c r="P184" s="9">
        <v>1000</v>
      </c>
      <c r="Q184" s="13"/>
      <c r="R184" s="13"/>
      <c r="S184" s="13"/>
      <c r="T184" s="9" t="s">
        <v>648</v>
      </c>
      <c r="U184" s="13"/>
      <c r="V184" s="9" t="s">
        <v>35</v>
      </c>
      <c r="W184" s="13"/>
      <c r="X184" s="9">
        <v>2</v>
      </c>
    </row>
    <row r="185" spans="1:24">
      <c r="A185" s="13"/>
      <c r="B185" s="9" t="s">
        <v>954</v>
      </c>
      <c r="C185" s="9" t="str">
        <f>VLOOKUP(B185,[1]RXNS!$B:$C,1,)</f>
        <v>DUTPDP</v>
      </c>
      <c r="D185" s="9" t="b">
        <f t="shared" si="8"/>
        <v>1</v>
      </c>
      <c r="E185" s="9" t="s">
        <v>955</v>
      </c>
      <c r="F185" s="9" t="s">
        <v>955</v>
      </c>
      <c r="G185" s="9" t="b">
        <f t="shared" si="9"/>
        <v>1</v>
      </c>
      <c r="H185" s="9" t="str">
        <f>VLOOKUP(B185,[1]RXNS!$B:$D,3,FALSE)</f>
        <v>dUTP[c] + H2O[c] =&gt; dUMP[c] + H+[c] + Diphosphate[c]</v>
      </c>
      <c r="I185" s="9" t="s">
        <v>956</v>
      </c>
      <c r="J185" s="9" t="s">
        <v>957</v>
      </c>
      <c r="K185" s="9" t="s">
        <v>956</v>
      </c>
      <c r="L185" s="9" t="b">
        <f t="shared" si="10"/>
        <v>1</v>
      </c>
      <c r="M185" s="9" t="b">
        <f t="shared" si="11"/>
        <v>1</v>
      </c>
      <c r="N185" s="9" t="s">
        <v>958</v>
      </c>
      <c r="O185" s="9">
        <v>0</v>
      </c>
      <c r="P185" s="9">
        <v>1000</v>
      </c>
      <c r="Q185" s="13"/>
      <c r="R185" s="13"/>
      <c r="S185" s="9" t="s">
        <v>959</v>
      </c>
      <c r="T185" s="9" t="s">
        <v>648</v>
      </c>
      <c r="U185" s="13"/>
      <c r="V185" s="9" t="s">
        <v>30</v>
      </c>
      <c r="W185" s="13"/>
      <c r="X185" s="9">
        <v>2</v>
      </c>
    </row>
    <row r="186" spans="1:24">
      <c r="A186" s="13"/>
      <c r="B186" s="9" t="s">
        <v>960</v>
      </c>
      <c r="C186" s="9" t="str">
        <f>VLOOKUP(B186,[1]RXNS!$B:$C,1,)</f>
        <v>DXPS</v>
      </c>
      <c r="D186" s="9" t="b">
        <f t="shared" si="8"/>
        <v>1</v>
      </c>
      <c r="E186" s="9" t="s">
        <v>961</v>
      </c>
      <c r="F186" s="9" t="s">
        <v>961</v>
      </c>
      <c r="G186" s="9" t="b">
        <f t="shared" si="9"/>
        <v>1</v>
      </c>
      <c r="H186" s="9" t="str">
        <f>VLOOKUP(B186,[1]RXNS!$B:$D,3,FALSE)</f>
        <v>Glyceraldehyde 3-phosphate[c] + H+[c] + Pyruvate[c] =&gt; CO2[c] + 1-deoxy-D-xylulose 5-phosphate[c]</v>
      </c>
      <c r="I186" s="9" t="s">
        <v>962</v>
      </c>
      <c r="J186" s="9" t="s">
        <v>963</v>
      </c>
      <c r="K186" s="9" t="s">
        <v>962</v>
      </c>
      <c r="L186" s="9" t="b">
        <f t="shared" si="10"/>
        <v>1</v>
      </c>
      <c r="M186" s="9" t="b">
        <f t="shared" si="11"/>
        <v>1</v>
      </c>
      <c r="N186" s="9" t="s">
        <v>964</v>
      </c>
      <c r="O186" s="9">
        <v>0</v>
      </c>
      <c r="P186" s="9">
        <v>1000</v>
      </c>
      <c r="Q186" s="13"/>
      <c r="R186" s="13"/>
      <c r="S186" s="9" t="s">
        <v>965</v>
      </c>
      <c r="T186" s="9" t="s">
        <v>573</v>
      </c>
      <c r="U186" s="13"/>
      <c r="V186" s="9" t="s">
        <v>30</v>
      </c>
      <c r="W186" s="13"/>
      <c r="X186" s="9">
        <v>2</v>
      </c>
    </row>
    <row r="187" spans="1:24">
      <c r="A187" s="13"/>
      <c r="B187" s="9" t="s">
        <v>966</v>
      </c>
      <c r="C187" s="9" t="str">
        <f>VLOOKUP(B187,[1]RXNS!$B:$C,1,)</f>
        <v>D_LACt2</v>
      </c>
      <c r="D187" s="9" t="b">
        <f t="shared" si="8"/>
        <v>1</v>
      </c>
      <c r="E187" s="9" t="s">
        <v>967</v>
      </c>
      <c r="F187" s="9" t="s">
        <v>967</v>
      </c>
      <c r="G187" s="9" t="b">
        <f t="shared" si="9"/>
        <v>1</v>
      </c>
      <c r="H187" s="9" t="str">
        <f>VLOOKUP(B187,[1]RXNS!$B:$D,3,FALSE)</f>
        <v>2 H+[e] + D-Lactate[e] &lt;=&gt; 2 H+[c] + D-Lactate[c]</v>
      </c>
      <c r="I187" s="9">
        <f>VLOOKUP(B187,[1]RXNS!$B:$E,4,FALSE)</f>
        <v>0</v>
      </c>
      <c r="J187" s="9" t="s">
        <v>968</v>
      </c>
      <c r="K187" s="13"/>
      <c r="L187" s="9" t="b">
        <f t="shared" si="10"/>
        <v>1</v>
      </c>
      <c r="M187" s="9" t="b">
        <f t="shared" si="11"/>
        <v>0</v>
      </c>
      <c r="N187" s="13"/>
      <c r="O187" s="9">
        <v>-1000</v>
      </c>
      <c r="P187" s="9">
        <v>1000</v>
      </c>
      <c r="Q187" s="13"/>
      <c r="R187" s="13"/>
      <c r="S187" s="13"/>
      <c r="T187" s="9" t="s">
        <v>146</v>
      </c>
      <c r="U187" s="13"/>
      <c r="V187" s="9" t="s">
        <v>35</v>
      </c>
      <c r="W187" s="13"/>
      <c r="X187" s="9">
        <v>2</v>
      </c>
    </row>
    <row r="188" spans="1:24">
      <c r="A188" s="13"/>
      <c r="B188" s="9" t="s">
        <v>969</v>
      </c>
      <c r="C188" s="9" t="str">
        <f>VLOOKUP(B188,[1]RXNS!$B:$C,1,)</f>
        <v>ENO</v>
      </c>
      <c r="D188" s="9" t="b">
        <f t="shared" si="8"/>
        <v>1</v>
      </c>
      <c r="E188" s="9" t="s">
        <v>970</v>
      </c>
      <c r="F188" s="9" t="s">
        <v>970</v>
      </c>
      <c r="G188" s="9" t="b">
        <f t="shared" si="9"/>
        <v>1</v>
      </c>
      <c r="H188" s="9" t="str">
        <f>VLOOKUP(B188,[1]RXNS!$B:$D,3,FALSE)</f>
        <v>D-Glycerate 2-phosphate[c] &lt;=&gt; H2O[c] + Phosphoenolpyruvate[c]</v>
      </c>
      <c r="I188" s="9" t="s">
        <v>971</v>
      </c>
      <c r="J188" s="9" t="s">
        <v>972</v>
      </c>
      <c r="K188" s="9" t="s">
        <v>971</v>
      </c>
      <c r="L188" s="9" t="b">
        <f t="shared" si="10"/>
        <v>1</v>
      </c>
      <c r="M188" s="9" t="b">
        <f t="shared" si="11"/>
        <v>1</v>
      </c>
      <c r="N188" s="9" t="s">
        <v>973</v>
      </c>
      <c r="O188" s="9">
        <v>-1000</v>
      </c>
      <c r="P188" s="9">
        <v>1000</v>
      </c>
      <c r="Q188" s="13"/>
      <c r="R188" s="13"/>
      <c r="S188" s="9" t="s">
        <v>974</v>
      </c>
      <c r="T188" s="9" t="s">
        <v>330</v>
      </c>
      <c r="U188" s="13"/>
      <c r="V188" s="9" t="s">
        <v>30</v>
      </c>
      <c r="W188" s="13"/>
      <c r="X188" s="9">
        <v>2</v>
      </c>
    </row>
    <row r="189" spans="1:24">
      <c r="A189" s="13"/>
      <c r="B189" s="9" t="s">
        <v>975</v>
      </c>
      <c r="C189" s="9" t="str">
        <f>VLOOKUP(B189,[1]RXNS!$B:$C,1,)</f>
        <v>EPPP</v>
      </c>
      <c r="D189" s="9" t="b">
        <f t="shared" si="8"/>
        <v>1</v>
      </c>
      <c r="E189" s="9" t="s">
        <v>976</v>
      </c>
      <c r="F189" s="9" t="s">
        <v>976</v>
      </c>
      <c r="G189" s="9" t="b">
        <f t="shared" si="9"/>
        <v>1</v>
      </c>
      <c r="H189" s="9" t="str">
        <f>VLOOKUP(B189,[1]RXNS!$B:$D,3,FALSE)</f>
        <v>H2O[c] + Inorganic triphosphate[c] =&gt; H+[c] + Phosphate[c] + Diphosphate[c]</v>
      </c>
      <c r="I189" s="9" t="s">
        <v>977</v>
      </c>
      <c r="J189" s="9" t="s">
        <v>978</v>
      </c>
      <c r="K189" s="9" t="s">
        <v>977</v>
      </c>
      <c r="L189" s="9" t="b">
        <f t="shared" si="10"/>
        <v>1</v>
      </c>
      <c r="M189" s="9" t="b">
        <f t="shared" si="11"/>
        <v>1</v>
      </c>
      <c r="N189" s="9" t="s">
        <v>979</v>
      </c>
      <c r="O189" s="9">
        <v>0</v>
      </c>
      <c r="P189" s="9">
        <v>1000</v>
      </c>
      <c r="Q189" s="13"/>
      <c r="R189" s="13"/>
      <c r="S189" s="13"/>
      <c r="T189" s="9" t="s">
        <v>222</v>
      </c>
      <c r="U189" s="13"/>
      <c r="V189" s="9" t="s">
        <v>30</v>
      </c>
      <c r="W189" s="13"/>
      <c r="X189" s="9">
        <v>2</v>
      </c>
    </row>
    <row r="190" spans="1:24">
      <c r="A190" s="13"/>
      <c r="B190" s="9" t="s">
        <v>980</v>
      </c>
      <c r="C190" s="9" t="str">
        <f>VLOOKUP(B190,[1]RXNS!$B:$C,1,)</f>
        <v>ETOHt1</v>
      </c>
      <c r="D190" s="9" t="b">
        <f t="shared" si="8"/>
        <v>1</v>
      </c>
      <c r="E190" s="9" t="s">
        <v>981</v>
      </c>
      <c r="F190" s="9" t="s">
        <v>981</v>
      </c>
      <c r="G190" s="9" t="b">
        <f t="shared" si="9"/>
        <v>1</v>
      </c>
      <c r="H190" s="9" t="str">
        <f>VLOOKUP(B190,[1]RXNS!$B:$D,3,FALSE)</f>
        <v>Ethanol[e] &lt;=&gt; Ethanol[c]</v>
      </c>
      <c r="I190" s="9">
        <f>VLOOKUP(B190,[1]RXNS!$B:$E,4,FALSE)</f>
        <v>0</v>
      </c>
      <c r="J190" s="9" t="s">
        <v>982</v>
      </c>
      <c r="K190" s="13"/>
      <c r="L190" s="9" t="b">
        <f t="shared" si="10"/>
        <v>1</v>
      </c>
      <c r="M190" s="9" t="b">
        <f t="shared" si="11"/>
        <v>0</v>
      </c>
      <c r="N190" s="13"/>
      <c r="O190" s="9">
        <v>-1000</v>
      </c>
      <c r="P190" s="9">
        <v>1000</v>
      </c>
      <c r="Q190" s="13"/>
      <c r="R190" s="13"/>
      <c r="S190" s="13"/>
      <c r="T190" s="9" t="s">
        <v>146</v>
      </c>
      <c r="U190" s="13"/>
      <c r="V190" s="9" t="s">
        <v>35</v>
      </c>
      <c r="W190" s="13"/>
      <c r="X190" s="9">
        <v>2</v>
      </c>
    </row>
    <row r="191" spans="1:24">
      <c r="A191" s="13"/>
      <c r="B191" s="9" t="s">
        <v>983</v>
      </c>
      <c r="C191" s="9" t="e">
        <f>VLOOKUP(B191,[1]RXNS!$B:$C,1,)</f>
        <v>#N/A</v>
      </c>
      <c r="D191" s="9" t="e">
        <f t="shared" si="8"/>
        <v>#N/A</v>
      </c>
      <c r="E191" s="9" t="e">
        <v>#N/A</v>
      </c>
      <c r="F191" s="9" t="s">
        <v>984</v>
      </c>
      <c r="G191" s="9" t="e">
        <f t="shared" si="9"/>
        <v>#N/A</v>
      </c>
      <c r="H191" s="9" t="e">
        <f>VLOOKUP(B191,[1]RXNS!$B:$D,3,FALSE)</f>
        <v>#N/A</v>
      </c>
      <c r="I191" s="9" t="e">
        <f>VLOOKUP(B191,[1]RXNS!$B:$E,4,FALSE)</f>
        <v>#N/A</v>
      </c>
      <c r="J191" s="9" t="s">
        <v>985</v>
      </c>
      <c r="K191" s="13"/>
      <c r="L191" s="9" t="e">
        <f t="shared" si="10"/>
        <v>#N/A</v>
      </c>
      <c r="M191" s="9" t="e">
        <f t="shared" si="11"/>
        <v>#N/A</v>
      </c>
      <c r="N191" s="13"/>
      <c r="O191" s="9">
        <v>-1000</v>
      </c>
      <c r="P191" s="9">
        <v>1000</v>
      </c>
      <c r="Q191" s="13"/>
      <c r="R191" s="13"/>
      <c r="S191" s="13"/>
      <c r="T191" s="9" t="s">
        <v>61</v>
      </c>
      <c r="U191" s="13"/>
      <c r="V191" s="9" t="s">
        <v>35</v>
      </c>
      <c r="W191" s="13"/>
      <c r="X191" s="9">
        <v>2</v>
      </c>
    </row>
    <row r="192" spans="1:24">
      <c r="A192" s="13"/>
      <c r="B192" s="9" t="s">
        <v>986</v>
      </c>
      <c r="C192" s="9" t="e">
        <f>VLOOKUP(B192,[1]RXNS!$B:$C,1,)</f>
        <v>#N/A</v>
      </c>
      <c r="D192" s="9" t="e">
        <f t="shared" si="8"/>
        <v>#N/A</v>
      </c>
      <c r="E192" s="9" t="e">
        <v>#N/A</v>
      </c>
      <c r="F192" s="9" t="s">
        <v>987</v>
      </c>
      <c r="G192" s="9" t="e">
        <f t="shared" si="9"/>
        <v>#N/A</v>
      </c>
      <c r="H192" s="9" t="e">
        <f>VLOOKUP(B192,[1]RXNS!$B:$D,3,FALSE)</f>
        <v>#N/A</v>
      </c>
      <c r="I192" s="9" t="e">
        <f>VLOOKUP(B192,[1]RXNS!$B:$E,4,FALSE)</f>
        <v>#N/A</v>
      </c>
      <c r="J192" s="9" t="s">
        <v>988</v>
      </c>
      <c r="K192" s="13"/>
      <c r="L192" s="9" t="e">
        <f t="shared" si="10"/>
        <v>#N/A</v>
      </c>
      <c r="M192" s="9" t="e">
        <f t="shared" si="11"/>
        <v>#N/A</v>
      </c>
      <c r="N192" s="13"/>
      <c r="O192" s="9">
        <v>-1000</v>
      </c>
      <c r="P192" s="9">
        <v>1000</v>
      </c>
      <c r="Q192" s="13"/>
      <c r="R192" s="13"/>
      <c r="S192" s="13"/>
      <c r="T192" s="9" t="s">
        <v>61</v>
      </c>
      <c r="U192" s="13"/>
      <c r="V192" s="9" t="s">
        <v>35</v>
      </c>
      <c r="W192" s="13"/>
      <c r="X192" s="9">
        <v>2</v>
      </c>
    </row>
    <row r="193" spans="1:24">
      <c r="A193" s="13"/>
      <c r="B193" s="9" t="s">
        <v>989</v>
      </c>
      <c r="C193" s="9" t="e">
        <f>VLOOKUP(B193,[1]RXNS!$B:$C,1,)</f>
        <v>#N/A</v>
      </c>
      <c r="D193" s="9" t="e">
        <f t="shared" si="8"/>
        <v>#N/A</v>
      </c>
      <c r="E193" s="9" t="e">
        <v>#N/A</v>
      </c>
      <c r="F193" s="9" t="s">
        <v>990</v>
      </c>
      <c r="G193" s="9" t="e">
        <f t="shared" si="9"/>
        <v>#N/A</v>
      </c>
      <c r="H193" s="9" t="e">
        <f>VLOOKUP(B193,[1]RXNS!$B:$D,3,FALSE)</f>
        <v>#N/A</v>
      </c>
      <c r="I193" s="9" t="e">
        <f>VLOOKUP(B193,[1]RXNS!$B:$E,4,FALSE)</f>
        <v>#N/A</v>
      </c>
      <c r="J193" s="9" t="s">
        <v>991</v>
      </c>
      <c r="K193" s="13"/>
      <c r="L193" s="9" t="e">
        <f t="shared" si="10"/>
        <v>#N/A</v>
      </c>
      <c r="M193" s="9" t="e">
        <f t="shared" si="11"/>
        <v>#N/A</v>
      </c>
      <c r="N193" s="13"/>
      <c r="O193" s="9">
        <v>-1000</v>
      </c>
      <c r="P193" s="9">
        <v>1000</v>
      </c>
      <c r="Q193" s="13"/>
      <c r="R193" s="13"/>
      <c r="S193" s="13"/>
      <c r="T193" s="9" t="s">
        <v>61</v>
      </c>
      <c r="U193" s="13"/>
      <c r="V193" s="9" t="s">
        <v>35</v>
      </c>
      <c r="W193" s="13"/>
      <c r="X193" s="9">
        <v>2</v>
      </c>
    </row>
    <row r="194" spans="1:24">
      <c r="A194" s="13"/>
      <c r="B194" s="9" t="s">
        <v>992</v>
      </c>
      <c r="C194" s="9" t="e">
        <f>VLOOKUP(B194,[1]RXNS!$B:$C,1,)</f>
        <v>#N/A</v>
      </c>
      <c r="D194" s="9" t="e">
        <f t="shared" ref="D194:D257" si="12">EXACT(B194,C194)</f>
        <v>#N/A</v>
      </c>
      <c r="E194" s="9" t="e">
        <v>#N/A</v>
      </c>
      <c r="F194" s="9" t="s">
        <v>993</v>
      </c>
      <c r="G194" s="9" t="e">
        <f t="shared" ref="G194:G257" si="13">EXACT(E194,F194)</f>
        <v>#N/A</v>
      </c>
      <c r="H194" s="9" t="e">
        <f>VLOOKUP(B194,[1]RXNS!$B:$D,3,FALSE)</f>
        <v>#N/A</v>
      </c>
      <c r="I194" s="9" t="e">
        <f>VLOOKUP(B194,[1]RXNS!$B:$E,4,FALSE)</f>
        <v>#N/A</v>
      </c>
      <c r="J194" s="9" t="s">
        <v>994</v>
      </c>
      <c r="K194" s="13"/>
      <c r="L194" s="9" t="e">
        <f t="shared" ref="L194:L257" si="14">EXACT(H194,J194)</f>
        <v>#N/A</v>
      </c>
      <c r="M194" s="9" t="e">
        <f t="shared" ref="M194:M257" si="15">EXACT(I194,K194)</f>
        <v>#N/A</v>
      </c>
      <c r="N194" s="13"/>
      <c r="O194" s="9">
        <v>-1000</v>
      </c>
      <c r="P194" s="9">
        <v>1000</v>
      </c>
      <c r="Q194" s="13"/>
      <c r="R194" s="13"/>
      <c r="S194" s="13"/>
      <c r="T194" s="9" t="s">
        <v>61</v>
      </c>
      <c r="U194" s="13"/>
      <c r="V194" s="9" t="s">
        <v>35</v>
      </c>
      <c r="W194" s="13"/>
      <c r="X194" s="9">
        <v>2</v>
      </c>
    </row>
    <row r="195" spans="1:24">
      <c r="A195" s="13"/>
      <c r="B195" s="9" t="s">
        <v>995</v>
      </c>
      <c r="C195" s="9" t="e">
        <f>VLOOKUP(B195,[1]RXNS!$B:$C,1,)</f>
        <v>#N/A</v>
      </c>
      <c r="D195" s="9" t="e">
        <f t="shared" si="12"/>
        <v>#N/A</v>
      </c>
      <c r="E195" s="9" t="e">
        <v>#N/A</v>
      </c>
      <c r="F195" s="9" t="s">
        <v>996</v>
      </c>
      <c r="G195" s="9" t="e">
        <f t="shared" si="13"/>
        <v>#N/A</v>
      </c>
      <c r="H195" s="9" t="e">
        <f>VLOOKUP(B195,[1]RXNS!$B:$D,3,FALSE)</f>
        <v>#N/A</v>
      </c>
      <c r="I195" s="9" t="e">
        <f>VLOOKUP(B195,[1]RXNS!$B:$E,4,FALSE)</f>
        <v>#N/A</v>
      </c>
      <c r="J195" s="9" t="s">
        <v>997</v>
      </c>
      <c r="K195" s="13"/>
      <c r="L195" s="9" t="e">
        <f t="shared" si="14"/>
        <v>#N/A</v>
      </c>
      <c r="M195" s="9" t="e">
        <f t="shared" si="15"/>
        <v>#N/A</v>
      </c>
      <c r="N195" s="13"/>
      <c r="O195" s="9">
        <v>-1000</v>
      </c>
      <c r="P195" s="9">
        <v>1000</v>
      </c>
      <c r="Q195" s="13"/>
      <c r="R195" s="13"/>
      <c r="S195" s="13"/>
      <c r="T195" s="9" t="s">
        <v>61</v>
      </c>
      <c r="U195" s="13"/>
      <c r="V195" s="9" t="s">
        <v>35</v>
      </c>
      <c r="W195" s="13"/>
      <c r="X195" s="9">
        <v>2</v>
      </c>
    </row>
    <row r="196" spans="1:24">
      <c r="A196" s="13"/>
      <c r="B196" s="9" t="s">
        <v>998</v>
      </c>
      <c r="C196" s="9" t="e">
        <f>VLOOKUP(B196,[1]RXNS!$B:$C,1,)</f>
        <v>#N/A</v>
      </c>
      <c r="D196" s="9" t="e">
        <f t="shared" si="12"/>
        <v>#N/A</v>
      </c>
      <c r="E196" s="9" t="e">
        <v>#N/A</v>
      </c>
      <c r="F196" s="9" t="s">
        <v>999</v>
      </c>
      <c r="G196" s="9" t="e">
        <f t="shared" si="13"/>
        <v>#N/A</v>
      </c>
      <c r="H196" s="9" t="e">
        <f>VLOOKUP(B196,[1]RXNS!$B:$D,3,FALSE)</f>
        <v>#N/A</v>
      </c>
      <c r="I196" s="9" t="e">
        <f>VLOOKUP(B196,[1]RXNS!$B:$E,4,FALSE)</f>
        <v>#N/A</v>
      </c>
      <c r="J196" s="9" t="s">
        <v>1000</v>
      </c>
      <c r="K196" s="13"/>
      <c r="L196" s="9" t="e">
        <f t="shared" si="14"/>
        <v>#N/A</v>
      </c>
      <c r="M196" s="9" t="e">
        <f t="shared" si="15"/>
        <v>#N/A</v>
      </c>
      <c r="N196" s="13"/>
      <c r="O196" s="9">
        <v>-1000</v>
      </c>
      <c r="P196" s="9">
        <v>1000</v>
      </c>
      <c r="Q196" s="13"/>
      <c r="R196" s="13"/>
      <c r="S196" s="13"/>
      <c r="T196" s="9" t="s">
        <v>61</v>
      </c>
      <c r="U196" s="13"/>
      <c r="V196" s="9" t="s">
        <v>35</v>
      </c>
      <c r="W196" s="13"/>
      <c r="X196" s="9">
        <v>2</v>
      </c>
    </row>
    <row r="197" spans="1:24">
      <c r="A197" s="13"/>
      <c r="B197" s="9" t="s">
        <v>1001</v>
      </c>
      <c r="C197" s="9" t="e">
        <f>VLOOKUP(B197,[1]RXNS!$B:$C,1,)</f>
        <v>#N/A</v>
      </c>
      <c r="D197" s="9" t="e">
        <f t="shared" si="12"/>
        <v>#N/A</v>
      </c>
      <c r="E197" s="9" t="e">
        <v>#N/A</v>
      </c>
      <c r="F197" s="9" t="s">
        <v>1002</v>
      </c>
      <c r="G197" s="9" t="e">
        <f t="shared" si="13"/>
        <v>#N/A</v>
      </c>
      <c r="H197" s="9" t="e">
        <f>VLOOKUP(B197,[1]RXNS!$B:$D,3,FALSE)</f>
        <v>#N/A</v>
      </c>
      <c r="I197" s="9" t="e">
        <f>VLOOKUP(B197,[1]RXNS!$B:$E,4,FALSE)</f>
        <v>#N/A</v>
      </c>
      <c r="J197" s="9" t="s">
        <v>1003</v>
      </c>
      <c r="K197" s="13"/>
      <c r="L197" s="9" t="e">
        <f t="shared" si="14"/>
        <v>#N/A</v>
      </c>
      <c r="M197" s="9" t="e">
        <f t="shared" si="15"/>
        <v>#N/A</v>
      </c>
      <c r="N197" s="13"/>
      <c r="O197" s="9">
        <v>-1000</v>
      </c>
      <c r="P197" s="9">
        <v>1000</v>
      </c>
      <c r="Q197" s="13"/>
      <c r="R197" s="13"/>
      <c r="S197" s="13"/>
      <c r="T197" s="9" t="s">
        <v>61</v>
      </c>
      <c r="U197" s="13"/>
      <c r="V197" s="9" t="s">
        <v>35</v>
      </c>
      <c r="W197" s="13"/>
      <c r="X197" s="9">
        <v>2</v>
      </c>
    </row>
    <row r="198" spans="1:24">
      <c r="A198" s="13"/>
      <c r="B198" s="9" t="s">
        <v>1004</v>
      </c>
      <c r="C198" s="9" t="e">
        <f>VLOOKUP(B198,[1]RXNS!$B:$C,1,)</f>
        <v>#N/A</v>
      </c>
      <c r="D198" s="9" t="e">
        <f t="shared" si="12"/>
        <v>#N/A</v>
      </c>
      <c r="E198" s="9" t="e">
        <v>#N/A</v>
      </c>
      <c r="F198" s="9" t="s">
        <v>1005</v>
      </c>
      <c r="G198" s="9" t="e">
        <f t="shared" si="13"/>
        <v>#N/A</v>
      </c>
      <c r="H198" s="9" t="e">
        <f>VLOOKUP(B198,[1]RXNS!$B:$D,3,FALSE)</f>
        <v>#N/A</v>
      </c>
      <c r="I198" s="9" t="e">
        <f>VLOOKUP(B198,[1]RXNS!$B:$E,4,FALSE)</f>
        <v>#N/A</v>
      </c>
      <c r="J198" s="9" t="s">
        <v>1006</v>
      </c>
      <c r="K198" s="13"/>
      <c r="L198" s="9" t="e">
        <f t="shared" si="14"/>
        <v>#N/A</v>
      </c>
      <c r="M198" s="9" t="e">
        <f t="shared" si="15"/>
        <v>#N/A</v>
      </c>
      <c r="N198" s="13"/>
      <c r="O198" s="9">
        <v>-1000</v>
      </c>
      <c r="P198" s="9">
        <v>1000</v>
      </c>
      <c r="Q198" s="13"/>
      <c r="R198" s="13"/>
      <c r="S198" s="13"/>
      <c r="T198" s="9" t="s">
        <v>61</v>
      </c>
      <c r="U198" s="13"/>
      <c r="V198" s="9" t="s">
        <v>35</v>
      </c>
      <c r="W198" s="13"/>
      <c r="X198" s="9">
        <v>2</v>
      </c>
    </row>
    <row r="199" spans="1:24">
      <c r="A199" s="13"/>
      <c r="B199" s="9" t="s">
        <v>1007</v>
      </c>
      <c r="C199" s="9" t="e">
        <f>VLOOKUP(B199,[1]RXNS!$B:$C,1,)</f>
        <v>#N/A</v>
      </c>
      <c r="D199" s="9" t="e">
        <f t="shared" si="12"/>
        <v>#N/A</v>
      </c>
      <c r="E199" s="9" t="e">
        <v>#N/A</v>
      </c>
      <c r="F199" s="9" t="s">
        <v>1008</v>
      </c>
      <c r="G199" s="9" t="e">
        <f t="shared" si="13"/>
        <v>#N/A</v>
      </c>
      <c r="H199" s="9" t="e">
        <f>VLOOKUP(B199,[1]RXNS!$B:$D,3,FALSE)</f>
        <v>#N/A</v>
      </c>
      <c r="I199" s="9" t="e">
        <f>VLOOKUP(B199,[1]RXNS!$B:$E,4,FALSE)</f>
        <v>#N/A</v>
      </c>
      <c r="J199" s="9" t="s">
        <v>1009</v>
      </c>
      <c r="K199" s="13"/>
      <c r="L199" s="9" t="e">
        <f t="shared" si="14"/>
        <v>#N/A</v>
      </c>
      <c r="M199" s="9" t="e">
        <f t="shared" si="15"/>
        <v>#N/A</v>
      </c>
      <c r="N199" s="13"/>
      <c r="O199" s="9">
        <v>-1000</v>
      </c>
      <c r="P199" s="9">
        <v>1000</v>
      </c>
      <c r="Q199" s="13"/>
      <c r="R199" s="13"/>
      <c r="S199" s="13"/>
      <c r="T199" s="9" t="s">
        <v>61</v>
      </c>
      <c r="U199" s="13"/>
      <c r="V199" s="9" t="s">
        <v>35</v>
      </c>
      <c r="W199" s="13"/>
      <c r="X199" s="9">
        <v>2</v>
      </c>
    </row>
    <row r="200" spans="1:24">
      <c r="A200" s="13"/>
      <c r="B200" s="9" t="s">
        <v>1010</v>
      </c>
      <c r="C200" s="9" t="e">
        <f>VLOOKUP(B200,[1]RXNS!$B:$C,1,)</f>
        <v>#N/A</v>
      </c>
      <c r="D200" s="9" t="e">
        <f t="shared" si="12"/>
        <v>#N/A</v>
      </c>
      <c r="E200" s="9" t="e">
        <v>#N/A</v>
      </c>
      <c r="F200" s="9" t="s">
        <v>1011</v>
      </c>
      <c r="G200" s="9" t="e">
        <f t="shared" si="13"/>
        <v>#N/A</v>
      </c>
      <c r="H200" s="9" t="e">
        <f>VLOOKUP(B200,[1]RXNS!$B:$D,3,FALSE)</f>
        <v>#N/A</v>
      </c>
      <c r="I200" s="9" t="e">
        <f>VLOOKUP(B200,[1]RXNS!$B:$E,4,FALSE)</f>
        <v>#N/A</v>
      </c>
      <c r="J200" s="9" t="s">
        <v>1012</v>
      </c>
      <c r="K200" s="13"/>
      <c r="L200" s="9" t="e">
        <f t="shared" si="14"/>
        <v>#N/A</v>
      </c>
      <c r="M200" s="9" t="e">
        <f t="shared" si="15"/>
        <v>#N/A</v>
      </c>
      <c r="N200" s="13"/>
      <c r="O200" s="9">
        <v>-1000</v>
      </c>
      <c r="P200" s="9">
        <v>1000</v>
      </c>
      <c r="Q200" s="13"/>
      <c r="R200" s="13"/>
      <c r="S200" s="13"/>
      <c r="T200" s="9" t="s">
        <v>61</v>
      </c>
      <c r="U200" s="13"/>
      <c r="V200" s="9" t="s">
        <v>35</v>
      </c>
      <c r="W200" s="13"/>
      <c r="X200" s="9">
        <v>2</v>
      </c>
    </row>
    <row r="201" spans="1:24">
      <c r="A201" s="13"/>
      <c r="B201" s="9" t="s">
        <v>1013</v>
      </c>
      <c r="C201" s="9" t="e">
        <f>VLOOKUP(B201,[1]RXNS!$B:$C,1,)</f>
        <v>#N/A</v>
      </c>
      <c r="D201" s="9" t="e">
        <f t="shared" si="12"/>
        <v>#N/A</v>
      </c>
      <c r="E201" s="9" t="e">
        <v>#N/A</v>
      </c>
      <c r="F201" s="9" t="s">
        <v>1014</v>
      </c>
      <c r="G201" s="9" t="e">
        <f t="shared" si="13"/>
        <v>#N/A</v>
      </c>
      <c r="H201" s="9" t="e">
        <f>VLOOKUP(B201,[1]RXNS!$B:$D,3,FALSE)</f>
        <v>#N/A</v>
      </c>
      <c r="I201" s="9" t="e">
        <f>VLOOKUP(B201,[1]RXNS!$B:$E,4,FALSE)</f>
        <v>#N/A</v>
      </c>
      <c r="J201" s="9" t="s">
        <v>1015</v>
      </c>
      <c r="K201" s="13"/>
      <c r="L201" s="9" t="e">
        <f t="shared" si="14"/>
        <v>#N/A</v>
      </c>
      <c r="M201" s="9" t="e">
        <f t="shared" si="15"/>
        <v>#N/A</v>
      </c>
      <c r="N201" s="13"/>
      <c r="O201" s="9">
        <v>-1000</v>
      </c>
      <c r="P201" s="9">
        <v>1000</v>
      </c>
      <c r="Q201" s="13"/>
      <c r="R201" s="13"/>
      <c r="S201" s="13"/>
      <c r="T201" s="9" t="s">
        <v>61</v>
      </c>
      <c r="U201" s="13"/>
      <c r="V201" s="9" t="s">
        <v>35</v>
      </c>
      <c r="W201" s="13"/>
      <c r="X201" s="9">
        <v>2</v>
      </c>
    </row>
    <row r="202" spans="1:24">
      <c r="A202" s="13"/>
      <c r="B202" s="9" t="s">
        <v>1016</v>
      </c>
      <c r="C202" s="9" t="e">
        <f>VLOOKUP(B202,[1]RXNS!$B:$C,1,)</f>
        <v>#N/A</v>
      </c>
      <c r="D202" s="9" t="e">
        <f t="shared" si="12"/>
        <v>#N/A</v>
      </c>
      <c r="E202" s="9" t="e">
        <v>#N/A</v>
      </c>
      <c r="F202" s="9" t="s">
        <v>1017</v>
      </c>
      <c r="G202" s="9" t="e">
        <f t="shared" si="13"/>
        <v>#N/A</v>
      </c>
      <c r="H202" s="9" t="e">
        <f>VLOOKUP(B202,[1]RXNS!$B:$D,3,FALSE)</f>
        <v>#N/A</v>
      </c>
      <c r="I202" s="9" t="e">
        <f>VLOOKUP(B202,[1]RXNS!$B:$E,4,FALSE)</f>
        <v>#N/A</v>
      </c>
      <c r="J202" s="9" t="s">
        <v>1018</v>
      </c>
      <c r="K202" s="13"/>
      <c r="L202" s="9" t="e">
        <f t="shared" si="14"/>
        <v>#N/A</v>
      </c>
      <c r="M202" s="9" t="e">
        <f t="shared" si="15"/>
        <v>#N/A</v>
      </c>
      <c r="N202" s="13"/>
      <c r="O202" s="9">
        <v>-1000</v>
      </c>
      <c r="P202" s="9">
        <v>1000</v>
      </c>
      <c r="Q202" s="13"/>
      <c r="R202" s="13"/>
      <c r="S202" s="13"/>
      <c r="T202" s="9" t="s">
        <v>61</v>
      </c>
      <c r="U202" s="13"/>
      <c r="V202" s="9" t="s">
        <v>35</v>
      </c>
      <c r="W202" s="13"/>
      <c r="X202" s="9">
        <v>2</v>
      </c>
    </row>
    <row r="203" spans="1:24">
      <c r="A203" s="13"/>
      <c r="B203" s="9" t="s">
        <v>1019</v>
      </c>
      <c r="C203" s="9" t="e">
        <f>VLOOKUP(B203,[1]RXNS!$B:$C,1,)</f>
        <v>#N/A</v>
      </c>
      <c r="D203" s="9" t="e">
        <f t="shared" si="12"/>
        <v>#N/A</v>
      </c>
      <c r="E203" s="9" t="e">
        <v>#N/A</v>
      </c>
      <c r="F203" s="9" t="s">
        <v>1020</v>
      </c>
      <c r="G203" s="9" t="e">
        <f t="shared" si="13"/>
        <v>#N/A</v>
      </c>
      <c r="H203" s="9" t="e">
        <f>VLOOKUP(B203,[1]RXNS!$B:$D,3,FALSE)</f>
        <v>#N/A</v>
      </c>
      <c r="I203" s="9" t="e">
        <f>VLOOKUP(B203,[1]RXNS!$B:$E,4,FALSE)</f>
        <v>#N/A</v>
      </c>
      <c r="J203" s="9" t="s">
        <v>1021</v>
      </c>
      <c r="K203" s="13"/>
      <c r="L203" s="9" t="e">
        <f t="shared" si="14"/>
        <v>#N/A</v>
      </c>
      <c r="M203" s="9" t="e">
        <f t="shared" si="15"/>
        <v>#N/A</v>
      </c>
      <c r="N203" s="13"/>
      <c r="O203" s="9">
        <v>-1000</v>
      </c>
      <c r="P203" s="9">
        <v>1000</v>
      </c>
      <c r="Q203" s="13"/>
      <c r="R203" s="13"/>
      <c r="S203" s="13"/>
      <c r="T203" s="9" t="s">
        <v>61</v>
      </c>
      <c r="U203" s="13"/>
      <c r="V203" s="9" t="s">
        <v>35</v>
      </c>
      <c r="W203" s="13"/>
      <c r="X203" s="9">
        <v>2</v>
      </c>
    </row>
    <row r="204" spans="1:24">
      <c r="A204" s="13"/>
      <c r="B204" s="9" t="s">
        <v>1022</v>
      </c>
      <c r="C204" s="9" t="e">
        <f>VLOOKUP(B204,[1]RXNS!$B:$C,1,)</f>
        <v>#N/A</v>
      </c>
      <c r="D204" s="9" t="e">
        <f t="shared" si="12"/>
        <v>#N/A</v>
      </c>
      <c r="E204" s="9" t="e">
        <v>#N/A</v>
      </c>
      <c r="F204" s="9" t="s">
        <v>1023</v>
      </c>
      <c r="G204" s="9" t="e">
        <f t="shared" si="13"/>
        <v>#N/A</v>
      </c>
      <c r="H204" s="9" t="e">
        <f>VLOOKUP(B204,[1]RXNS!$B:$D,3,FALSE)</f>
        <v>#N/A</v>
      </c>
      <c r="I204" s="9" t="e">
        <f>VLOOKUP(B204,[1]RXNS!$B:$E,4,FALSE)</f>
        <v>#N/A</v>
      </c>
      <c r="J204" s="9" t="s">
        <v>1024</v>
      </c>
      <c r="K204" s="13"/>
      <c r="L204" s="9" t="e">
        <f t="shared" si="14"/>
        <v>#N/A</v>
      </c>
      <c r="M204" s="9" t="e">
        <f t="shared" si="15"/>
        <v>#N/A</v>
      </c>
      <c r="N204" s="13"/>
      <c r="O204" s="9">
        <v>-1000</v>
      </c>
      <c r="P204" s="9">
        <v>1000</v>
      </c>
      <c r="Q204" s="13"/>
      <c r="R204" s="13"/>
      <c r="S204" s="13"/>
      <c r="T204" s="9" t="s">
        <v>61</v>
      </c>
      <c r="U204" s="13"/>
      <c r="V204" s="9" t="s">
        <v>35</v>
      </c>
      <c r="W204" s="13"/>
      <c r="X204" s="9">
        <v>2</v>
      </c>
    </row>
    <row r="205" spans="1:24">
      <c r="A205" s="13"/>
      <c r="B205" s="9" t="s">
        <v>1025</v>
      </c>
      <c r="C205" s="9" t="e">
        <f>VLOOKUP(B205,[1]RXNS!$B:$C,1,)</f>
        <v>#N/A</v>
      </c>
      <c r="D205" s="9" t="e">
        <f t="shared" si="12"/>
        <v>#N/A</v>
      </c>
      <c r="E205" s="9" t="e">
        <v>#N/A</v>
      </c>
      <c r="F205" s="9" t="s">
        <v>1026</v>
      </c>
      <c r="G205" s="9" t="e">
        <f t="shared" si="13"/>
        <v>#N/A</v>
      </c>
      <c r="H205" s="9" t="e">
        <f>VLOOKUP(B205,[1]RXNS!$B:$D,3,FALSE)</f>
        <v>#N/A</v>
      </c>
      <c r="I205" s="9" t="e">
        <f>VLOOKUP(B205,[1]RXNS!$B:$E,4,FALSE)</f>
        <v>#N/A</v>
      </c>
      <c r="J205" s="9" t="s">
        <v>1027</v>
      </c>
      <c r="K205" s="13"/>
      <c r="L205" s="9" t="e">
        <f t="shared" si="14"/>
        <v>#N/A</v>
      </c>
      <c r="M205" s="9" t="e">
        <f t="shared" si="15"/>
        <v>#N/A</v>
      </c>
      <c r="N205" s="13"/>
      <c r="O205" s="9">
        <v>-1000</v>
      </c>
      <c r="P205" s="9">
        <v>1000</v>
      </c>
      <c r="Q205" s="13"/>
      <c r="R205" s="13"/>
      <c r="S205" s="13"/>
      <c r="T205" s="9" t="s">
        <v>61</v>
      </c>
      <c r="U205" s="13"/>
      <c r="V205" s="9" t="s">
        <v>35</v>
      </c>
      <c r="W205" s="13"/>
      <c r="X205" s="9">
        <v>2</v>
      </c>
    </row>
    <row r="206" spans="1:24">
      <c r="A206" s="13"/>
      <c r="B206" s="9" t="s">
        <v>1028</v>
      </c>
      <c r="C206" s="9" t="e">
        <f>VLOOKUP(B206,[1]RXNS!$B:$C,1,)</f>
        <v>#N/A</v>
      </c>
      <c r="D206" s="9" t="e">
        <f t="shared" si="12"/>
        <v>#N/A</v>
      </c>
      <c r="E206" s="9" t="e">
        <v>#N/A</v>
      </c>
      <c r="F206" s="9" t="s">
        <v>1029</v>
      </c>
      <c r="G206" s="9" t="e">
        <f t="shared" si="13"/>
        <v>#N/A</v>
      </c>
      <c r="H206" s="9" t="e">
        <f>VLOOKUP(B206,[1]RXNS!$B:$D,3,FALSE)</f>
        <v>#N/A</v>
      </c>
      <c r="I206" s="9" t="e">
        <f>VLOOKUP(B206,[1]RXNS!$B:$E,4,FALSE)</f>
        <v>#N/A</v>
      </c>
      <c r="J206" s="9" t="s">
        <v>1030</v>
      </c>
      <c r="K206" s="13"/>
      <c r="L206" s="9" t="e">
        <f t="shared" si="14"/>
        <v>#N/A</v>
      </c>
      <c r="M206" s="9" t="e">
        <f t="shared" si="15"/>
        <v>#N/A</v>
      </c>
      <c r="N206" s="13"/>
      <c r="O206" s="9">
        <v>-1000</v>
      </c>
      <c r="P206" s="9">
        <v>1000</v>
      </c>
      <c r="Q206" s="13"/>
      <c r="R206" s="13"/>
      <c r="S206" s="13"/>
      <c r="T206" s="9" t="s">
        <v>61</v>
      </c>
      <c r="U206" s="13"/>
      <c r="V206" s="9" t="s">
        <v>35</v>
      </c>
      <c r="W206" s="13"/>
      <c r="X206" s="9">
        <v>2</v>
      </c>
    </row>
    <row r="207" spans="1:24">
      <c r="A207" s="13"/>
      <c r="B207" s="9" t="s">
        <v>1031</v>
      </c>
      <c r="C207" s="9" t="e">
        <f>VLOOKUP(B207,[1]RXNS!$B:$C,1,)</f>
        <v>#N/A</v>
      </c>
      <c r="D207" s="9" t="e">
        <f t="shared" si="12"/>
        <v>#N/A</v>
      </c>
      <c r="E207" s="9" t="e">
        <v>#N/A</v>
      </c>
      <c r="F207" s="9" t="s">
        <v>1032</v>
      </c>
      <c r="G207" s="9" t="e">
        <f t="shared" si="13"/>
        <v>#N/A</v>
      </c>
      <c r="H207" s="9" t="e">
        <f>VLOOKUP(B207,[1]RXNS!$B:$D,3,FALSE)</f>
        <v>#N/A</v>
      </c>
      <c r="I207" s="9" t="e">
        <f>VLOOKUP(B207,[1]RXNS!$B:$E,4,FALSE)</f>
        <v>#N/A</v>
      </c>
      <c r="J207" s="9" t="s">
        <v>1033</v>
      </c>
      <c r="K207" s="13"/>
      <c r="L207" s="9" t="e">
        <f t="shared" si="14"/>
        <v>#N/A</v>
      </c>
      <c r="M207" s="9" t="e">
        <f t="shared" si="15"/>
        <v>#N/A</v>
      </c>
      <c r="N207" s="13"/>
      <c r="O207" s="9">
        <v>-1000</v>
      </c>
      <c r="P207" s="9">
        <v>1000</v>
      </c>
      <c r="Q207" s="13"/>
      <c r="R207" s="13"/>
      <c r="S207" s="13"/>
      <c r="T207" s="9" t="s">
        <v>61</v>
      </c>
      <c r="U207" s="13"/>
      <c r="V207" s="9" t="s">
        <v>35</v>
      </c>
      <c r="W207" s="13"/>
      <c r="X207" s="9">
        <v>2</v>
      </c>
    </row>
    <row r="208" spans="1:24">
      <c r="A208" s="13"/>
      <c r="B208" s="9" t="s">
        <v>1034</v>
      </c>
      <c r="C208" s="9" t="e">
        <f>VLOOKUP(B208,[1]RXNS!$B:$C,1,)</f>
        <v>#N/A</v>
      </c>
      <c r="D208" s="9" t="e">
        <f t="shared" si="12"/>
        <v>#N/A</v>
      </c>
      <c r="E208" s="9" t="e">
        <v>#N/A</v>
      </c>
      <c r="F208" s="9" t="s">
        <v>1035</v>
      </c>
      <c r="G208" s="9" t="e">
        <f t="shared" si="13"/>
        <v>#N/A</v>
      </c>
      <c r="H208" s="9" t="e">
        <f>VLOOKUP(B208,[1]RXNS!$B:$D,3,FALSE)</f>
        <v>#N/A</v>
      </c>
      <c r="I208" s="9" t="e">
        <f>VLOOKUP(B208,[1]RXNS!$B:$E,4,FALSE)</f>
        <v>#N/A</v>
      </c>
      <c r="J208" s="9" t="s">
        <v>1036</v>
      </c>
      <c r="K208" s="13"/>
      <c r="L208" s="9" t="e">
        <f t="shared" si="14"/>
        <v>#N/A</v>
      </c>
      <c r="M208" s="9" t="e">
        <f t="shared" si="15"/>
        <v>#N/A</v>
      </c>
      <c r="N208" s="13"/>
      <c r="O208" s="9">
        <v>-1000</v>
      </c>
      <c r="P208" s="9">
        <v>1000</v>
      </c>
      <c r="Q208" s="13"/>
      <c r="R208" s="13"/>
      <c r="S208" s="13"/>
      <c r="T208" s="9" t="s">
        <v>61</v>
      </c>
      <c r="U208" s="13"/>
      <c r="V208" s="9" t="s">
        <v>35</v>
      </c>
      <c r="W208" s="13"/>
      <c r="X208" s="9">
        <v>2</v>
      </c>
    </row>
    <row r="209" spans="1:24">
      <c r="A209" s="13"/>
      <c r="B209" s="9" t="s">
        <v>1037</v>
      </c>
      <c r="C209" s="9" t="e">
        <f>VLOOKUP(B209,[1]RXNS!$B:$C,1,)</f>
        <v>#N/A</v>
      </c>
      <c r="D209" s="9" t="e">
        <f t="shared" si="12"/>
        <v>#N/A</v>
      </c>
      <c r="E209" s="9" t="e">
        <v>#N/A</v>
      </c>
      <c r="F209" s="9" t="s">
        <v>1038</v>
      </c>
      <c r="G209" s="9" t="e">
        <f t="shared" si="13"/>
        <v>#N/A</v>
      </c>
      <c r="H209" s="9" t="e">
        <f>VLOOKUP(B209,[1]RXNS!$B:$D,3,FALSE)</f>
        <v>#N/A</v>
      </c>
      <c r="I209" s="9" t="e">
        <f>VLOOKUP(B209,[1]RXNS!$B:$E,4,FALSE)</f>
        <v>#N/A</v>
      </c>
      <c r="J209" s="9" t="s">
        <v>1039</v>
      </c>
      <c r="K209" s="13"/>
      <c r="L209" s="9" t="e">
        <f t="shared" si="14"/>
        <v>#N/A</v>
      </c>
      <c r="M209" s="9" t="e">
        <f t="shared" si="15"/>
        <v>#N/A</v>
      </c>
      <c r="N209" s="13"/>
      <c r="O209" s="9">
        <v>-1000</v>
      </c>
      <c r="P209" s="9">
        <v>1000</v>
      </c>
      <c r="Q209" s="13"/>
      <c r="R209" s="13"/>
      <c r="S209" s="13"/>
      <c r="T209" s="9" t="s">
        <v>61</v>
      </c>
      <c r="U209" s="13"/>
      <c r="V209" s="9" t="s">
        <v>35</v>
      </c>
      <c r="W209" s="13"/>
      <c r="X209" s="9">
        <v>2</v>
      </c>
    </row>
    <row r="210" spans="1:24">
      <c r="A210" s="13"/>
      <c r="B210" s="9" t="s">
        <v>1040</v>
      </c>
      <c r="C210" s="9" t="e">
        <f>VLOOKUP(B210,[1]RXNS!$B:$C,1,)</f>
        <v>#N/A</v>
      </c>
      <c r="D210" s="9" t="e">
        <f t="shared" si="12"/>
        <v>#N/A</v>
      </c>
      <c r="E210" s="9" t="e">
        <v>#N/A</v>
      </c>
      <c r="F210" s="9" t="s">
        <v>1041</v>
      </c>
      <c r="G210" s="9" t="e">
        <f t="shared" si="13"/>
        <v>#N/A</v>
      </c>
      <c r="H210" s="9" t="e">
        <f>VLOOKUP(B210,[1]RXNS!$B:$D,3,FALSE)</f>
        <v>#N/A</v>
      </c>
      <c r="I210" s="9" t="e">
        <f>VLOOKUP(B210,[1]RXNS!$B:$E,4,FALSE)</f>
        <v>#N/A</v>
      </c>
      <c r="J210" s="9" t="s">
        <v>1042</v>
      </c>
      <c r="K210" s="13"/>
      <c r="L210" s="9" t="e">
        <f t="shared" si="14"/>
        <v>#N/A</v>
      </c>
      <c r="M210" s="9" t="e">
        <f t="shared" si="15"/>
        <v>#N/A</v>
      </c>
      <c r="N210" s="13"/>
      <c r="O210" s="9">
        <v>-1000</v>
      </c>
      <c r="P210" s="9">
        <v>1000</v>
      </c>
      <c r="Q210" s="13"/>
      <c r="R210" s="13"/>
      <c r="S210" s="13"/>
      <c r="T210" s="9" t="s">
        <v>61</v>
      </c>
      <c r="U210" s="13"/>
      <c r="V210" s="9" t="s">
        <v>35</v>
      </c>
      <c r="W210" s="13"/>
      <c r="X210" s="9">
        <v>2</v>
      </c>
    </row>
    <row r="211" spans="1:24">
      <c r="A211" s="13"/>
      <c r="B211" s="9" t="s">
        <v>1043</v>
      </c>
      <c r="C211" s="9" t="e">
        <f>VLOOKUP(B211,[1]RXNS!$B:$C,1,)</f>
        <v>#N/A</v>
      </c>
      <c r="D211" s="9" t="e">
        <f t="shared" si="12"/>
        <v>#N/A</v>
      </c>
      <c r="E211" s="9" t="e">
        <v>#N/A</v>
      </c>
      <c r="F211" s="9" t="s">
        <v>1044</v>
      </c>
      <c r="G211" s="9" t="e">
        <f t="shared" si="13"/>
        <v>#N/A</v>
      </c>
      <c r="H211" s="9" t="e">
        <f>VLOOKUP(B211,[1]RXNS!$B:$D,3,FALSE)</f>
        <v>#N/A</v>
      </c>
      <c r="I211" s="9" t="e">
        <f>VLOOKUP(B211,[1]RXNS!$B:$E,4,FALSE)</f>
        <v>#N/A</v>
      </c>
      <c r="J211" s="9" t="s">
        <v>1045</v>
      </c>
      <c r="K211" s="13"/>
      <c r="L211" s="9" t="e">
        <f t="shared" si="14"/>
        <v>#N/A</v>
      </c>
      <c r="M211" s="9" t="e">
        <f t="shared" si="15"/>
        <v>#N/A</v>
      </c>
      <c r="N211" s="13"/>
      <c r="O211" s="9">
        <v>-1000</v>
      </c>
      <c r="P211" s="9">
        <v>1000</v>
      </c>
      <c r="Q211" s="13"/>
      <c r="R211" s="13"/>
      <c r="S211" s="13"/>
      <c r="T211" s="9" t="s">
        <v>61</v>
      </c>
      <c r="U211" s="13"/>
      <c r="V211" s="9" t="s">
        <v>35</v>
      </c>
      <c r="W211" s="13"/>
      <c r="X211" s="9">
        <v>2</v>
      </c>
    </row>
    <row r="212" spans="1:24">
      <c r="A212" s="13"/>
      <c r="B212" s="9" t="s">
        <v>1046</v>
      </c>
      <c r="C212" s="9" t="e">
        <f>VLOOKUP(B212,[1]RXNS!$B:$C,1,)</f>
        <v>#N/A</v>
      </c>
      <c r="D212" s="9" t="e">
        <f t="shared" si="12"/>
        <v>#N/A</v>
      </c>
      <c r="E212" s="9" t="e">
        <v>#N/A</v>
      </c>
      <c r="F212" s="9" t="s">
        <v>1047</v>
      </c>
      <c r="G212" s="9" t="e">
        <f t="shared" si="13"/>
        <v>#N/A</v>
      </c>
      <c r="H212" s="9" t="e">
        <f>VLOOKUP(B212,[1]RXNS!$B:$D,3,FALSE)</f>
        <v>#N/A</v>
      </c>
      <c r="I212" s="9" t="e">
        <f>VLOOKUP(B212,[1]RXNS!$B:$E,4,FALSE)</f>
        <v>#N/A</v>
      </c>
      <c r="J212" s="9" t="s">
        <v>1048</v>
      </c>
      <c r="K212" s="13"/>
      <c r="L212" s="9" t="e">
        <f t="shared" si="14"/>
        <v>#N/A</v>
      </c>
      <c r="M212" s="9" t="e">
        <f t="shared" si="15"/>
        <v>#N/A</v>
      </c>
      <c r="N212" s="13"/>
      <c r="O212" s="9">
        <v>-1000</v>
      </c>
      <c r="P212" s="9">
        <v>1000</v>
      </c>
      <c r="Q212" s="13"/>
      <c r="R212" s="13"/>
      <c r="S212" s="13"/>
      <c r="T212" s="9" t="s">
        <v>61</v>
      </c>
      <c r="U212" s="13"/>
      <c r="V212" s="9" t="s">
        <v>35</v>
      </c>
      <c r="W212" s="13"/>
      <c r="X212" s="9">
        <v>2</v>
      </c>
    </row>
    <row r="213" spans="1:24">
      <c r="A213" s="13"/>
      <c r="B213" s="9" t="s">
        <v>1049</v>
      </c>
      <c r="C213" s="9" t="e">
        <f>VLOOKUP(B213,[1]RXNS!$B:$C,1,)</f>
        <v>#N/A</v>
      </c>
      <c r="D213" s="9" t="e">
        <f t="shared" si="12"/>
        <v>#N/A</v>
      </c>
      <c r="E213" s="9" t="e">
        <v>#N/A</v>
      </c>
      <c r="F213" s="9" t="s">
        <v>1050</v>
      </c>
      <c r="G213" s="9" t="e">
        <f t="shared" si="13"/>
        <v>#N/A</v>
      </c>
      <c r="H213" s="9" t="e">
        <f>VLOOKUP(B213,[1]RXNS!$B:$D,3,FALSE)</f>
        <v>#N/A</v>
      </c>
      <c r="I213" s="9" t="e">
        <f>VLOOKUP(B213,[1]RXNS!$B:$E,4,FALSE)</f>
        <v>#N/A</v>
      </c>
      <c r="J213" s="9" t="s">
        <v>1051</v>
      </c>
      <c r="K213" s="13"/>
      <c r="L213" s="9" t="e">
        <f t="shared" si="14"/>
        <v>#N/A</v>
      </c>
      <c r="M213" s="9" t="e">
        <f t="shared" si="15"/>
        <v>#N/A</v>
      </c>
      <c r="N213" s="13"/>
      <c r="O213" s="9">
        <v>-1000</v>
      </c>
      <c r="P213" s="9">
        <v>1000</v>
      </c>
      <c r="Q213" s="13"/>
      <c r="R213" s="13"/>
      <c r="S213" s="13"/>
      <c r="T213" s="9" t="s">
        <v>61</v>
      </c>
      <c r="U213" s="13"/>
      <c r="V213" s="9" t="s">
        <v>35</v>
      </c>
      <c r="W213" s="13"/>
      <c r="X213" s="9">
        <v>2</v>
      </c>
    </row>
    <row r="214" spans="1:24">
      <c r="A214" s="13"/>
      <c r="B214" s="9" t="s">
        <v>1052</v>
      </c>
      <c r="C214" s="9" t="e">
        <f>VLOOKUP(B214,[1]RXNS!$B:$C,1,)</f>
        <v>#N/A</v>
      </c>
      <c r="D214" s="9" t="e">
        <f t="shared" si="12"/>
        <v>#N/A</v>
      </c>
      <c r="E214" s="9" t="e">
        <v>#N/A</v>
      </c>
      <c r="F214" s="9" t="s">
        <v>1053</v>
      </c>
      <c r="G214" s="9" t="e">
        <f t="shared" si="13"/>
        <v>#N/A</v>
      </c>
      <c r="H214" s="9" t="e">
        <f>VLOOKUP(B214,[1]RXNS!$B:$D,3,FALSE)</f>
        <v>#N/A</v>
      </c>
      <c r="I214" s="9" t="e">
        <f>VLOOKUP(B214,[1]RXNS!$B:$E,4,FALSE)</f>
        <v>#N/A</v>
      </c>
      <c r="J214" s="9" t="s">
        <v>1054</v>
      </c>
      <c r="K214" s="13"/>
      <c r="L214" s="9" t="e">
        <f t="shared" si="14"/>
        <v>#N/A</v>
      </c>
      <c r="M214" s="9" t="e">
        <f t="shared" si="15"/>
        <v>#N/A</v>
      </c>
      <c r="N214" s="13"/>
      <c r="O214" s="9">
        <v>-1000</v>
      </c>
      <c r="P214" s="9">
        <v>1000</v>
      </c>
      <c r="Q214" s="13"/>
      <c r="R214" s="13"/>
      <c r="S214" s="13"/>
      <c r="T214" s="9" t="s">
        <v>61</v>
      </c>
      <c r="U214" s="13"/>
      <c r="V214" s="9" t="s">
        <v>35</v>
      </c>
      <c r="W214" s="13"/>
      <c r="X214" s="9">
        <v>2</v>
      </c>
    </row>
    <row r="215" spans="1:24">
      <c r="A215" s="13"/>
      <c r="B215" s="9" t="s">
        <v>1055</v>
      </c>
      <c r="C215" s="9" t="e">
        <f>VLOOKUP(B215,[1]RXNS!$B:$C,1,)</f>
        <v>#N/A</v>
      </c>
      <c r="D215" s="9" t="e">
        <f t="shared" si="12"/>
        <v>#N/A</v>
      </c>
      <c r="E215" s="9" t="e">
        <v>#N/A</v>
      </c>
      <c r="F215" s="9" t="s">
        <v>1056</v>
      </c>
      <c r="G215" s="9" t="e">
        <f t="shared" si="13"/>
        <v>#N/A</v>
      </c>
      <c r="H215" s="9" t="e">
        <f>VLOOKUP(B215,[1]RXNS!$B:$D,3,FALSE)</f>
        <v>#N/A</v>
      </c>
      <c r="I215" s="9" t="e">
        <f>VLOOKUP(B215,[1]RXNS!$B:$E,4,FALSE)</f>
        <v>#N/A</v>
      </c>
      <c r="J215" s="9" t="s">
        <v>1057</v>
      </c>
      <c r="K215" s="13"/>
      <c r="L215" s="9" t="e">
        <f t="shared" si="14"/>
        <v>#N/A</v>
      </c>
      <c r="M215" s="9" t="e">
        <f t="shared" si="15"/>
        <v>#N/A</v>
      </c>
      <c r="N215" s="13"/>
      <c r="O215" s="9">
        <v>-1000</v>
      </c>
      <c r="P215" s="9">
        <v>1000</v>
      </c>
      <c r="Q215" s="13"/>
      <c r="R215" s="13"/>
      <c r="S215" s="13"/>
      <c r="T215" s="9" t="s">
        <v>61</v>
      </c>
      <c r="U215" s="13"/>
      <c r="V215" s="9" t="s">
        <v>35</v>
      </c>
      <c r="W215" s="13"/>
      <c r="X215" s="9">
        <v>2</v>
      </c>
    </row>
    <row r="216" spans="1:24">
      <c r="A216" s="13"/>
      <c r="B216" s="9" t="s">
        <v>1058</v>
      </c>
      <c r="C216" s="9" t="e">
        <f>VLOOKUP(B216,[1]RXNS!$B:$C,1,)</f>
        <v>#N/A</v>
      </c>
      <c r="D216" s="9" t="e">
        <f t="shared" si="12"/>
        <v>#N/A</v>
      </c>
      <c r="E216" s="9" t="e">
        <v>#N/A</v>
      </c>
      <c r="F216" s="9" t="s">
        <v>1059</v>
      </c>
      <c r="G216" s="9" t="e">
        <f t="shared" si="13"/>
        <v>#N/A</v>
      </c>
      <c r="H216" s="9" t="e">
        <f>VLOOKUP(B216,[1]RXNS!$B:$D,3,FALSE)</f>
        <v>#N/A</v>
      </c>
      <c r="I216" s="9" t="e">
        <f>VLOOKUP(B216,[1]RXNS!$B:$E,4,FALSE)</f>
        <v>#N/A</v>
      </c>
      <c r="J216" s="9" t="s">
        <v>1060</v>
      </c>
      <c r="K216" s="13"/>
      <c r="L216" s="9" t="e">
        <f t="shared" si="14"/>
        <v>#N/A</v>
      </c>
      <c r="M216" s="9" t="e">
        <f t="shared" si="15"/>
        <v>#N/A</v>
      </c>
      <c r="N216" s="13"/>
      <c r="O216" s="9">
        <v>-1000</v>
      </c>
      <c r="P216" s="9">
        <v>1000</v>
      </c>
      <c r="Q216" s="13"/>
      <c r="R216" s="13"/>
      <c r="S216" s="13"/>
      <c r="T216" s="9" t="s">
        <v>61</v>
      </c>
      <c r="U216" s="13"/>
      <c r="V216" s="9" t="s">
        <v>35</v>
      </c>
      <c r="W216" s="13"/>
      <c r="X216" s="9">
        <v>2</v>
      </c>
    </row>
    <row r="217" spans="1:24">
      <c r="A217" s="13"/>
      <c r="B217" s="9" t="s">
        <v>1061</v>
      </c>
      <c r="C217" s="9" t="e">
        <f>VLOOKUP(B217,[1]RXNS!$B:$C,1,)</f>
        <v>#N/A</v>
      </c>
      <c r="D217" s="9" t="e">
        <f t="shared" si="12"/>
        <v>#N/A</v>
      </c>
      <c r="E217" s="9" t="e">
        <v>#N/A</v>
      </c>
      <c r="F217" s="9" t="s">
        <v>1062</v>
      </c>
      <c r="G217" s="9" t="e">
        <f t="shared" si="13"/>
        <v>#N/A</v>
      </c>
      <c r="H217" s="9" t="e">
        <f>VLOOKUP(B217,[1]RXNS!$B:$D,3,FALSE)</f>
        <v>#N/A</v>
      </c>
      <c r="I217" s="9" t="e">
        <f>VLOOKUP(B217,[1]RXNS!$B:$E,4,FALSE)</f>
        <v>#N/A</v>
      </c>
      <c r="J217" s="9" t="s">
        <v>1063</v>
      </c>
      <c r="K217" s="13"/>
      <c r="L217" s="9" t="e">
        <f t="shared" si="14"/>
        <v>#N/A</v>
      </c>
      <c r="M217" s="9" t="e">
        <f t="shared" si="15"/>
        <v>#N/A</v>
      </c>
      <c r="N217" s="13"/>
      <c r="O217" s="9">
        <v>-1000</v>
      </c>
      <c r="P217" s="9">
        <v>1000</v>
      </c>
      <c r="Q217" s="13"/>
      <c r="R217" s="13"/>
      <c r="S217" s="13"/>
      <c r="T217" s="9" t="s">
        <v>61</v>
      </c>
      <c r="U217" s="13"/>
      <c r="V217" s="9" t="s">
        <v>35</v>
      </c>
      <c r="W217" s="13"/>
      <c r="X217" s="9">
        <v>2</v>
      </c>
    </row>
    <row r="218" spans="1:24">
      <c r="A218" s="13"/>
      <c r="B218" s="9" t="s">
        <v>1064</v>
      </c>
      <c r="C218" s="9" t="e">
        <f>VLOOKUP(B218,[1]RXNS!$B:$C,1,)</f>
        <v>#N/A</v>
      </c>
      <c r="D218" s="9" t="e">
        <f t="shared" si="12"/>
        <v>#N/A</v>
      </c>
      <c r="E218" s="9" t="e">
        <v>#N/A</v>
      </c>
      <c r="F218" s="9" t="s">
        <v>1065</v>
      </c>
      <c r="G218" s="9" t="e">
        <f t="shared" si="13"/>
        <v>#N/A</v>
      </c>
      <c r="H218" s="9" t="e">
        <f>VLOOKUP(B218,[1]RXNS!$B:$D,3,FALSE)</f>
        <v>#N/A</v>
      </c>
      <c r="I218" s="9" t="e">
        <f>VLOOKUP(B218,[1]RXNS!$B:$E,4,FALSE)</f>
        <v>#N/A</v>
      </c>
      <c r="J218" s="9" t="s">
        <v>1066</v>
      </c>
      <c r="K218" s="13"/>
      <c r="L218" s="9" t="e">
        <f t="shared" si="14"/>
        <v>#N/A</v>
      </c>
      <c r="M218" s="9" t="e">
        <f t="shared" si="15"/>
        <v>#N/A</v>
      </c>
      <c r="N218" s="13"/>
      <c r="O218" s="9">
        <v>-1000</v>
      </c>
      <c r="P218" s="9">
        <v>1000</v>
      </c>
      <c r="Q218" s="13"/>
      <c r="R218" s="13"/>
      <c r="S218" s="13"/>
      <c r="T218" s="9" t="s">
        <v>61</v>
      </c>
      <c r="U218" s="13"/>
      <c r="V218" s="9" t="s">
        <v>35</v>
      </c>
      <c r="W218" s="13"/>
      <c r="X218" s="9">
        <v>2</v>
      </c>
    </row>
    <row r="219" spans="1:24">
      <c r="A219" s="13"/>
      <c r="B219" s="9" t="s">
        <v>1067</v>
      </c>
      <c r="C219" s="9" t="e">
        <f>VLOOKUP(B219,[1]RXNS!$B:$C,1,)</f>
        <v>#N/A</v>
      </c>
      <c r="D219" s="9" t="e">
        <f t="shared" si="12"/>
        <v>#N/A</v>
      </c>
      <c r="E219" s="9" t="e">
        <v>#N/A</v>
      </c>
      <c r="F219" s="9" t="s">
        <v>1068</v>
      </c>
      <c r="G219" s="9" t="e">
        <f t="shared" si="13"/>
        <v>#N/A</v>
      </c>
      <c r="H219" s="9" t="e">
        <f>VLOOKUP(B219,[1]RXNS!$B:$D,3,FALSE)</f>
        <v>#N/A</v>
      </c>
      <c r="I219" s="9" t="e">
        <f>VLOOKUP(B219,[1]RXNS!$B:$E,4,FALSE)</f>
        <v>#N/A</v>
      </c>
      <c r="J219" s="9" t="s">
        <v>1069</v>
      </c>
      <c r="K219" s="13"/>
      <c r="L219" s="9" t="e">
        <f t="shared" si="14"/>
        <v>#N/A</v>
      </c>
      <c r="M219" s="9" t="e">
        <f t="shared" si="15"/>
        <v>#N/A</v>
      </c>
      <c r="N219" s="13"/>
      <c r="O219" s="9">
        <v>-1000</v>
      </c>
      <c r="P219" s="9">
        <v>1000</v>
      </c>
      <c r="Q219" s="13"/>
      <c r="R219" s="13"/>
      <c r="S219" s="13"/>
      <c r="T219" s="9" t="s">
        <v>61</v>
      </c>
      <c r="U219" s="13"/>
      <c r="V219" s="9" t="s">
        <v>35</v>
      </c>
      <c r="W219" s="13"/>
      <c r="X219" s="9">
        <v>2</v>
      </c>
    </row>
    <row r="220" spans="1:24">
      <c r="A220" s="13"/>
      <c r="B220" s="9" t="s">
        <v>1070</v>
      </c>
      <c r="C220" s="9" t="e">
        <f>VLOOKUP(B220,[1]RXNS!$B:$C,1,)</f>
        <v>#N/A</v>
      </c>
      <c r="D220" s="9" t="e">
        <f t="shared" si="12"/>
        <v>#N/A</v>
      </c>
      <c r="E220" s="9" t="e">
        <v>#N/A</v>
      </c>
      <c r="F220" s="9" t="s">
        <v>1071</v>
      </c>
      <c r="G220" s="9" t="e">
        <f t="shared" si="13"/>
        <v>#N/A</v>
      </c>
      <c r="H220" s="9" t="e">
        <f>VLOOKUP(B220,[1]RXNS!$B:$D,3,FALSE)</f>
        <v>#N/A</v>
      </c>
      <c r="I220" s="9" t="e">
        <f>VLOOKUP(B220,[1]RXNS!$B:$E,4,FALSE)</f>
        <v>#N/A</v>
      </c>
      <c r="J220" s="9" t="s">
        <v>1072</v>
      </c>
      <c r="K220" s="13"/>
      <c r="L220" s="9" t="e">
        <f t="shared" si="14"/>
        <v>#N/A</v>
      </c>
      <c r="M220" s="9" t="e">
        <f t="shared" si="15"/>
        <v>#N/A</v>
      </c>
      <c r="N220" s="13"/>
      <c r="O220" s="9">
        <v>-1000</v>
      </c>
      <c r="P220" s="9">
        <v>1000</v>
      </c>
      <c r="Q220" s="13"/>
      <c r="R220" s="13"/>
      <c r="S220" s="13"/>
      <c r="T220" s="9" t="s">
        <v>61</v>
      </c>
      <c r="U220" s="13"/>
      <c r="V220" s="9" t="s">
        <v>35</v>
      </c>
      <c r="W220" s="13"/>
      <c r="X220" s="9">
        <v>2</v>
      </c>
    </row>
    <row r="221" spans="1:24">
      <c r="A221" s="13"/>
      <c r="B221" s="9" t="s">
        <v>1073</v>
      </c>
      <c r="C221" s="9" t="e">
        <f>VLOOKUP(B221,[1]RXNS!$B:$C,1,)</f>
        <v>#N/A</v>
      </c>
      <c r="D221" s="9" t="e">
        <f t="shared" si="12"/>
        <v>#N/A</v>
      </c>
      <c r="E221" s="9" t="e">
        <v>#N/A</v>
      </c>
      <c r="F221" s="9" t="s">
        <v>1074</v>
      </c>
      <c r="G221" s="9" t="e">
        <f t="shared" si="13"/>
        <v>#N/A</v>
      </c>
      <c r="H221" s="9" t="e">
        <f>VLOOKUP(B221,[1]RXNS!$B:$D,3,FALSE)</f>
        <v>#N/A</v>
      </c>
      <c r="I221" s="9" t="e">
        <f>VLOOKUP(B221,[1]RXNS!$B:$E,4,FALSE)</f>
        <v>#N/A</v>
      </c>
      <c r="J221" s="9" t="s">
        <v>1075</v>
      </c>
      <c r="K221" s="13"/>
      <c r="L221" s="9" t="e">
        <f t="shared" si="14"/>
        <v>#N/A</v>
      </c>
      <c r="M221" s="9" t="e">
        <f t="shared" si="15"/>
        <v>#N/A</v>
      </c>
      <c r="N221" s="13"/>
      <c r="O221" s="9">
        <v>-1000</v>
      </c>
      <c r="P221" s="9">
        <v>1000</v>
      </c>
      <c r="Q221" s="13"/>
      <c r="R221" s="13"/>
      <c r="S221" s="13"/>
      <c r="T221" s="9" t="s">
        <v>61</v>
      </c>
      <c r="U221" s="13"/>
      <c r="V221" s="9" t="s">
        <v>35</v>
      </c>
      <c r="W221" s="13"/>
      <c r="X221" s="9">
        <v>2</v>
      </c>
    </row>
    <row r="222" spans="1:24">
      <c r="A222" s="13"/>
      <c r="B222" s="9" t="s">
        <v>1076</v>
      </c>
      <c r="C222" s="9" t="e">
        <f>VLOOKUP(B222,[1]RXNS!$B:$C,1,)</f>
        <v>#N/A</v>
      </c>
      <c r="D222" s="9" t="e">
        <f t="shared" si="12"/>
        <v>#N/A</v>
      </c>
      <c r="E222" s="9" t="e">
        <v>#N/A</v>
      </c>
      <c r="F222" s="9" t="s">
        <v>1077</v>
      </c>
      <c r="G222" s="9" t="e">
        <f t="shared" si="13"/>
        <v>#N/A</v>
      </c>
      <c r="H222" s="9" t="e">
        <f>VLOOKUP(B222,[1]RXNS!$B:$D,3,FALSE)</f>
        <v>#N/A</v>
      </c>
      <c r="I222" s="9" t="e">
        <f>VLOOKUP(B222,[1]RXNS!$B:$E,4,FALSE)</f>
        <v>#N/A</v>
      </c>
      <c r="J222" s="9" t="s">
        <v>1078</v>
      </c>
      <c r="K222" s="13"/>
      <c r="L222" s="9" t="e">
        <f t="shared" si="14"/>
        <v>#N/A</v>
      </c>
      <c r="M222" s="9" t="e">
        <f t="shared" si="15"/>
        <v>#N/A</v>
      </c>
      <c r="N222" s="13"/>
      <c r="O222" s="9">
        <v>-1000</v>
      </c>
      <c r="P222" s="9">
        <v>1000</v>
      </c>
      <c r="Q222" s="13"/>
      <c r="R222" s="13"/>
      <c r="S222" s="13"/>
      <c r="T222" s="9" t="s">
        <v>61</v>
      </c>
      <c r="U222" s="13"/>
      <c r="V222" s="9" t="s">
        <v>35</v>
      </c>
      <c r="W222" s="13"/>
      <c r="X222" s="9">
        <v>2</v>
      </c>
    </row>
    <row r="223" spans="1:24">
      <c r="A223" s="13"/>
      <c r="B223" s="9" t="s">
        <v>1079</v>
      </c>
      <c r="C223" s="9" t="e">
        <f>VLOOKUP(B223,[1]RXNS!$B:$C,1,)</f>
        <v>#N/A</v>
      </c>
      <c r="D223" s="9" t="e">
        <f t="shared" si="12"/>
        <v>#N/A</v>
      </c>
      <c r="E223" s="9" t="e">
        <v>#N/A</v>
      </c>
      <c r="F223" s="9" t="s">
        <v>1080</v>
      </c>
      <c r="G223" s="9" t="e">
        <f t="shared" si="13"/>
        <v>#N/A</v>
      </c>
      <c r="H223" s="9" t="e">
        <f>VLOOKUP(B223,[1]RXNS!$B:$D,3,FALSE)</f>
        <v>#N/A</v>
      </c>
      <c r="I223" s="9" t="e">
        <f>VLOOKUP(B223,[1]RXNS!$B:$E,4,FALSE)</f>
        <v>#N/A</v>
      </c>
      <c r="J223" s="9" t="s">
        <v>1081</v>
      </c>
      <c r="K223" s="13"/>
      <c r="L223" s="9" t="e">
        <f t="shared" si="14"/>
        <v>#N/A</v>
      </c>
      <c r="M223" s="9" t="e">
        <f t="shared" si="15"/>
        <v>#N/A</v>
      </c>
      <c r="N223" s="13"/>
      <c r="O223" s="9">
        <v>-1000</v>
      </c>
      <c r="P223" s="9">
        <v>1000</v>
      </c>
      <c r="Q223" s="13"/>
      <c r="R223" s="13"/>
      <c r="S223" s="13"/>
      <c r="T223" s="9" t="s">
        <v>61</v>
      </c>
      <c r="U223" s="13"/>
      <c r="V223" s="9" t="s">
        <v>35</v>
      </c>
      <c r="W223" s="13"/>
      <c r="X223" s="9">
        <v>2</v>
      </c>
    </row>
    <row r="224" spans="1:24">
      <c r="A224" s="13"/>
      <c r="B224" s="9" t="s">
        <v>1082</v>
      </c>
      <c r="C224" s="9" t="e">
        <f>VLOOKUP(B224,[1]RXNS!$B:$C,1,)</f>
        <v>#N/A</v>
      </c>
      <c r="D224" s="9" t="e">
        <f t="shared" si="12"/>
        <v>#N/A</v>
      </c>
      <c r="E224" s="9" t="e">
        <v>#N/A</v>
      </c>
      <c r="F224" s="9" t="s">
        <v>1083</v>
      </c>
      <c r="G224" s="9" t="e">
        <f t="shared" si="13"/>
        <v>#N/A</v>
      </c>
      <c r="H224" s="9" t="e">
        <f>VLOOKUP(B224,[1]RXNS!$B:$D,3,FALSE)</f>
        <v>#N/A</v>
      </c>
      <c r="I224" s="9" t="e">
        <f>VLOOKUP(B224,[1]RXNS!$B:$E,4,FALSE)</f>
        <v>#N/A</v>
      </c>
      <c r="J224" s="9" t="s">
        <v>1084</v>
      </c>
      <c r="K224" s="13"/>
      <c r="L224" s="9" t="e">
        <f t="shared" si="14"/>
        <v>#N/A</v>
      </c>
      <c r="M224" s="9" t="e">
        <f t="shared" si="15"/>
        <v>#N/A</v>
      </c>
      <c r="N224" s="13"/>
      <c r="O224" s="9">
        <v>-1000</v>
      </c>
      <c r="P224" s="9">
        <v>1000</v>
      </c>
      <c r="Q224" s="13"/>
      <c r="R224" s="13"/>
      <c r="S224" s="13"/>
      <c r="T224" s="9" t="s">
        <v>61</v>
      </c>
      <c r="U224" s="13"/>
      <c r="V224" s="9" t="s">
        <v>35</v>
      </c>
      <c r="W224" s="13"/>
      <c r="X224" s="9">
        <v>2</v>
      </c>
    </row>
    <row r="225" spans="1:24">
      <c r="A225" s="13"/>
      <c r="B225" s="9" t="s">
        <v>1085</v>
      </c>
      <c r="C225" s="9" t="e">
        <f>VLOOKUP(B225,[1]RXNS!$B:$C,1,)</f>
        <v>#N/A</v>
      </c>
      <c r="D225" s="9" t="e">
        <f t="shared" si="12"/>
        <v>#N/A</v>
      </c>
      <c r="E225" s="9" t="e">
        <v>#N/A</v>
      </c>
      <c r="F225" s="9" t="s">
        <v>1086</v>
      </c>
      <c r="G225" s="9" t="e">
        <f t="shared" si="13"/>
        <v>#N/A</v>
      </c>
      <c r="H225" s="9" t="e">
        <f>VLOOKUP(B225,[1]RXNS!$B:$D,3,FALSE)</f>
        <v>#N/A</v>
      </c>
      <c r="I225" s="9" t="e">
        <f>VLOOKUP(B225,[1]RXNS!$B:$E,4,FALSE)</f>
        <v>#N/A</v>
      </c>
      <c r="J225" s="9" t="s">
        <v>1087</v>
      </c>
      <c r="K225" s="13"/>
      <c r="L225" s="9" t="e">
        <f t="shared" si="14"/>
        <v>#N/A</v>
      </c>
      <c r="M225" s="9" t="e">
        <f t="shared" si="15"/>
        <v>#N/A</v>
      </c>
      <c r="N225" s="13"/>
      <c r="O225" s="9">
        <v>-1000</v>
      </c>
      <c r="P225" s="9">
        <v>1000</v>
      </c>
      <c r="Q225" s="13"/>
      <c r="R225" s="13"/>
      <c r="S225" s="13"/>
      <c r="T225" s="9" t="s">
        <v>61</v>
      </c>
      <c r="U225" s="13"/>
      <c r="V225" s="9" t="s">
        <v>35</v>
      </c>
      <c r="W225" s="13"/>
      <c r="X225" s="9">
        <v>2</v>
      </c>
    </row>
    <row r="226" spans="1:24">
      <c r="A226" s="13"/>
      <c r="B226" s="9" t="s">
        <v>1088</v>
      </c>
      <c r="C226" s="9" t="e">
        <f>VLOOKUP(B226,[1]RXNS!$B:$C,1,)</f>
        <v>#N/A</v>
      </c>
      <c r="D226" s="9" t="e">
        <f t="shared" si="12"/>
        <v>#N/A</v>
      </c>
      <c r="E226" s="9" t="e">
        <v>#N/A</v>
      </c>
      <c r="F226" s="9" t="s">
        <v>1089</v>
      </c>
      <c r="G226" s="9" t="e">
        <f t="shared" si="13"/>
        <v>#N/A</v>
      </c>
      <c r="H226" s="9" t="e">
        <f>VLOOKUP(B226,[1]RXNS!$B:$D,3,FALSE)</f>
        <v>#N/A</v>
      </c>
      <c r="I226" s="9" t="e">
        <f>VLOOKUP(B226,[1]RXNS!$B:$E,4,FALSE)</f>
        <v>#N/A</v>
      </c>
      <c r="J226" s="9" t="s">
        <v>1090</v>
      </c>
      <c r="K226" s="13"/>
      <c r="L226" s="9" t="e">
        <f t="shared" si="14"/>
        <v>#N/A</v>
      </c>
      <c r="M226" s="9" t="e">
        <f t="shared" si="15"/>
        <v>#N/A</v>
      </c>
      <c r="N226" s="13"/>
      <c r="O226" s="9">
        <v>-1000</v>
      </c>
      <c r="P226" s="9">
        <v>1000</v>
      </c>
      <c r="Q226" s="13"/>
      <c r="R226" s="13"/>
      <c r="S226" s="13"/>
      <c r="T226" s="9" t="s">
        <v>61</v>
      </c>
      <c r="U226" s="13"/>
      <c r="V226" s="9" t="s">
        <v>35</v>
      </c>
      <c r="W226" s="13"/>
      <c r="X226" s="9">
        <v>2</v>
      </c>
    </row>
    <row r="227" spans="1:24">
      <c r="A227" s="13"/>
      <c r="B227" s="9" t="s">
        <v>1091</v>
      </c>
      <c r="C227" s="9" t="e">
        <f>VLOOKUP(B227,[1]RXNS!$B:$C,1,)</f>
        <v>#N/A</v>
      </c>
      <c r="D227" s="9" t="e">
        <f t="shared" si="12"/>
        <v>#N/A</v>
      </c>
      <c r="E227" s="9" t="e">
        <v>#N/A</v>
      </c>
      <c r="F227" s="9" t="s">
        <v>1092</v>
      </c>
      <c r="G227" s="9" t="e">
        <f t="shared" si="13"/>
        <v>#N/A</v>
      </c>
      <c r="H227" s="9" t="e">
        <f>VLOOKUP(B227,[1]RXNS!$B:$D,3,FALSE)</f>
        <v>#N/A</v>
      </c>
      <c r="I227" s="9" t="e">
        <f>VLOOKUP(B227,[1]RXNS!$B:$E,4,FALSE)</f>
        <v>#N/A</v>
      </c>
      <c r="J227" s="9" t="s">
        <v>1093</v>
      </c>
      <c r="K227" s="13"/>
      <c r="L227" s="9" t="e">
        <f t="shared" si="14"/>
        <v>#N/A</v>
      </c>
      <c r="M227" s="9" t="e">
        <f t="shared" si="15"/>
        <v>#N/A</v>
      </c>
      <c r="N227" s="13"/>
      <c r="O227" s="9">
        <v>-1000</v>
      </c>
      <c r="P227" s="9">
        <v>1000</v>
      </c>
      <c r="Q227" s="13"/>
      <c r="R227" s="13"/>
      <c r="S227" s="13"/>
      <c r="T227" s="9" t="s">
        <v>61</v>
      </c>
      <c r="U227" s="13"/>
      <c r="V227" s="9" t="s">
        <v>35</v>
      </c>
      <c r="W227" s="13"/>
      <c r="X227" s="9">
        <v>2</v>
      </c>
    </row>
    <row r="228" spans="1:24">
      <c r="A228" s="13"/>
      <c r="B228" s="9" t="s">
        <v>1094</v>
      </c>
      <c r="C228" s="9" t="e">
        <f>VLOOKUP(B228,[1]RXNS!$B:$C,1,)</f>
        <v>#N/A</v>
      </c>
      <c r="D228" s="9" t="e">
        <f t="shared" si="12"/>
        <v>#N/A</v>
      </c>
      <c r="E228" s="9" t="e">
        <v>#N/A</v>
      </c>
      <c r="F228" s="9" t="s">
        <v>1095</v>
      </c>
      <c r="G228" s="9" t="e">
        <f t="shared" si="13"/>
        <v>#N/A</v>
      </c>
      <c r="H228" s="9" t="e">
        <f>VLOOKUP(B228,[1]RXNS!$B:$D,3,FALSE)</f>
        <v>#N/A</v>
      </c>
      <c r="I228" s="9" t="e">
        <f>VLOOKUP(B228,[1]RXNS!$B:$E,4,FALSE)</f>
        <v>#N/A</v>
      </c>
      <c r="J228" s="9" t="s">
        <v>1096</v>
      </c>
      <c r="K228" s="13"/>
      <c r="L228" s="9" t="e">
        <f t="shared" si="14"/>
        <v>#N/A</v>
      </c>
      <c r="M228" s="9" t="e">
        <f t="shared" si="15"/>
        <v>#N/A</v>
      </c>
      <c r="N228" s="13"/>
      <c r="O228" s="9">
        <v>-1000</v>
      </c>
      <c r="P228" s="9">
        <v>1000</v>
      </c>
      <c r="Q228" s="13"/>
      <c r="R228" s="13"/>
      <c r="S228" s="13"/>
      <c r="T228" s="9" t="s">
        <v>61</v>
      </c>
      <c r="U228" s="13"/>
      <c r="V228" s="9" t="s">
        <v>35</v>
      </c>
      <c r="W228" s="13"/>
      <c r="X228" s="9">
        <v>2</v>
      </c>
    </row>
    <row r="229" spans="1:24">
      <c r="A229" s="13"/>
      <c r="B229" s="9" t="s">
        <v>1097</v>
      </c>
      <c r="C229" s="9" t="e">
        <f>VLOOKUP(B229,[1]RXNS!$B:$C,1,)</f>
        <v>#N/A</v>
      </c>
      <c r="D229" s="9" t="e">
        <f t="shared" si="12"/>
        <v>#N/A</v>
      </c>
      <c r="E229" s="9" t="e">
        <v>#N/A</v>
      </c>
      <c r="F229" s="9" t="s">
        <v>1098</v>
      </c>
      <c r="G229" s="9" t="e">
        <f t="shared" si="13"/>
        <v>#N/A</v>
      </c>
      <c r="H229" s="9" t="e">
        <f>VLOOKUP(B229,[1]RXNS!$B:$D,3,FALSE)</f>
        <v>#N/A</v>
      </c>
      <c r="I229" s="9" t="e">
        <f>VLOOKUP(B229,[1]RXNS!$B:$E,4,FALSE)</f>
        <v>#N/A</v>
      </c>
      <c r="J229" s="9" t="s">
        <v>1099</v>
      </c>
      <c r="K229" s="13"/>
      <c r="L229" s="9" t="e">
        <f t="shared" si="14"/>
        <v>#N/A</v>
      </c>
      <c r="M229" s="9" t="e">
        <f t="shared" si="15"/>
        <v>#N/A</v>
      </c>
      <c r="N229" s="13"/>
      <c r="O229" s="9">
        <v>-1000</v>
      </c>
      <c r="P229" s="9">
        <v>1000</v>
      </c>
      <c r="Q229" s="13"/>
      <c r="R229" s="13"/>
      <c r="S229" s="13"/>
      <c r="T229" s="9" t="s">
        <v>61</v>
      </c>
      <c r="U229" s="13"/>
      <c r="V229" s="9" t="s">
        <v>35</v>
      </c>
      <c r="W229" s="13"/>
      <c r="X229" s="9">
        <v>2</v>
      </c>
    </row>
    <row r="230" spans="1:24">
      <c r="A230" s="13"/>
      <c r="B230" s="9" t="s">
        <v>1100</v>
      </c>
      <c r="C230" s="9" t="e">
        <f>VLOOKUP(B230,[1]RXNS!$B:$C,1,)</f>
        <v>#N/A</v>
      </c>
      <c r="D230" s="9" t="e">
        <f t="shared" si="12"/>
        <v>#N/A</v>
      </c>
      <c r="E230" s="9" t="e">
        <v>#N/A</v>
      </c>
      <c r="F230" s="9" t="s">
        <v>1101</v>
      </c>
      <c r="G230" s="9" t="e">
        <f t="shared" si="13"/>
        <v>#N/A</v>
      </c>
      <c r="H230" s="9" t="e">
        <f>VLOOKUP(B230,[1]RXNS!$B:$D,3,FALSE)</f>
        <v>#N/A</v>
      </c>
      <c r="I230" s="9" t="e">
        <f>VLOOKUP(B230,[1]RXNS!$B:$E,4,FALSE)</f>
        <v>#N/A</v>
      </c>
      <c r="J230" s="9" t="s">
        <v>1102</v>
      </c>
      <c r="K230" s="13"/>
      <c r="L230" s="9" t="e">
        <f t="shared" si="14"/>
        <v>#N/A</v>
      </c>
      <c r="M230" s="9" t="e">
        <f t="shared" si="15"/>
        <v>#N/A</v>
      </c>
      <c r="N230" s="13"/>
      <c r="O230" s="9">
        <v>-1000</v>
      </c>
      <c r="P230" s="9">
        <v>1000</v>
      </c>
      <c r="Q230" s="13"/>
      <c r="R230" s="13"/>
      <c r="S230" s="13"/>
      <c r="T230" s="9" t="s">
        <v>61</v>
      </c>
      <c r="U230" s="13"/>
      <c r="V230" s="9" t="s">
        <v>35</v>
      </c>
      <c r="W230" s="13"/>
      <c r="X230" s="9">
        <v>2</v>
      </c>
    </row>
    <row r="231" spans="1:24">
      <c r="A231" s="13"/>
      <c r="B231" s="9" t="s">
        <v>1103</v>
      </c>
      <c r="C231" s="9" t="e">
        <f>VLOOKUP(B231,[1]RXNS!$B:$C,1,)</f>
        <v>#N/A</v>
      </c>
      <c r="D231" s="9" t="e">
        <f t="shared" si="12"/>
        <v>#N/A</v>
      </c>
      <c r="E231" s="9" t="e">
        <v>#N/A</v>
      </c>
      <c r="F231" s="9" t="s">
        <v>1104</v>
      </c>
      <c r="G231" s="9" t="e">
        <f t="shared" si="13"/>
        <v>#N/A</v>
      </c>
      <c r="H231" s="9" t="e">
        <f>VLOOKUP(B231,[1]RXNS!$B:$D,3,FALSE)</f>
        <v>#N/A</v>
      </c>
      <c r="I231" s="9" t="e">
        <f>VLOOKUP(B231,[1]RXNS!$B:$E,4,FALSE)</f>
        <v>#N/A</v>
      </c>
      <c r="J231" s="9" t="s">
        <v>1105</v>
      </c>
      <c r="K231" s="13"/>
      <c r="L231" s="9" t="e">
        <f t="shared" si="14"/>
        <v>#N/A</v>
      </c>
      <c r="M231" s="9" t="e">
        <f t="shared" si="15"/>
        <v>#N/A</v>
      </c>
      <c r="N231" s="13"/>
      <c r="O231" s="9">
        <v>-1000</v>
      </c>
      <c r="P231" s="9">
        <v>1000</v>
      </c>
      <c r="Q231" s="13"/>
      <c r="R231" s="13"/>
      <c r="S231" s="13"/>
      <c r="T231" s="9" t="s">
        <v>61</v>
      </c>
      <c r="U231" s="13"/>
      <c r="V231" s="9" t="s">
        <v>35</v>
      </c>
      <c r="W231" s="13"/>
      <c r="X231" s="9">
        <v>2</v>
      </c>
    </row>
    <row r="232" spans="1:24">
      <c r="A232" s="13"/>
      <c r="B232" s="9" t="s">
        <v>1106</v>
      </c>
      <c r="C232" s="9" t="e">
        <f>VLOOKUP(B232,[1]RXNS!$B:$C,1,)</f>
        <v>#N/A</v>
      </c>
      <c r="D232" s="9" t="e">
        <f t="shared" si="12"/>
        <v>#N/A</v>
      </c>
      <c r="E232" s="9" t="e">
        <v>#N/A</v>
      </c>
      <c r="F232" s="9" t="s">
        <v>1107</v>
      </c>
      <c r="G232" s="9" t="e">
        <f t="shared" si="13"/>
        <v>#N/A</v>
      </c>
      <c r="H232" s="9" t="e">
        <f>VLOOKUP(B232,[1]RXNS!$B:$D,3,FALSE)</f>
        <v>#N/A</v>
      </c>
      <c r="I232" s="9" t="e">
        <f>VLOOKUP(B232,[1]RXNS!$B:$E,4,FALSE)</f>
        <v>#N/A</v>
      </c>
      <c r="J232" s="9" t="s">
        <v>1108</v>
      </c>
      <c r="K232" s="13"/>
      <c r="L232" s="9" t="e">
        <f t="shared" si="14"/>
        <v>#N/A</v>
      </c>
      <c r="M232" s="9" t="e">
        <f t="shared" si="15"/>
        <v>#N/A</v>
      </c>
      <c r="N232" s="13"/>
      <c r="O232" s="9">
        <v>-1000</v>
      </c>
      <c r="P232" s="9">
        <v>1000</v>
      </c>
      <c r="Q232" s="13"/>
      <c r="R232" s="13"/>
      <c r="S232" s="13"/>
      <c r="T232" s="9" t="s">
        <v>61</v>
      </c>
      <c r="U232" s="13"/>
      <c r="V232" s="9" t="s">
        <v>35</v>
      </c>
      <c r="W232" s="13"/>
      <c r="X232" s="9">
        <v>2</v>
      </c>
    </row>
    <row r="233" spans="1:24">
      <c r="A233" s="13"/>
      <c r="B233" s="9" t="s">
        <v>1109</v>
      </c>
      <c r="C233" s="9" t="e">
        <f>VLOOKUP(B233,[1]RXNS!$B:$C,1,)</f>
        <v>#N/A</v>
      </c>
      <c r="D233" s="9" t="e">
        <f t="shared" si="12"/>
        <v>#N/A</v>
      </c>
      <c r="E233" s="9" t="e">
        <v>#N/A</v>
      </c>
      <c r="F233" s="9" t="s">
        <v>1110</v>
      </c>
      <c r="G233" s="9" t="e">
        <f t="shared" si="13"/>
        <v>#N/A</v>
      </c>
      <c r="H233" s="9" t="e">
        <f>VLOOKUP(B233,[1]RXNS!$B:$D,3,FALSE)</f>
        <v>#N/A</v>
      </c>
      <c r="I233" s="9" t="e">
        <f>VLOOKUP(B233,[1]RXNS!$B:$E,4,FALSE)</f>
        <v>#N/A</v>
      </c>
      <c r="J233" s="9" t="s">
        <v>1111</v>
      </c>
      <c r="K233" s="13"/>
      <c r="L233" s="9" t="e">
        <f t="shared" si="14"/>
        <v>#N/A</v>
      </c>
      <c r="M233" s="9" t="e">
        <f t="shared" si="15"/>
        <v>#N/A</v>
      </c>
      <c r="N233" s="13"/>
      <c r="O233" s="9">
        <v>-1000</v>
      </c>
      <c r="P233" s="9">
        <v>1000</v>
      </c>
      <c r="Q233" s="13"/>
      <c r="R233" s="13"/>
      <c r="S233" s="13"/>
      <c r="T233" s="9" t="s">
        <v>61</v>
      </c>
      <c r="U233" s="13"/>
      <c r="V233" s="9" t="s">
        <v>35</v>
      </c>
      <c r="W233" s="13"/>
      <c r="X233" s="9">
        <v>2</v>
      </c>
    </row>
    <row r="234" spans="1:24">
      <c r="A234" s="13"/>
      <c r="B234" s="9" t="s">
        <v>1112</v>
      </c>
      <c r="C234" s="9" t="e">
        <f>VLOOKUP(B234,[1]RXNS!$B:$C,1,)</f>
        <v>#N/A</v>
      </c>
      <c r="D234" s="9" t="e">
        <f t="shared" si="12"/>
        <v>#N/A</v>
      </c>
      <c r="E234" s="9" t="e">
        <v>#N/A</v>
      </c>
      <c r="F234" s="9" t="s">
        <v>1113</v>
      </c>
      <c r="G234" s="9" t="e">
        <f t="shared" si="13"/>
        <v>#N/A</v>
      </c>
      <c r="H234" s="9" t="e">
        <f>VLOOKUP(B234,[1]RXNS!$B:$D,3,FALSE)</f>
        <v>#N/A</v>
      </c>
      <c r="I234" s="9" t="e">
        <f>VLOOKUP(B234,[1]RXNS!$B:$E,4,FALSE)</f>
        <v>#N/A</v>
      </c>
      <c r="J234" s="9" t="s">
        <v>1114</v>
      </c>
      <c r="K234" s="13"/>
      <c r="L234" s="9" t="e">
        <f t="shared" si="14"/>
        <v>#N/A</v>
      </c>
      <c r="M234" s="9" t="e">
        <f t="shared" si="15"/>
        <v>#N/A</v>
      </c>
      <c r="N234" s="13"/>
      <c r="O234" s="9">
        <v>-1000</v>
      </c>
      <c r="P234" s="9">
        <v>1000</v>
      </c>
      <c r="Q234" s="13"/>
      <c r="R234" s="13"/>
      <c r="S234" s="13"/>
      <c r="T234" s="9" t="s">
        <v>61</v>
      </c>
      <c r="U234" s="13"/>
      <c r="V234" s="9" t="s">
        <v>35</v>
      </c>
      <c r="W234" s="13"/>
      <c r="X234" s="9">
        <v>2</v>
      </c>
    </row>
    <row r="235" spans="1:24">
      <c r="A235" s="13"/>
      <c r="B235" s="9" t="s">
        <v>1115</v>
      </c>
      <c r="C235" s="9" t="e">
        <f>VLOOKUP(B235,[1]RXNS!$B:$C,1,)</f>
        <v>#N/A</v>
      </c>
      <c r="D235" s="9" t="e">
        <f t="shared" si="12"/>
        <v>#N/A</v>
      </c>
      <c r="E235" s="9" t="e">
        <v>#N/A</v>
      </c>
      <c r="F235" s="9" t="s">
        <v>1116</v>
      </c>
      <c r="G235" s="9" t="e">
        <f t="shared" si="13"/>
        <v>#N/A</v>
      </c>
      <c r="H235" s="9" t="e">
        <f>VLOOKUP(B235,[1]RXNS!$B:$D,3,FALSE)</f>
        <v>#N/A</v>
      </c>
      <c r="I235" s="9" t="e">
        <f>VLOOKUP(B235,[1]RXNS!$B:$E,4,FALSE)</f>
        <v>#N/A</v>
      </c>
      <c r="J235" s="9" t="s">
        <v>1117</v>
      </c>
      <c r="K235" s="13"/>
      <c r="L235" s="9" t="e">
        <f t="shared" si="14"/>
        <v>#N/A</v>
      </c>
      <c r="M235" s="9" t="e">
        <f t="shared" si="15"/>
        <v>#N/A</v>
      </c>
      <c r="N235" s="13"/>
      <c r="O235" s="9">
        <v>-1000</v>
      </c>
      <c r="P235" s="9">
        <v>1000</v>
      </c>
      <c r="Q235" s="13"/>
      <c r="R235" s="13"/>
      <c r="S235" s="13"/>
      <c r="T235" s="9" t="s">
        <v>61</v>
      </c>
      <c r="U235" s="13"/>
      <c r="V235" s="9" t="s">
        <v>35</v>
      </c>
      <c r="W235" s="13"/>
      <c r="X235" s="9">
        <v>2</v>
      </c>
    </row>
    <row r="236" spans="1:24">
      <c r="A236" s="13"/>
      <c r="B236" s="9" t="s">
        <v>1118</v>
      </c>
      <c r="C236" s="9" t="e">
        <f>VLOOKUP(B236,[1]RXNS!$B:$C,1,)</f>
        <v>#N/A</v>
      </c>
      <c r="D236" s="9" t="e">
        <f t="shared" si="12"/>
        <v>#N/A</v>
      </c>
      <c r="E236" s="9" t="e">
        <v>#N/A</v>
      </c>
      <c r="F236" s="9" t="s">
        <v>1119</v>
      </c>
      <c r="G236" s="9" t="e">
        <f t="shared" si="13"/>
        <v>#N/A</v>
      </c>
      <c r="H236" s="9" t="e">
        <f>VLOOKUP(B236,[1]RXNS!$B:$D,3,FALSE)</f>
        <v>#N/A</v>
      </c>
      <c r="I236" s="9" t="e">
        <f>VLOOKUP(B236,[1]RXNS!$B:$E,4,FALSE)</f>
        <v>#N/A</v>
      </c>
      <c r="J236" s="9" t="s">
        <v>1120</v>
      </c>
      <c r="K236" s="13"/>
      <c r="L236" s="9" t="e">
        <f t="shared" si="14"/>
        <v>#N/A</v>
      </c>
      <c r="M236" s="9" t="e">
        <f t="shared" si="15"/>
        <v>#N/A</v>
      </c>
      <c r="N236" s="13"/>
      <c r="O236" s="9">
        <v>-1000</v>
      </c>
      <c r="P236" s="9">
        <v>1000</v>
      </c>
      <c r="Q236" s="13"/>
      <c r="R236" s="13"/>
      <c r="S236" s="13"/>
      <c r="T236" s="9" t="s">
        <v>61</v>
      </c>
      <c r="U236" s="13"/>
      <c r="V236" s="9" t="s">
        <v>35</v>
      </c>
      <c r="W236" s="13"/>
      <c r="X236" s="9">
        <v>2</v>
      </c>
    </row>
    <row r="237" spans="1:24">
      <c r="A237" s="13"/>
      <c r="B237" s="9" t="s">
        <v>1121</v>
      </c>
      <c r="C237" s="9" t="e">
        <f>VLOOKUP(B237,[1]RXNS!$B:$C,1,)</f>
        <v>#N/A</v>
      </c>
      <c r="D237" s="9" t="e">
        <f t="shared" si="12"/>
        <v>#N/A</v>
      </c>
      <c r="E237" s="9" t="e">
        <v>#N/A</v>
      </c>
      <c r="F237" s="9" t="s">
        <v>1122</v>
      </c>
      <c r="G237" s="9" t="e">
        <f t="shared" si="13"/>
        <v>#N/A</v>
      </c>
      <c r="H237" s="9" t="e">
        <f>VLOOKUP(B237,[1]RXNS!$B:$D,3,FALSE)</f>
        <v>#N/A</v>
      </c>
      <c r="I237" s="9" t="e">
        <f>VLOOKUP(B237,[1]RXNS!$B:$E,4,FALSE)</f>
        <v>#N/A</v>
      </c>
      <c r="J237" s="9" t="s">
        <v>1123</v>
      </c>
      <c r="K237" s="13"/>
      <c r="L237" s="9" t="e">
        <f t="shared" si="14"/>
        <v>#N/A</v>
      </c>
      <c r="M237" s="9" t="e">
        <f t="shared" si="15"/>
        <v>#N/A</v>
      </c>
      <c r="N237" s="13"/>
      <c r="O237" s="9">
        <v>-1000</v>
      </c>
      <c r="P237" s="9">
        <v>1000</v>
      </c>
      <c r="Q237" s="13"/>
      <c r="R237" s="13"/>
      <c r="S237" s="13"/>
      <c r="T237" s="9" t="s">
        <v>61</v>
      </c>
      <c r="U237" s="13"/>
      <c r="V237" s="9" t="s">
        <v>35</v>
      </c>
      <c r="W237" s="13"/>
      <c r="X237" s="9">
        <v>2</v>
      </c>
    </row>
    <row r="238" spans="1:24">
      <c r="A238" s="13"/>
      <c r="B238" s="9" t="s">
        <v>1124</v>
      </c>
      <c r="C238" s="9" t="e">
        <f>VLOOKUP(B238,[1]RXNS!$B:$C,1,)</f>
        <v>#N/A</v>
      </c>
      <c r="D238" s="9" t="e">
        <f t="shared" si="12"/>
        <v>#N/A</v>
      </c>
      <c r="E238" s="9" t="e">
        <v>#N/A</v>
      </c>
      <c r="F238" s="9" t="s">
        <v>1125</v>
      </c>
      <c r="G238" s="9" t="e">
        <f t="shared" si="13"/>
        <v>#N/A</v>
      </c>
      <c r="H238" s="9" t="e">
        <f>VLOOKUP(B238,[1]RXNS!$B:$D,3,FALSE)</f>
        <v>#N/A</v>
      </c>
      <c r="I238" s="9" t="e">
        <f>VLOOKUP(B238,[1]RXNS!$B:$E,4,FALSE)</f>
        <v>#N/A</v>
      </c>
      <c r="J238" s="9" t="s">
        <v>1126</v>
      </c>
      <c r="K238" s="13"/>
      <c r="L238" s="9" t="e">
        <f t="shared" si="14"/>
        <v>#N/A</v>
      </c>
      <c r="M238" s="9" t="e">
        <f t="shared" si="15"/>
        <v>#N/A</v>
      </c>
      <c r="N238" s="13"/>
      <c r="O238" s="9">
        <v>-1000</v>
      </c>
      <c r="P238" s="9">
        <v>1000</v>
      </c>
      <c r="Q238" s="13"/>
      <c r="R238" s="13"/>
      <c r="S238" s="13"/>
      <c r="T238" s="9" t="s">
        <v>61</v>
      </c>
      <c r="U238" s="13"/>
      <c r="V238" s="9" t="s">
        <v>35</v>
      </c>
      <c r="W238" s="13"/>
      <c r="X238" s="9">
        <v>2</v>
      </c>
    </row>
    <row r="239" spans="1:24">
      <c r="A239" s="13"/>
      <c r="B239" s="9" t="s">
        <v>1127</v>
      </c>
      <c r="C239" s="9" t="e">
        <f>VLOOKUP(B239,[1]RXNS!$B:$C,1,)</f>
        <v>#N/A</v>
      </c>
      <c r="D239" s="9" t="e">
        <f t="shared" si="12"/>
        <v>#N/A</v>
      </c>
      <c r="E239" s="9" t="e">
        <v>#N/A</v>
      </c>
      <c r="F239" s="9" t="s">
        <v>1128</v>
      </c>
      <c r="G239" s="9" t="e">
        <f t="shared" si="13"/>
        <v>#N/A</v>
      </c>
      <c r="H239" s="9" t="e">
        <f>VLOOKUP(B239,[1]RXNS!$B:$D,3,FALSE)</f>
        <v>#N/A</v>
      </c>
      <c r="I239" s="9" t="e">
        <f>VLOOKUP(B239,[1]RXNS!$B:$E,4,FALSE)</f>
        <v>#N/A</v>
      </c>
      <c r="J239" s="9" t="s">
        <v>1129</v>
      </c>
      <c r="K239" s="13"/>
      <c r="L239" s="9" t="e">
        <f t="shared" si="14"/>
        <v>#N/A</v>
      </c>
      <c r="M239" s="9" t="e">
        <f t="shared" si="15"/>
        <v>#N/A</v>
      </c>
      <c r="N239" s="13"/>
      <c r="O239" s="9">
        <v>-1000</v>
      </c>
      <c r="P239" s="9">
        <v>1000</v>
      </c>
      <c r="Q239" s="13"/>
      <c r="R239" s="13"/>
      <c r="S239" s="13"/>
      <c r="T239" s="9" t="s">
        <v>61</v>
      </c>
      <c r="U239" s="13"/>
      <c r="V239" s="9" t="s">
        <v>35</v>
      </c>
      <c r="W239" s="13"/>
      <c r="X239" s="9">
        <v>2</v>
      </c>
    </row>
    <row r="240" spans="1:24">
      <c r="A240" s="13"/>
      <c r="B240" s="9" t="s">
        <v>1130</v>
      </c>
      <c r="C240" s="9" t="e">
        <f>VLOOKUP(B240,[1]RXNS!$B:$C,1,)</f>
        <v>#N/A</v>
      </c>
      <c r="D240" s="9" t="e">
        <f t="shared" si="12"/>
        <v>#N/A</v>
      </c>
      <c r="E240" s="9" t="e">
        <v>#N/A</v>
      </c>
      <c r="F240" s="9" t="s">
        <v>1131</v>
      </c>
      <c r="G240" s="9" t="e">
        <f t="shared" si="13"/>
        <v>#N/A</v>
      </c>
      <c r="H240" s="9" t="e">
        <f>VLOOKUP(B240,[1]RXNS!$B:$D,3,FALSE)</f>
        <v>#N/A</v>
      </c>
      <c r="I240" s="9" t="e">
        <f>VLOOKUP(B240,[1]RXNS!$B:$E,4,FALSE)</f>
        <v>#N/A</v>
      </c>
      <c r="J240" s="9" t="s">
        <v>1132</v>
      </c>
      <c r="K240" s="13"/>
      <c r="L240" s="9" t="e">
        <f t="shared" si="14"/>
        <v>#N/A</v>
      </c>
      <c r="M240" s="9" t="e">
        <f t="shared" si="15"/>
        <v>#N/A</v>
      </c>
      <c r="N240" s="13"/>
      <c r="O240" s="9">
        <v>-1000</v>
      </c>
      <c r="P240" s="9">
        <v>1000</v>
      </c>
      <c r="Q240" s="13"/>
      <c r="R240" s="13"/>
      <c r="S240" s="13"/>
      <c r="T240" s="9" t="s">
        <v>61</v>
      </c>
      <c r="U240" s="13"/>
      <c r="V240" s="9" t="s">
        <v>35</v>
      </c>
      <c r="W240" s="13"/>
      <c r="X240" s="9">
        <v>2</v>
      </c>
    </row>
    <row r="241" spans="1:24">
      <c r="A241" s="13"/>
      <c r="B241" s="9" t="s">
        <v>1133</v>
      </c>
      <c r="C241" s="9" t="e">
        <f>VLOOKUP(B241,[1]RXNS!$B:$C,1,)</f>
        <v>#N/A</v>
      </c>
      <c r="D241" s="9" t="e">
        <f t="shared" si="12"/>
        <v>#N/A</v>
      </c>
      <c r="E241" s="9" t="e">
        <v>#N/A</v>
      </c>
      <c r="F241" s="9" t="s">
        <v>1134</v>
      </c>
      <c r="G241" s="9" t="e">
        <f t="shared" si="13"/>
        <v>#N/A</v>
      </c>
      <c r="H241" s="9" t="e">
        <f>VLOOKUP(B241,[1]RXNS!$B:$D,3,FALSE)</f>
        <v>#N/A</v>
      </c>
      <c r="I241" s="9" t="e">
        <f>VLOOKUP(B241,[1]RXNS!$B:$E,4,FALSE)</f>
        <v>#N/A</v>
      </c>
      <c r="J241" s="9" t="s">
        <v>1135</v>
      </c>
      <c r="K241" s="13"/>
      <c r="L241" s="9" t="e">
        <f t="shared" si="14"/>
        <v>#N/A</v>
      </c>
      <c r="M241" s="9" t="e">
        <f t="shared" si="15"/>
        <v>#N/A</v>
      </c>
      <c r="N241" s="13"/>
      <c r="O241" s="9">
        <v>-1000</v>
      </c>
      <c r="P241" s="9">
        <v>1000</v>
      </c>
      <c r="Q241" s="13"/>
      <c r="R241" s="13"/>
      <c r="S241" s="13"/>
      <c r="T241" s="9" t="s">
        <v>61</v>
      </c>
      <c r="U241" s="13"/>
      <c r="V241" s="9" t="s">
        <v>35</v>
      </c>
      <c r="W241" s="13"/>
      <c r="X241" s="9">
        <v>2</v>
      </c>
    </row>
    <row r="242" spans="1:24">
      <c r="A242" s="13"/>
      <c r="B242" s="9" t="s">
        <v>1136</v>
      </c>
      <c r="C242" s="9" t="e">
        <f>VLOOKUP(B242,[1]RXNS!$B:$C,1,)</f>
        <v>#N/A</v>
      </c>
      <c r="D242" s="9" t="e">
        <f t="shared" si="12"/>
        <v>#N/A</v>
      </c>
      <c r="E242" s="9" t="e">
        <v>#N/A</v>
      </c>
      <c r="F242" s="9" t="s">
        <v>1137</v>
      </c>
      <c r="G242" s="9" t="e">
        <f t="shared" si="13"/>
        <v>#N/A</v>
      </c>
      <c r="H242" s="9" t="e">
        <f>VLOOKUP(B242,[1]RXNS!$B:$D,3,FALSE)</f>
        <v>#N/A</v>
      </c>
      <c r="I242" s="9" t="e">
        <f>VLOOKUP(B242,[1]RXNS!$B:$E,4,FALSE)</f>
        <v>#N/A</v>
      </c>
      <c r="J242" s="9" t="s">
        <v>1138</v>
      </c>
      <c r="K242" s="13"/>
      <c r="L242" s="9" t="e">
        <f t="shared" si="14"/>
        <v>#N/A</v>
      </c>
      <c r="M242" s="9" t="e">
        <f t="shared" si="15"/>
        <v>#N/A</v>
      </c>
      <c r="N242" s="13"/>
      <c r="O242" s="9">
        <v>-1000</v>
      </c>
      <c r="P242" s="9">
        <v>1000</v>
      </c>
      <c r="Q242" s="13"/>
      <c r="R242" s="13"/>
      <c r="S242" s="13"/>
      <c r="T242" s="9" t="s">
        <v>61</v>
      </c>
      <c r="U242" s="13"/>
      <c r="V242" s="9" t="s">
        <v>35</v>
      </c>
      <c r="W242" s="13"/>
      <c r="X242" s="9">
        <v>2</v>
      </c>
    </row>
    <row r="243" spans="1:24">
      <c r="A243" s="13"/>
      <c r="B243" s="9" t="s">
        <v>1139</v>
      </c>
      <c r="C243" s="9" t="e">
        <f>VLOOKUP(B243,[1]RXNS!$B:$C,1,)</f>
        <v>#N/A</v>
      </c>
      <c r="D243" s="9" t="e">
        <f t="shared" si="12"/>
        <v>#N/A</v>
      </c>
      <c r="E243" s="9" t="e">
        <v>#N/A</v>
      </c>
      <c r="F243" s="9" t="s">
        <v>1140</v>
      </c>
      <c r="G243" s="9" t="e">
        <f t="shared" si="13"/>
        <v>#N/A</v>
      </c>
      <c r="H243" s="9" t="e">
        <f>VLOOKUP(B243,[1]RXNS!$B:$D,3,FALSE)</f>
        <v>#N/A</v>
      </c>
      <c r="I243" s="9" t="e">
        <f>VLOOKUP(B243,[1]RXNS!$B:$E,4,FALSE)</f>
        <v>#N/A</v>
      </c>
      <c r="J243" s="9" t="s">
        <v>1141</v>
      </c>
      <c r="K243" s="13"/>
      <c r="L243" s="9" t="e">
        <f t="shared" si="14"/>
        <v>#N/A</v>
      </c>
      <c r="M243" s="9" t="e">
        <f t="shared" si="15"/>
        <v>#N/A</v>
      </c>
      <c r="N243" s="13"/>
      <c r="O243" s="9">
        <v>-1000</v>
      </c>
      <c r="P243" s="9">
        <v>1000</v>
      </c>
      <c r="Q243" s="13"/>
      <c r="R243" s="13"/>
      <c r="S243" s="13"/>
      <c r="T243" s="9" t="s">
        <v>61</v>
      </c>
      <c r="U243" s="13"/>
      <c r="V243" s="9" t="s">
        <v>35</v>
      </c>
      <c r="W243" s="13"/>
      <c r="X243" s="9">
        <v>2</v>
      </c>
    </row>
    <row r="244" spans="1:24">
      <c r="A244" s="13"/>
      <c r="B244" s="9" t="s">
        <v>1142</v>
      </c>
      <c r="C244" s="9" t="e">
        <f>VLOOKUP(B244,[1]RXNS!$B:$C,1,)</f>
        <v>#N/A</v>
      </c>
      <c r="D244" s="9" t="e">
        <f t="shared" si="12"/>
        <v>#N/A</v>
      </c>
      <c r="E244" s="9" t="e">
        <v>#N/A</v>
      </c>
      <c r="F244" s="9" t="s">
        <v>1143</v>
      </c>
      <c r="G244" s="9" t="e">
        <f t="shared" si="13"/>
        <v>#N/A</v>
      </c>
      <c r="H244" s="9" t="e">
        <f>VLOOKUP(B244,[1]RXNS!$B:$D,3,FALSE)</f>
        <v>#N/A</v>
      </c>
      <c r="I244" s="9" t="e">
        <f>VLOOKUP(B244,[1]RXNS!$B:$E,4,FALSE)</f>
        <v>#N/A</v>
      </c>
      <c r="J244" s="9" t="s">
        <v>1144</v>
      </c>
      <c r="K244" s="13"/>
      <c r="L244" s="9" t="e">
        <f t="shared" si="14"/>
        <v>#N/A</v>
      </c>
      <c r="M244" s="9" t="e">
        <f t="shared" si="15"/>
        <v>#N/A</v>
      </c>
      <c r="N244" s="13"/>
      <c r="O244" s="9">
        <v>-1000</v>
      </c>
      <c r="P244" s="9">
        <v>1000</v>
      </c>
      <c r="Q244" s="13"/>
      <c r="R244" s="13"/>
      <c r="S244" s="13"/>
      <c r="T244" s="9" t="s">
        <v>61</v>
      </c>
      <c r="U244" s="13"/>
      <c r="V244" s="9" t="s">
        <v>35</v>
      </c>
      <c r="W244" s="13"/>
      <c r="X244" s="9">
        <v>2</v>
      </c>
    </row>
    <row r="245" spans="1:24">
      <c r="A245" s="13"/>
      <c r="B245" s="9" t="s">
        <v>1145</v>
      </c>
      <c r="C245" s="9" t="e">
        <f>VLOOKUP(B245,[1]RXNS!$B:$C,1,)</f>
        <v>#N/A</v>
      </c>
      <c r="D245" s="9" t="e">
        <f t="shared" si="12"/>
        <v>#N/A</v>
      </c>
      <c r="E245" s="9" t="e">
        <v>#N/A</v>
      </c>
      <c r="F245" s="9" t="s">
        <v>1146</v>
      </c>
      <c r="G245" s="9" t="e">
        <f t="shared" si="13"/>
        <v>#N/A</v>
      </c>
      <c r="H245" s="9" t="e">
        <f>VLOOKUP(B245,[1]RXNS!$B:$D,3,FALSE)</f>
        <v>#N/A</v>
      </c>
      <c r="I245" s="9" t="e">
        <f>VLOOKUP(B245,[1]RXNS!$B:$E,4,FALSE)</f>
        <v>#N/A</v>
      </c>
      <c r="J245" s="9" t="s">
        <v>1147</v>
      </c>
      <c r="K245" s="13"/>
      <c r="L245" s="9" t="e">
        <f t="shared" si="14"/>
        <v>#N/A</v>
      </c>
      <c r="M245" s="9" t="e">
        <f t="shared" si="15"/>
        <v>#N/A</v>
      </c>
      <c r="N245" s="13"/>
      <c r="O245" s="9">
        <v>-1000</v>
      </c>
      <c r="P245" s="9">
        <v>1000</v>
      </c>
      <c r="Q245" s="13"/>
      <c r="R245" s="13"/>
      <c r="S245" s="13"/>
      <c r="T245" s="9" t="s">
        <v>61</v>
      </c>
      <c r="U245" s="13"/>
      <c r="V245" s="9" t="s">
        <v>35</v>
      </c>
      <c r="W245" s="13"/>
      <c r="X245" s="9">
        <v>2</v>
      </c>
    </row>
    <row r="246" spans="1:24">
      <c r="A246" s="13"/>
      <c r="B246" s="9" t="s">
        <v>1148</v>
      </c>
      <c r="C246" s="9" t="e">
        <f>VLOOKUP(B246,[1]RXNS!$B:$C,1,)</f>
        <v>#N/A</v>
      </c>
      <c r="D246" s="9" t="e">
        <f t="shared" si="12"/>
        <v>#N/A</v>
      </c>
      <c r="E246" s="9" t="e">
        <v>#N/A</v>
      </c>
      <c r="F246" s="9" t="s">
        <v>1149</v>
      </c>
      <c r="G246" s="9" t="e">
        <f t="shared" si="13"/>
        <v>#N/A</v>
      </c>
      <c r="H246" s="9" t="e">
        <f>VLOOKUP(B246,[1]RXNS!$B:$D,3,FALSE)</f>
        <v>#N/A</v>
      </c>
      <c r="I246" s="9" t="e">
        <f>VLOOKUP(B246,[1]RXNS!$B:$E,4,FALSE)</f>
        <v>#N/A</v>
      </c>
      <c r="J246" s="9" t="s">
        <v>1150</v>
      </c>
      <c r="K246" s="13"/>
      <c r="L246" s="9" t="e">
        <f t="shared" si="14"/>
        <v>#N/A</v>
      </c>
      <c r="M246" s="9" t="e">
        <f t="shared" si="15"/>
        <v>#N/A</v>
      </c>
      <c r="N246" s="13"/>
      <c r="O246" s="9">
        <v>-1000</v>
      </c>
      <c r="P246" s="9">
        <v>1000</v>
      </c>
      <c r="Q246" s="13"/>
      <c r="R246" s="13"/>
      <c r="S246" s="13"/>
      <c r="T246" s="9" t="s">
        <v>61</v>
      </c>
      <c r="U246" s="13"/>
      <c r="V246" s="9" t="s">
        <v>35</v>
      </c>
      <c r="W246" s="13"/>
      <c r="X246" s="9">
        <v>2</v>
      </c>
    </row>
    <row r="247" spans="1:24">
      <c r="A247" s="13"/>
      <c r="B247" s="9" t="s">
        <v>1151</v>
      </c>
      <c r="C247" s="9" t="e">
        <f>VLOOKUP(B247,[1]RXNS!$B:$C,1,)</f>
        <v>#N/A</v>
      </c>
      <c r="D247" s="9" t="e">
        <f t="shared" si="12"/>
        <v>#N/A</v>
      </c>
      <c r="E247" s="9" t="e">
        <v>#N/A</v>
      </c>
      <c r="F247" s="9" t="s">
        <v>1152</v>
      </c>
      <c r="G247" s="9" t="e">
        <f t="shared" si="13"/>
        <v>#N/A</v>
      </c>
      <c r="H247" s="9" t="e">
        <f>VLOOKUP(B247,[1]RXNS!$B:$D,3,FALSE)</f>
        <v>#N/A</v>
      </c>
      <c r="I247" s="9" t="e">
        <f>VLOOKUP(B247,[1]RXNS!$B:$E,4,FALSE)</f>
        <v>#N/A</v>
      </c>
      <c r="J247" s="9" t="s">
        <v>1153</v>
      </c>
      <c r="K247" s="13"/>
      <c r="L247" s="9" t="e">
        <f t="shared" si="14"/>
        <v>#N/A</v>
      </c>
      <c r="M247" s="9" t="e">
        <f t="shared" si="15"/>
        <v>#N/A</v>
      </c>
      <c r="N247" s="13"/>
      <c r="O247" s="9">
        <v>-1000</v>
      </c>
      <c r="P247" s="9">
        <v>1000</v>
      </c>
      <c r="Q247" s="13"/>
      <c r="R247" s="13"/>
      <c r="S247" s="13"/>
      <c r="T247" s="9" t="s">
        <v>61</v>
      </c>
      <c r="U247" s="13"/>
      <c r="V247" s="9" t="s">
        <v>35</v>
      </c>
      <c r="W247" s="13"/>
      <c r="X247" s="9">
        <v>2</v>
      </c>
    </row>
    <row r="248" spans="1:24">
      <c r="A248" s="13"/>
      <c r="B248" s="9" t="s">
        <v>1154</v>
      </c>
      <c r="C248" s="9" t="e">
        <f>VLOOKUP(B248,[1]RXNS!$B:$C,1,)</f>
        <v>#N/A</v>
      </c>
      <c r="D248" s="9" t="e">
        <f t="shared" si="12"/>
        <v>#N/A</v>
      </c>
      <c r="E248" s="9" t="e">
        <v>#N/A</v>
      </c>
      <c r="F248" s="9" t="s">
        <v>1155</v>
      </c>
      <c r="G248" s="9" t="e">
        <f t="shared" si="13"/>
        <v>#N/A</v>
      </c>
      <c r="H248" s="9" t="e">
        <f>VLOOKUP(B248,[1]RXNS!$B:$D,3,FALSE)</f>
        <v>#N/A</v>
      </c>
      <c r="I248" s="9" t="e">
        <f>VLOOKUP(B248,[1]RXNS!$B:$E,4,FALSE)</f>
        <v>#N/A</v>
      </c>
      <c r="J248" s="9" t="s">
        <v>1156</v>
      </c>
      <c r="K248" s="13"/>
      <c r="L248" s="9" t="e">
        <f t="shared" si="14"/>
        <v>#N/A</v>
      </c>
      <c r="M248" s="9" t="e">
        <f t="shared" si="15"/>
        <v>#N/A</v>
      </c>
      <c r="N248" s="13"/>
      <c r="O248" s="9">
        <v>-1000</v>
      </c>
      <c r="P248" s="9">
        <v>1000</v>
      </c>
      <c r="Q248" s="13"/>
      <c r="R248" s="13"/>
      <c r="S248" s="13"/>
      <c r="T248" s="9" t="s">
        <v>61</v>
      </c>
      <c r="U248" s="13"/>
      <c r="V248" s="9" t="s">
        <v>35</v>
      </c>
      <c r="W248" s="13"/>
      <c r="X248" s="9">
        <v>2</v>
      </c>
    </row>
    <row r="249" spans="1:24">
      <c r="A249" s="13"/>
      <c r="B249" s="9" t="s">
        <v>1157</v>
      </c>
      <c r="C249" s="9" t="e">
        <f>VLOOKUP(B249,[1]RXNS!$B:$C,1,)</f>
        <v>#N/A</v>
      </c>
      <c r="D249" s="9" t="e">
        <f t="shared" si="12"/>
        <v>#N/A</v>
      </c>
      <c r="E249" s="9" t="e">
        <v>#N/A</v>
      </c>
      <c r="F249" s="9" t="s">
        <v>1158</v>
      </c>
      <c r="G249" s="9" t="e">
        <f t="shared" si="13"/>
        <v>#N/A</v>
      </c>
      <c r="H249" s="9" t="e">
        <f>VLOOKUP(B249,[1]RXNS!$B:$D,3,FALSE)</f>
        <v>#N/A</v>
      </c>
      <c r="I249" s="9" t="e">
        <f>VLOOKUP(B249,[1]RXNS!$B:$E,4,FALSE)</f>
        <v>#N/A</v>
      </c>
      <c r="J249" s="9" t="s">
        <v>1159</v>
      </c>
      <c r="K249" s="13"/>
      <c r="L249" s="9" t="e">
        <f t="shared" si="14"/>
        <v>#N/A</v>
      </c>
      <c r="M249" s="9" t="e">
        <f t="shared" si="15"/>
        <v>#N/A</v>
      </c>
      <c r="N249" s="13"/>
      <c r="O249" s="9">
        <v>-1000</v>
      </c>
      <c r="P249" s="9">
        <v>1000</v>
      </c>
      <c r="Q249" s="13"/>
      <c r="R249" s="13"/>
      <c r="S249" s="13"/>
      <c r="T249" s="9" t="s">
        <v>61</v>
      </c>
      <c r="U249" s="13"/>
      <c r="V249" s="9" t="s">
        <v>35</v>
      </c>
      <c r="W249" s="13"/>
      <c r="X249" s="9">
        <v>2</v>
      </c>
    </row>
    <row r="250" spans="1:24">
      <c r="A250" s="13"/>
      <c r="B250" s="9" t="s">
        <v>1160</v>
      </c>
      <c r="C250" s="9" t="e">
        <f>VLOOKUP(B250,[1]RXNS!$B:$C,1,)</f>
        <v>#N/A</v>
      </c>
      <c r="D250" s="9" t="e">
        <f t="shared" si="12"/>
        <v>#N/A</v>
      </c>
      <c r="E250" s="9" t="e">
        <v>#N/A</v>
      </c>
      <c r="F250" s="9" t="s">
        <v>1161</v>
      </c>
      <c r="G250" s="9" t="e">
        <f t="shared" si="13"/>
        <v>#N/A</v>
      </c>
      <c r="H250" s="9" t="e">
        <f>VLOOKUP(B250,[1]RXNS!$B:$D,3,FALSE)</f>
        <v>#N/A</v>
      </c>
      <c r="I250" s="9" t="e">
        <f>VLOOKUP(B250,[1]RXNS!$B:$E,4,FALSE)</f>
        <v>#N/A</v>
      </c>
      <c r="J250" s="9" t="s">
        <v>1162</v>
      </c>
      <c r="K250" s="13"/>
      <c r="L250" s="9" t="e">
        <f t="shared" si="14"/>
        <v>#N/A</v>
      </c>
      <c r="M250" s="9" t="e">
        <f t="shared" si="15"/>
        <v>#N/A</v>
      </c>
      <c r="N250" s="13"/>
      <c r="O250" s="9">
        <v>-1000</v>
      </c>
      <c r="P250" s="9">
        <v>1000</v>
      </c>
      <c r="Q250" s="13"/>
      <c r="R250" s="13"/>
      <c r="S250" s="13"/>
      <c r="T250" s="9" t="s">
        <v>61</v>
      </c>
      <c r="U250" s="13"/>
      <c r="V250" s="9" t="s">
        <v>35</v>
      </c>
      <c r="W250" s="13"/>
      <c r="X250" s="9">
        <v>2</v>
      </c>
    </row>
    <row r="251" spans="1:24">
      <c r="A251" s="13"/>
      <c r="B251" s="9" t="s">
        <v>1163</v>
      </c>
      <c r="C251" s="9" t="e">
        <f>VLOOKUP(B251,[1]RXNS!$B:$C,1,)</f>
        <v>#N/A</v>
      </c>
      <c r="D251" s="9" t="e">
        <f t="shared" si="12"/>
        <v>#N/A</v>
      </c>
      <c r="E251" s="9" t="e">
        <v>#N/A</v>
      </c>
      <c r="F251" s="9" t="s">
        <v>1164</v>
      </c>
      <c r="G251" s="9" t="e">
        <f t="shared" si="13"/>
        <v>#N/A</v>
      </c>
      <c r="H251" s="9" t="e">
        <f>VLOOKUP(B251,[1]RXNS!$B:$D,3,FALSE)</f>
        <v>#N/A</v>
      </c>
      <c r="I251" s="9" t="e">
        <f>VLOOKUP(B251,[1]RXNS!$B:$E,4,FALSE)</f>
        <v>#N/A</v>
      </c>
      <c r="J251" s="9" t="s">
        <v>1165</v>
      </c>
      <c r="K251" s="13"/>
      <c r="L251" s="9" t="e">
        <f t="shared" si="14"/>
        <v>#N/A</v>
      </c>
      <c r="M251" s="9" t="e">
        <f t="shared" si="15"/>
        <v>#N/A</v>
      </c>
      <c r="N251" s="13"/>
      <c r="O251" s="9">
        <v>-1000</v>
      </c>
      <c r="P251" s="9">
        <v>1000</v>
      </c>
      <c r="Q251" s="13"/>
      <c r="R251" s="13"/>
      <c r="S251" s="13"/>
      <c r="T251" s="9" t="s">
        <v>61</v>
      </c>
      <c r="U251" s="13"/>
      <c r="V251" s="9" t="s">
        <v>35</v>
      </c>
      <c r="W251" s="13"/>
      <c r="X251" s="9">
        <v>2</v>
      </c>
    </row>
    <row r="252" spans="1:24">
      <c r="A252" s="13"/>
      <c r="B252" s="9" t="s">
        <v>1166</v>
      </c>
      <c r="C252" s="9" t="e">
        <f>VLOOKUP(B252,[1]RXNS!$B:$C,1,)</f>
        <v>#N/A</v>
      </c>
      <c r="D252" s="9" t="e">
        <f t="shared" si="12"/>
        <v>#N/A</v>
      </c>
      <c r="E252" s="9" t="e">
        <v>#N/A</v>
      </c>
      <c r="F252" s="9" t="s">
        <v>1167</v>
      </c>
      <c r="G252" s="9" t="e">
        <f t="shared" si="13"/>
        <v>#N/A</v>
      </c>
      <c r="H252" s="9" t="e">
        <f>VLOOKUP(B252,[1]RXNS!$B:$D,3,FALSE)</f>
        <v>#N/A</v>
      </c>
      <c r="I252" s="9" t="e">
        <f>VLOOKUP(B252,[1]RXNS!$B:$E,4,FALSE)</f>
        <v>#N/A</v>
      </c>
      <c r="J252" s="9" t="s">
        <v>1168</v>
      </c>
      <c r="K252" s="13"/>
      <c r="L252" s="9" t="e">
        <f t="shared" si="14"/>
        <v>#N/A</v>
      </c>
      <c r="M252" s="9" t="e">
        <f t="shared" si="15"/>
        <v>#N/A</v>
      </c>
      <c r="N252" s="13"/>
      <c r="O252" s="9">
        <v>-1000</v>
      </c>
      <c r="P252" s="9">
        <v>1000</v>
      </c>
      <c r="Q252" s="13"/>
      <c r="R252" s="13"/>
      <c r="S252" s="13"/>
      <c r="T252" s="9" t="s">
        <v>61</v>
      </c>
      <c r="U252" s="13"/>
      <c r="V252" s="9" t="s">
        <v>35</v>
      </c>
      <c r="W252" s="13"/>
      <c r="X252" s="9">
        <v>2</v>
      </c>
    </row>
    <row r="253" spans="1:24">
      <c r="A253" s="13"/>
      <c r="B253" s="9" t="s">
        <v>1169</v>
      </c>
      <c r="C253" s="9" t="e">
        <f>VLOOKUP(B253,[1]RXNS!$B:$C,1,)</f>
        <v>#N/A</v>
      </c>
      <c r="D253" s="9" t="e">
        <f t="shared" si="12"/>
        <v>#N/A</v>
      </c>
      <c r="E253" s="9" t="e">
        <v>#N/A</v>
      </c>
      <c r="F253" s="9" t="s">
        <v>1170</v>
      </c>
      <c r="G253" s="9" t="e">
        <f t="shared" si="13"/>
        <v>#N/A</v>
      </c>
      <c r="H253" s="9" t="e">
        <f>VLOOKUP(B253,[1]RXNS!$B:$D,3,FALSE)</f>
        <v>#N/A</v>
      </c>
      <c r="I253" s="9" t="e">
        <f>VLOOKUP(B253,[1]RXNS!$B:$E,4,FALSE)</f>
        <v>#N/A</v>
      </c>
      <c r="J253" s="9" t="s">
        <v>1171</v>
      </c>
      <c r="K253" s="13"/>
      <c r="L253" s="9" t="e">
        <f t="shared" si="14"/>
        <v>#N/A</v>
      </c>
      <c r="M253" s="9" t="e">
        <f t="shared" si="15"/>
        <v>#N/A</v>
      </c>
      <c r="N253" s="13"/>
      <c r="O253" s="9">
        <v>-1000</v>
      </c>
      <c r="P253" s="9">
        <v>1000</v>
      </c>
      <c r="Q253" s="13"/>
      <c r="R253" s="13"/>
      <c r="S253" s="13"/>
      <c r="T253" s="9" t="s">
        <v>61</v>
      </c>
      <c r="U253" s="13"/>
      <c r="V253" s="9" t="s">
        <v>35</v>
      </c>
      <c r="W253" s="13"/>
      <c r="X253" s="9">
        <v>2</v>
      </c>
    </row>
    <row r="254" spans="1:24">
      <c r="A254" s="13"/>
      <c r="B254" s="9" t="s">
        <v>1172</v>
      </c>
      <c r="C254" s="9" t="e">
        <f>VLOOKUP(B254,[1]RXNS!$B:$C,1,)</f>
        <v>#N/A</v>
      </c>
      <c r="D254" s="9" t="e">
        <f t="shared" si="12"/>
        <v>#N/A</v>
      </c>
      <c r="E254" s="9" t="e">
        <v>#N/A</v>
      </c>
      <c r="F254" s="9" t="s">
        <v>1173</v>
      </c>
      <c r="G254" s="9" t="e">
        <f t="shared" si="13"/>
        <v>#N/A</v>
      </c>
      <c r="H254" s="9" t="e">
        <f>VLOOKUP(B254,[1]RXNS!$B:$D,3,FALSE)</f>
        <v>#N/A</v>
      </c>
      <c r="I254" s="9" t="e">
        <f>VLOOKUP(B254,[1]RXNS!$B:$E,4,FALSE)</f>
        <v>#N/A</v>
      </c>
      <c r="J254" s="9" t="s">
        <v>1174</v>
      </c>
      <c r="K254" s="13"/>
      <c r="L254" s="9" t="e">
        <f t="shared" si="14"/>
        <v>#N/A</v>
      </c>
      <c r="M254" s="9" t="e">
        <f t="shared" si="15"/>
        <v>#N/A</v>
      </c>
      <c r="N254" s="13"/>
      <c r="O254" s="9">
        <v>-1000</v>
      </c>
      <c r="P254" s="9">
        <v>1000</v>
      </c>
      <c r="Q254" s="13"/>
      <c r="R254" s="13"/>
      <c r="S254" s="13"/>
      <c r="T254" s="9" t="s">
        <v>61</v>
      </c>
      <c r="U254" s="13"/>
      <c r="V254" s="9" t="s">
        <v>35</v>
      </c>
      <c r="W254" s="13"/>
      <c r="X254" s="9">
        <v>2</v>
      </c>
    </row>
    <row r="255" spans="1:24">
      <c r="A255" s="13"/>
      <c r="B255" s="9" t="s">
        <v>1175</v>
      </c>
      <c r="C255" s="9" t="e">
        <f>VLOOKUP(B255,[1]RXNS!$B:$C,1,)</f>
        <v>#N/A</v>
      </c>
      <c r="D255" s="9" t="e">
        <f t="shared" si="12"/>
        <v>#N/A</v>
      </c>
      <c r="E255" s="9" t="e">
        <v>#N/A</v>
      </c>
      <c r="F255" s="9" t="s">
        <v>1176</v>
      </c>
      <c r="G255" s="9" t="e">
        <f t="shared" si="13"/>
        <v>#N/A</v>
      </c>
      <c r="H255" s="9" t="e">
        <f>VLOOKUP(B255,[1]RXNS!$B:$D,3,FALSE)</f>
        <v>#N/A</v>
      </c>
      <c r="I255" s="9" t="e">
        <f>VLOOKUP(B255,[1]RXNS!$B:$E,4,FALSE)</f>
        <v>#N/A</v>
      </c>
      <c r="J255" s="9" t="s">
        <v>1177</v>
      </c>
      <c r="K255" s="13"/>
      <c r="L255" s="9" t="e">
        <f t="shared" si="14"/>
        <v>#N/A</v>
      </c>
      <c r="M255" s="9" t="e">
        <f t="shared" si="15"/>
        <v>#N/A</v>
      </c>
      <c r="N255" s="13"/>
      <c r="O255" s="9">
        <v>-1000</v>
      </c>
      <c r="P255" s="9">
        <v>1000</v>
      </c>
      <c r="Q255" s="13"/>
      <c r="R255" s="13"/>
      <c r="S255" s="13"/>
      <c r="T255" s="9" t="s">
        <v>61</v>
      </c>
      <c r="U255" s="13"/>
      <c r="V255" s="9" t="s">
        <v>35</v>
      </c>
      <c r="W255" s="13"/>
      <c r="X255" s="9">
        <v>2</v>
      </c>
    </row>
    <row r="256" spans="1:24">
      <c r="A256" s="13"/>
      <c r="B256" s="9" t="s">
        <v>1178</v>
      </c>
      <c r="C256" s="9" t="e">
        <f>VLOOKUP(B256,[1]RXNS!$B:$C,1,)</f>
        <v>#N/A</v>
      </c>
      <c r="D256" s="9" t="e">
        <f t="shared" si="12"/>
        <v>#N/A</v>
      </c>
      <c r="E256" s="9" t="e">
        <v>#N/A</v>
      </c>
      <c r="F256" s="9" t="s">
        <v>1179</v>
      </c>
      <c r="G256" s="9" t="e">
        <f t="shared" si="13"/>
        <v>#N/A</v>
      </c>
      <c r="H256" s="9" t="e">
        <f>VLOOKUP(B256,[1]RXNS!$B:$D,3,FALSE)</f>
        <v>#N/A</v>
      </c>
      <c r="I256" s="9" t="e">
        <f>VLOOKUP(B256,[1]RXNS!$B:$E,4,FALSE)</f>
        <v>#N/A</v>
      </c>
      <c r="J256" s="9" t="s">
        <v>1180</v>
      </c>
      <c r="K256" s="13"/>
      <c r="L256" s="9" t="e">
        <f t="shared" si="14"/>
        <v>#N/A</v>
      </c>
      <c r="M256" s="9" t="e">
        <f t="shared" si="15"/>
        <v>#N/A</v>
      </c>
      <c r="N256" s="13"/>
      <c r="O256" s="9">
        <v>-1000</v>
      </c>
      <c r="P256" s="9">
        <v>1000</v>
      </c>
      <c r="Q256" s="13"/>
      <c r="R256" s="13"/>
      <c r="S256" s="13"/>
      <c r="T256" s="9" t="s">
        <v>61</v>
      </c>
      <c r="U256" s="13"/>
      <c r="V256" s="9" t="s">
        <v>35</v>
      </c>
      <c r="W256" s="13"/>
      <c r="X256" s="9">
        <v>2</v>
      </c>
    </row>
    <row r="257" spans="1:24">
      <c r="A257" s="13"/>
      <c r="B257" s="9" t="s">
        <v>1181</v>
      </c>
      <c r="C257" s="9" t="e">
        <f>VLOOKUP(B257,[1]RXNS!$B:$C,1,)</f>
        <v>#N/A</v>
      </c>
      <c r="D257" s="9" t="e">
        <f t="shared" si="12"/>
        <v>#N/A</v>
      </c>
      <c r="E257" s="9" t="e">
        <v>#N/A</v>
      </c>
      <c r="F257" s="9" t="s">
        <v>1182</v>
      </c>
      <c r="G257" s="9" t="e">
        <f t="shared" si="13"/>
        <v>#N/A</v>
      </c>
      <c r="H257" s="9" t="e">
        <f>VLOOKUP(B257,[1]RXNS!$B:$D,3,FALSE)</f>
        <v>#N/A</v>
      </c>
      <c r="I257" s="9" t="e">
        <f>VLOOKUP(B257,[1]RXNS!$B:$E,4,FALSE)</f>
        <v>#N/A</v>
      </c>
      <c r="J257" s="9" t="s">
        <v>1183</v>
      </c>
      <c r="K257" s="13"/>
      <c r="L257" s="9" t="e">
        <f t="shared" si="14"/>
        <v>#N/A</v>
      </c>
      <c r="M257" s="9" t="e">
        <f t="shared" si="15"/>
        <v>#N/A</v>
      </c>
      <c r="N257" s="13"/>
      <c r="O257" s="9">
        <v>-1000</v>
      </c>
      <c r="P257" s="9">
        <v>1000</v>
      </c>
      <c r="Q257" s="13"/>
      <c r="R257" s="13"/>
      <c r="S257" s="13"/>
      <c r="T257" s="9" t="s">
        <v>61</v>
      </c>
      <c r="U257" s="13"/>
      <c r="V257" s="9" t="s">
        <v>35</v>
      </c>
      <c r="W257" s="13"/>
      <c r="X257" s="9">
        <v>2</v>
      </c>
    </row>
    <row r="258" spans="1:24">
      <c r="A258" s="13"/>
      <c r="B258" s="9" t="s">
        <v>1184</v>
      </c>
      <c r="C258" s="9" t="e">
        <f>VLOOKUP(B258,[1]RXNS!$B:$C,1,)</f>
        <v>#N/A</v>
      </c>
      <c r="D258" s="9" t="e">
        <f t="shared" ref="D258:D321" si="16">EXACT(B258,C258)</f>
        <v>#N/A</v>
      </c>
      <c r="E258" s="9" t="e">
        <v>#N/A</v>
      </c>
      <c r="F258" s="9" t="s">
        <v>1185</v>
      </c>
      <c r="G258" s="9" t="e">
        <f t="shared" ref="G258:G321" si="17">EXACT(E258,F258)</f>
        <v>#N/A</v>
      </c>
      <c r="H258" s="9" t="e">
        <f>VLOOKUP(B258,[1]RXNS!$B:$D,3,FALSE)</f>
        <v>#N/A</v>
      </c>
      <c r="I258" s="9" t="e">
        <f>VLOOKUP(B258,[1]RXNS!$B:$E,4,FALSE)</f>
        <v>#N/A</v>
      </c>
      <c r="J258" s="9" t="s">
        <v>1186</v>
      </c>
      <c r="K258" s="13"/>
      <c r="L258" s="9" t="e">
        <f t="shared" ref="L258:L321" si="18">EXACT(H258,J258)</f>
        <v>#N/A</v>
      </c>
      <c r="M258" s="9" t="e">
        <f t="shared" ref="M258:M321" si="19">EXACT(I258,K258)</f>
        <v>#N/A</v>
      </c>
      <c r="N258" s="13"/>
      <c r="O258" s="9">
        <v>-1000</v>
      </c>
      <c r="P258" s="9">
        <v>1000</v>
      </c>
      <c r="Q258" s="13"/>
      <c r="R258" s="13"/>
      <c r="S258" s="13"/>
      <c r="T258" s="9" t="s">
        <v>61</v>
      </c>
      <c r="U258" s="13"/>
      <c r="V258" s="9" t="s">
        <v>35</v>
      </c>
      <c r="W258" s="13"/>
      <c r="X258" s="9">
        <v>2</v>
      </c>
    </row>
    <row r="259" spans="1:24">
      <c r="A259" s="13"/>
      <c r="B259" s="9" t="s">
        <v>1187</v>
      </c>
      <c r="C259" s="9" t="e">
        <f>VLOOKUP(B259,[1]RXNS!$B:$C,1,)</f>
        <v>#N/A</v>
      </c>
      <c r="D259" s="9" t="e">
        <f t="shared" si="16"/>
        <v>#N/A</v>
      </c>
      <c r="E259" s="9" t="e">
        <v>#N/A</v>
      </c>
      <c r="F259" s="9" t="s">
        <v>1188</v>
      </c>
      <c r="G259" s="9" t="e">
        <f t="shared" si="17"/>
        <v>#N/A</v>
      </c>
      <c r="H259" s="9" t="e">
        <f>VLOOKUP(B259,[1]RXNS!$B:$D,3,FALSE)</f>
        <v>#N/A</v>
      </c>
      <c r="I259" s="9" t="e">
        <f>VLOOKUP(B259,[1]RXNS!$B:$E,4,FALSE)</f>
        <v>#N/A</v>
      </c>
      <c r="J259" s="9" t="s">
        <v>1189</v>
      </c>
      <c r="K259" s="13"/>
      <c r="L259" s="9" t="e">
        <f t="shared" si="18"/>
        <v>#N/A</v>
      </c>
      <c r="M259" s="9" t="e">
        <f t="shared" si="19"/>
        <v>#N/A</v>
      </c>
      <c r="N259" s="13"/>
      <c r="O259" s="9">
        <v>-1000</v>
      </c>
      <c r="P259" s="9">
        <v>1000</v>
      </c>
      <c r="Q259" s="13"/>
      <c r="R259" s="13"/>
      <c r="S259" s="13"/>
      <c r="T259" s="9" t="s">
        <v>61</v>
      </c>
      <c r="U259" s="13"/>
      <c r="V259" s="9" t="s">
        <v>35</v>
      </c>
      <c r="W259" s="13"/>
      <c r="X259" s="9">
        <v>2</v>
      </c>
    </row>
    <row r="260" spans="1:24">
      <c r="A260" s="13"/>
      <c r="B260" s="9" t="s">
        <v>1190</v>
      </c>
      <c r="C260" s="9" t="e">
        <f>VLOOKUP(B260,[1]RXNS!$B:$C,1,)</f>
        <v>#N/A</v>
      </c>
      <c r="D260" s="9" t="e">
        <f t="shared" si="16"/>
        <v>#N/A</v>
      </c>
      <c r="E260" s="9" t="e">
        <v>#N/A</v>
      </c>
      <c r="F260" s="9" t="s">
        <v>1191</v>
      </c>
      <c r="G260" s="9" t="e">
        <f t="shared" si="17"/>
        <v>#N/A</v>
      </c>
      <c r="H260" s="9" t="e">
        <f>VLOOKUP(B260,[1]RXNS!$B:$D,3,FALSE)</f>
        <v>#N/A</v>
      </c>
      <c r="I260" s="9" t="e">
        <f>VLOOKUP(B260,[1]RXNS!$B:$E,4,FALSE)</f>
        <v>#N/A</v>
      </c>
      <c r="J260" s="9" t="s">
        <v>1192</v>
      </c>
      <c r="K260" s="13"/>
      <c r="L260" s="9" t="e">
        <f t="shared" si="18"/>
        <v>#N/A</v>
      </c>
      <c r="M260" s="9" t="e">
        <f t="shared" si="19"/>
        <v>#N/A</v>
      </c>
      <c r="N260" s="13"/>
      <c r="O260" s="9">
        <v>-1000</v>
      </c>
      <c r="P260" s="9">
        <v>1000</v>
      </c>
      <c r="Q260" s="13"/>
      <c r="R260" s="13"/>
      <c r="S260" s="13"/>
      <c r="T260" s="9" t="s">
        <v>61</v>
      </c>
      <c r="U260" s="13"/>
      <c r="V260" s="9" t="s">
        <v>35</v>
      </c>
      <c r="W260" s="13"/>
      <c r="X260" s="9">
        <v>2</v>
      </c>
    </row>
    <row r="261" spans="1:24">
      <c r="A261" s="13"/>
      <c r="B261" s="9" t="s">
        <v>1193</v>
      </c>
      <c r="C261" s="9" t="str">
        <f>VLOOKUP(B261,[1]RXNS!$B:$C,1,)</f>
        <v>FA120ACPH</v>
      </c>
      <c r="D261" s="9" t="b">
        <f t="shared" si="16"/>
        <v>1</v>
      </c>
      <c r="E261" s="9" t="s">
        <v>1194</v>
      </c>
      <c r="F261" s="9" t="s">
        <v>1194</v>
      </c>
      <c r="G261" s="9" t="b">
        <f t="shared" si="17"/>
        <v>1</v>
      </c>
      <c r="H261" s="9" t="str">
        <f>VLOOKUP(B261,[1]RXNS!$B:$D,3,FALSE)</f>
        <v>Dodecanoyl-ACP (n-C12:0ACP)[c] + H2O[c] &lt;=&gt; acyl carrier protein[c] + Dodecanoate[c] + H+[c]</v>
      </c>
      <c r="I261" s="9" t="s">
        <v>1195</v>
      </c>
      <c r="J261" s="9" t="s">
        <v>1196</v>
      </c>
      <c r="K261" s="9" t="s">
        <v>1195</v>
      </c>
      <c r="L261" s="9" t="b">
        <f t="shared" si="18"/>
        <v>1</v>
      </c>
      <c r="M261" s="9" t="b">
        <f t="shared" si="19"/>
        <v>1</v>
      </c>
      <c r="N261" s="9" t="s">
        <v>1197</v>
      </c>
      <c r="O261" s="9">
        <v>-1000</v>
      </c>
      <c r="P261" s="9">
        <v>1000</v>
      </c>
      <c r="Q261" s="13"/>
      <c r="R261" s="13"/>
      <c r="S261" s="13"/>
      <c r="T261" s="9" t="s">
        <v>34</v>
      </c>
      <c r="U261" s="13"/>
      <c r="V261" s="9" t="s">
        <v>30</v>
      </c>
      <c r="W261" s="13"/>
      <c r="X261" s="9">
        <v>2</v>
      </c>
    </row>
    <row r="262" spans="1:24">
      <c r="A262" s="13"/>
      <c r="B262" s="9" t="s">
        <v>1198</v>
      </c>
      <c r="C262" s="9" t="str">
        <f>VLOOKUP(B262,[1]RXNS!$B:$C,1,)</f>
        <v>FA140ACPH</v>
      </c>
      <c r="D262" s="9" t="b">
        <f t="shared" si="16"/>
        <v>1</v>
      </c>
      <c r="E262" s="9" t="s">
        <v>1194</v>
      </c>
      <c r="F262" s="9" t="s">
        <v>1194</v>
      </c>
      <c r="G262" s="9" t="b">
        <f t="shared" si="17"/>
        <v>1</v>
      </c>
      <c r="H262" s="9" t="str">
        <f>VLOOKUP(B262,[1]RXNS!$B:$D,3,FALSE)</f>
        <v>H2O[c] + Myristoyl-ACP (n-C14:0ACP)[c] &lt;=&gt; acyl carrier protein[c] + H+[c] + tetradecanoate[c]</v>
      </c>
      <c r="I262" s="9" t="s">
        <v>1195</v>
      </c>
      <c r="J262" s="9" t="s">
        <v>1199</v>
      </c>
      <c r="K262" s="9" t="s">
        <v>1195</v>
      </c>
      <c r="L262" s="9" t="b">
        <f t="shared" si="18"/>
        <v>1</v>
      </c>
      <c r="M262" s="9" t="b">
        <f t="shared" si="19"/>
        <v>1</v>
      </c>
      <c r="N262" s="9" t="s">
        <v>1197</v>
      </c>
      <c r="O262" s="9">
        <v>-1000</v>
      </c>
      <c r="P262" s="9">
        <v>1000</v>
      </c>
      <c r="Q262" s="13"/>
      <c r="R262" s="13"/>
      <c r="S262" s="13"/>
      <c r="T262" s="9" t="s">
        <v>34</v>
      </c>
      <c r="U262" s="13"/>
      <c r="V262" s="9" t="s">
        <v>30</v>
      </c>
      <c r="W262" s="13"/>
      <c r="X262" s="9">
        <v>2</v>
      </c>
    </row>
    <row r="263" spans="1:24">
      <c r="A263" s="13"/>
      <c r="B263" s="9" t="s">
        <v>1200</v>
      </c>
      <c r="C263" s="9" t="str">
        <f>VLOOKUP(B263,[1]RXNS!$B:$C,1,)</f>
        <v>FA141ACPH</v>
      </c>
      <c r="D263" s="9" t="b">
        <f t="shared" si="16"/>
        <v>1</v>
      </c>
      <c r="E263" s="9" t="s">
        <v>1194</v>
      </c>
      <c r="F263" s="9" t="s">
        <v>1194</v>
      </c>
      <c r="G263" s="9" t="b">
        <f t="shared" si="17"/>
        <v>1</v>
      </c>
      <c r="H263" s="9" t="str">
        <f>VLOOKUP(B263,[1]RXNS!$B:$D,3,FALSE)</f>
        <v>H2O[c] + Tetradecenoyl-ACP (n-C14:1ACP)[c] &lt;=&gt; acyl carrier protein[c] + H+[c] + tetradecenoate (n-C14:1)[c]</v>
      </c>
      <c r="I263" s="9" t="s">
        <v>1195</v>
      </c>
      <c r="J263" s="9" t="s">
        <v>1201</v>
      </c>
      <c r="K263" s="9" t="s">
        <v>1195</v>
      </c>
      <c r="L263" s="9" t="b">
        <f t="shared" si="18"/>
        <v>1</v>
      </c>
      <c r="M263" s="9" t="b">
        <f t="shared" si="19"/>
        <v>1</v>
      </c>
      <c r="N263" s="9" t="s">
        <v>1197</v>
      </c>
      <c r="O263" s="9">
        <v>-1000</v>
      </c>
      <c r="P263" s="9">
        <v>1000</v>
      </c>
      <c r="Q263" s="13"/>
      <c r="R263" s="13"/>
      <c r="S263" s="13"/>
      <c r="T263" s="9" t="s">
        <v>34</v>
      </c>
      <c r="U263" s="13"/>
      <c r="V263" s="9" t="s">
        <v>30</v>
      </c>
      <c r="W263" s="13"/>
      <c r="X263" s="9">
        <v>2</v>
      </c>
    </row>
    <row r="264" spans="1:24">
      <c r="A264" s="13"/>
      <c r="B264" s="9" t="s">
        <v>1202</v>
      </c>
      <c r="C264" s="9" t="str">
        <f>VLOOKUP(B264,[1]RXNS!$B:$C,1,)</f>
        <v>FA160ACPH</v>
      </c>
      <c r="D264" s="9" t="b">
        <f t="shared" si="16"/>
        <v>1</v>
      </c>
      <c r="E264" s="9" t="s">
        <v>1194</v>
      </c>
      <c r="F264" s="9" t="s">
        <v>1194</v>
      </c>
      <c r="G264" s="9" t="b">
        <f t="shared" si="17"/>
        <v>1</v>
      </c>
      <c r="H264" s="9" t="str">
        <f>VLOOKUP(B264,[1]RXNS!$B:$D,3,FALSE)</f>
        <v>H2O[c] + Palmitoyl-ACP (n-C16:0ACP)[c] &lt;=&gt; acyl carrier protein[c] + H+[c] + Hexadecanoate (n-C16:0)[c]</v>
      </c>
      <c r="I264" s="9" t="s">
        <v>1195</v>
      </c>
      <c r="J264" s="9" t="s">
        <v>1203</v>
      </c>
      <c r="K264" s="9" t="s">
        <v>1195</v>
      </c>
      <c r="L264" s="9" t="b">
        <f t="shared" si="18"/>
        <v>1</v>
      </c>
      <c r="M264" s="9" t="b">
        <f t="shared" si="19"/>
        <v>1</v>
      </c>
      <c r="N264" s="9" t="s">
        <v>1197</v>
      </c>
      <c r="O264" s="9">
        <v>-1000</v>
      </c>
      <c r="P264" s="9">
        <v>1000</v>
      </c>
      <c r="Q264" s="13"/>
      <c r="R264" s="13"/>
      <c r="S264" s="13"/>
      <c r="T264" s="9" t="s">
        <v>34</v>
      </c>
      <c r="U264" s="13"/>
      <c r="V264" s="9" t="s">
        <v>30</v>
      </c>
      <c r="W264" s="13"/>
      <c r="X264" s="9">
        <v>2</v>
      </c>
    </row>
    <row r="265" spans="1:24">
      <c r="A265" s="13"/>
      <c r="B265" s="9" t="s">
        <v>1204</v>
      </c>
      <c r="C265" s="9" t="str">
        <f>VLOOKUP(B265,[1]RXNS!$B:$C,1,)</f>
        <v>FA161ACPH</v>
      </c>
      <c r="D265" s="9" t="b">
        <f t="shared" si="16"/>
        <v>1</v>
      </c>
      <c r="E265" s="9" t="s">
        <v>1194</v>
      </c>
      <c r="F265" s="9" t="s">
        <v>1194</v>
      </c>
      <c r="G265" s="9" t="b">
        <f t="shared" si="17"/>
        <v>1</v>
      </c>
      <c r="H265" s="9" t="str">
        <f>VLOOKUP(B265,[1]RXNS!$B:$D,3,FALSE)</f>
        <v>H2O[c] + Hexadecenoyl-ACP (n-C16:1ACP)[c] &lt;=&gt; acyl carrier protein[c] + H+[c] + hexadecenoate (n-C16:1)[c]</v>
      </c>
      <c r="I265" s="9" t="s">
        <v>1195</v>
      </c>
      <c r="J265" s="9" t="s">
        <v>1205</v>
      </c>
      <c r="K265" s="9" t="s">
        <v>1195</v>
      </c>
      <c r="L265" s="9" t="b">
        <f t="shared" si="18"/>
        <v>1</v>
      </c>
      <c r="M265" s="9" t="b">
        <f t="shared" si="19"/>
        <v>1</v>
      </c>
      <c r="N265" s="9" t="s">
        <v>1197</v>
      </c>
      <c r="O265" s="9">
        <v>-1000</v>
      </c>
      <c r="P265" s="9">
        <v>1000</v>
      </c>
      <c r="Q265" s="13"/>
      <c r="R265" s="13"/>
      <c r="S265" s="13"/>
      <c r="T265" s="9" t="s">
        <v>34</v>
      </c>
      <c r="U265" s="13"/>
      <c r="V265" s="9" t="s">
        <v>30</v>
      </c>
      <c r="W265" s="13"/>
      <c r="X265" s="9">
        <v>2</v>
      </c>
    </row>
    <row r="266" spans="1:24">
      <c r="A266" s="13"/>
      <c r="B266" s="9" t="s">
        <v>1206</v>
      </c>
      <c r="C266" s="9" t="str">
        <f>VLOOKUP(B266,[1]RXNS!$B:$C,1,)</f>
        <v>FA161tr</v>
      </c>
      <c r="D266" s="9" t="b">
        <f t="shared" si="16"/>
        <v>1</v>
      </c>
      <c r="E266" s="9" t="s">
        <v>1207</v>
      </c>
      <c r="F266" s="9" t="s">
        <v>1207</v>
      </c>
      <c r="G266" s="9" t="b">
        <f t="shared" si="17"/>
        <v>1</v>
      </c>
      <c r="H266" s="9" t="str">
        <f>VLOOKUP(B266,[1]RXNS!$B:$D,3,FALSE)</f>
        <v>Hexadecenoate (n-C16:1)[e] &lt;=&gt; hexadecenoate (n-C16:1)[c]</v>
      </c>
      <c r="I266" s="9">
        <f>VLOOKUP(B266,[1]RXNS!$B:$E,4,FALSE)</f>
        <v>0</v>
      </c>
      <c r="J266" s="9" t="s">
        <v>1208</v>
      </c>
      <c r="K266" s="13"/>
      <c r="L266" s="9" t="b">
        <f t="shared" si="18"/>
        <v>1</v>
      </c>
      <c r="M266" s="9" t="b">
        <f t="shared" si="19"/>
        <v>0</v>
      </c>
      <c r="N266" s="13"/>
      <c r="O266" s="9">
        <v>-1000</v>
      </c>
      <c r="P266" s="9">
        <v>1000</v>
      </c>
      <c r="Q266" s="13"/>
      <c r="R266" s="13"/>
      <c r="S266" s="13"/>
      <c r="T266" s="9" t="s">
        <v>146</v>
      </c>
      <c r="U266" s="13"/>
      <c r="V266" s="9" t="s">
        <v>35</v>
      </c>
      <c r="W266" s="13"/>
      <c r="X266" s="9">
        <v>2</v>
      </c>
    </row>
    <row r="267" spans="1:24">
      <c r="A267" s="13"/>
      <c r="B267" s="9" t="s">
        <v>1209</v>
      </c>
      <c r="C267" s="9" t="str">
        <f>VLOOKUP(B267,[1]RXNS!$B:$C,1,)</f>
        <v>FA180ACPH</v>
      </c>
      <c r="D267" s="9" t="b">
        <f t="shared" si="16"/>
        <v>1</v>
      </c>
      <c r="E267" s="9" t="s">
        <v>1194</v>
      </c>
      <c r="F267" s="9" t="s">
        <v>1194</v>
      </c>
      <c r="G267" s="9" t="b">
        <f t="shared" si="17"/>
        <v>1</v>
      </c>
      <c r="H267" s="9" t="str">
        <f>VLOOKUP(B267,[1]RXNS!$B:$D,3,FALSE)</f>
        <v>H2O[c] + Octadecanoyl-ACP (n-C18:0ACP)[c] &lt;=&gt; acyl carrier protein[c] + H+[c] + octadecanoate (n-C18:0)[c]</v>
      </c>
      <c r="I267" s="9" t="s">
        <v>1195</v>
      </c>
      <c r="J267" s="9" t="s">
        <v>1210</v>
      </c>
      <c r="K267" s="9" t="s">
        <v>1195</v>
      </c>
      <c r="L267" s="9" t="b">
        <f t="shared" si="18"/>
        <v>1</v>
      </c>
      <c r="M267" s="9" t="b">
        <f t="shared" si="19"/>
        <v>1</v>
      </c>
      <c r="N267" s="9" t="s">
        <v>1197</v>
      </c>
      <c r="O267" s="9">
        <v>-1000</v>
      </c>
      <c r="P267" s="9">
        <v>1000</v>
      </c>
      <c r="Q267" s="13"/>
      <c r="R267" s="13"/>
      <c r="S267" s="13"/>
      <c r="T267" s="9" t="s">
        <v>34</v>
      </c>
      <c r="U267" s="13"/>
      <c r="V267" s="9" t="s">
        <v>30</v>
      </c>
      <c r="W267" s="13"/>
      <c r="X267" s="9">
        <v>2</v>
      </c>
    </row>
    <row r="268" spans="1:24">
      <c r="A268" s="13"/>
      <c r="B268" s="9" t="s">
        <v>1211</v>
      </c>
      <c r="C268" s="9" t="str">
        <f>VLOOKUP(B268,[1]RXNS!$B:$C,1,)</f>
        <v>FA181ACPH</v>
      </c>
      <c r="D268" s="9" t="b">
        <f t="shared" si="16"/>
        <v>1</v>
      </c>
      <c r="E268" s="9" t="s">
        <v>1194</v>
      </c>
      <c r="F268" s="9" t="s">
        <v>1194</v>
      </c>
      <c r="G268" s="9" t="b">
        <f t="shared" si="17"/>
        <v>1</v>
      </c>
      <c r="H268" s="9" t="str">
        <f>VLOOKUP(B268,[1]RXNS!$B:$D,3,FALSE)</f>
        <v>H2O[c] + Octadecenoyl-ACP (n-C18:1ACP)[c] &lt;=&gt; acyl carrier protein[c] + H+[c] + octadecenoate (n-C18:1)[c]</v>
      </c>
      <c r="I268" s="9" t="s">
        <v>1195</v>
      </c>
      <c r="J268" s="9" t="s">
        <v>1212</v>
      </c>
      <c r="K268" s="9" t="s">
        <v>1195</v>
      </c>
      <c r="L268" s="9" t="b">
        <f t="shared" si="18"/>
        <v>1</v>
      </c>
      <c r="M268" s="9" t="b">
        <f t="shared" si="19"/>
        <v>1</v>
      </c>
      <c r="N268" s="9" t="s">
        <v>1197</v>
      </c>
      <c r="O268" s="9">
        <v>-1000</v>
      </c>
      <c r="P268" s="9">
        <v>1000</v>
      </c>
      <c r="Q268" s="13"/>
      <c r="R268" s="13"/>
      <c r="S268" s="13"/>
      <c r="T268" s="9" t="s">
        <v>34</v>
      </c>
      <c r="U268" s="13"/>
      <c r="V268" s="9" t="s">
        <v>30</v>
      </c>
      <c r="W268" s="13"/>
      <c r="X268" s="9">
        <v>2</v>
      </c>
    </row>
    <row r="269" spans="1:24">
      <c r="A269" s="13"/>
      <c r="B269" s="9" t="s">
        <v>1213</v>
      </c>
      <c r="C269" s="9" t="str">
        <f>VLOOKUP(B269,[1]RXNS!$B:$C,1,)</f>
        <v>FA182ACPH</v>
      </c>
      <c r="D269" s="9" t="b">
        <f t="shared" si="16"/>
        <v>1</v>
      </c>
      <c r="E269" s="9" t="s">
        <v>1194</v>
      </c>
      <c r="F269" s="9" t="s">
        <v>1194</v>
      </c>
      <c r="G269" s="9" t="b">
        <f t="shared" si="17"/>
        <v>1</v>
      </c>
      <c r="H269" s="9" t="str">
        <f>VLOOKUP(B269,[1]RXNS!$B:$D,3,FALSE)</f>
        <v>H2O[c] + Octadecynoyl-ACP (n-C18:2ACP)[c] &lt;=&gt; acyl carrier protein[c] + H+[c] + octadecynoate (n-C18:2)[c]</v>
      </c>
      <c r="I269" s="9" t="s">
        <v>1195</v>
      </c>
      <c r="J269" s="9" t="s">
        <v>1214</v>
      </c>
      <c r="K269" s="9" t="s">
        <v>1195</v>
      </c>
      <c r="L269" s="9" t="b">
        <f t="shared" si="18"/>
        <v>1</v>
      </c>
      <c r="M269" s="9" t="b">
        <f t="shared" si="19"/>
        <v>1</v>
      </c>
      <c r="N269" s="9" t="s">
        <v>1197</v>
      </c>
      <c r="O269" s="9">
        <v>-1000</v>
      </c>
      <c r="P269" s="9">
        <v>1000</v>
      </c>
      <c r="Q269" s="13"/>
      <c r="R269" s="13"/>
      <c r="S269" s="13"/>
      <c r="T269" s="9" t="s">
        <v>34</v>
      </c>
      <c r="U269" s="13"/>
      <c r="V269" s="9" t="s">
        <v>30</v>
      </c>
      <c r="W269" s="13"/>
      <c r="X269" s="9">
        <v>2</v>
      </c>
    </row>
    <row r="270" spans="1:24">
      <c r="A270" s="13"/>
      <c r="B270" s="9" t="s">
        <v>1215</v>
      </c>
      <c r="C270" s="9" t="str">
        <f>VLOOKUP(B270,[1]RXNS!$B:$C,1,)</f>
        <v>FA182tr</v>
      </c>
      <c r="D270" s="9" t="b">
        <f t="shared" si="16"/>
        <v>1</v>
      </c>
      <c r="E270" s="9" t="s">
        <v>1216</v>
      </c>
      <c r="F270" s="9" t="s">
        <v>1216</v>
      </c>
      <c r="G270" s="9" t="b">
        <f t="shared" si="17"/>
        <v>1</v>
      </c>
      <c r="H270" s="9" t="str">
        <f>VLOOKUP(B270,[1]RXNS!$B:$D,3,FALSE)</f>
        <v>Octadecadienoate[e] &lt;=&gt; octadecynoate (n-C18:2)[c]</v>
      </c>
      <c r="I270" s="9">
        <f>VLOOKUP(B270,[1]RXNS!$B:$E,4,FALSE)</f>
        <v>0</v>
      </c>
      <c r="J270" s="9" t="s">
        <v>1217</v>
      </c>
      <c r="K270" s="13"/>
      <c r="L270" s="9" t="b">
        <f t="shared" si="18"/>
        <v>1</v>
      </c>
      <c r="M270" s="9" t="b">
        <f t="shared" si="19"/>
        <v>0</v>
      </c>
      <c r="N270" s="13"/>
      <c r="O270" s="9">
        <v>-1000</v>
      </c>
      <c r="P270" s="9">
        <v>1000</v>
      </c>
      <c r="Q270" s="13"/>
      <c r="R270" s="13"/>
      <c r="S270" s="13"/>
      <c r="T270" s="9" t="s">
        <v>146</v>
      </c>
      <c r="U270" s="13"/>
      <c r="V270" s="9" t="s">
        <v>35</v>
      </c>
      <c r="W270" s="13"/>
      <c r="X270" s="9">
        <v>2</v>
      </c>
    </row>
    <row r="271" spans="1:24">
      <c r="A271" s="13"/>
      <c r="B271" s="9" t="s">
        <v>1218</v>
      </c>
      <c r="C271" s="9" t="str">
        <f>VLOOKUP(B271,[1]RXNS!$B:$C,1,)</f>
        <v>FA183tr</v>
      </c>
      <c r="D271" s="9" t="b">
        <f t="shared" si="16"/>
        <v>1</v>
      </c>
      <c r="E271" s="9" t="s">
        <v>1219</v>
      </c>
      <c r="F271" s="9" t="s">
        <v>1219</v>
      </c>
      <c r="G271" s="9" t="b">
        <f t="shared" si="17"/>
        <v>1</v>
      </c>
      <c r="H271" s="9" t="str">
        <f>VLOOKUP(B271,[1]RXNS!$B:$D,3,FALSE)</f>
        <v>octadecynoate (n-C18:3)[e] &lt;=&gt; octadecynoate (n-C18:3)[c]</v>
      </c>
      <c r="I271" s="9">
        <f>VLOOKUP(B271,[1]RXNS!$B:$E,4,FALSE)</f>
        <v>0</v>
      </c>
      <c r="J271" s="9" t="s">
        <v>1220</v>
      </c>
      <c r="K271" s="13"/>
      <c r="L271" s="9" t="b">
        <f t="shared" si="18"/>
        <v>1</v>
      </c>
      <c r="M271" s="9" t="b">
        <f t="shared" si="19"/>
        <v>0</v>
      </c>
      <c r="N271" s="13"/>
      <c r="O271" s="9">
        <v>-1000</v>
      </c>
      <c r="P271" s="9">
        <v>1000</v>
      </c>
      <c r="Q271" s="13"/>
      <c r="R271" s="13"/>
      <c r="S271" s="13"/>
      <c r="T271" s="9" t="s">
        <v>146</v>
      </c>
      <c r="U271" s="13"/>
      <c r="V271" s="9" t="s">
        <v>35</v>
      </c>
      <c r="W271" s="13"/>
      <c r="X271" s="9">
        <v>2</v>
      </c>
    </row>
    <row r="272" spans="1:24">
      <c r="A272" s="13"/>
      <c r="B272" s="9" t="s">
        <v>1221</v>
      </c>
      <c r="C272" s="9" t="str">
        <f>VLOOKUP(B272,[1]RXNS!$B:$C,1,)</f>
        <v>FBA</v>
      </c>
      <c r="D272" s="9" t="b">
        <f t="shared" si="16"/>
        <v>1</v>
      </c>
      <c r="E272" s="9" t="s">
        <v>1222</v>
      </c>
      <c r="F272" s="9" t="s">
        <v>1222</v>
      </c>
      <c r="G272" s="9" t="b">
        <f t="shared" si="17"/>
        <v>1</v>
      </c>
      <c r="H272" s="9" t="str">
        <f>VLOOKUP(B272,[1]RXNS!$B:$D,3,FALSE)</f>
        <v>D-Fructose 1,6-bisphosphate[c] &lt;=&gt; Dihydroxyacetone phosphate[c] + Glyceraldehyde 3-phosphate[c]</v>
      </c>
      <c r="I272" s="9" t="s">
        <v>1223</v>
      </c>
      <c r="J272" s="9" t="s">
        <v>1224</v>
      </c>
      <c r="K272" s="9" t="s">
        <v>1223</v>
      </c>
      <c r="L272" s="9" t="b">
        <f t="shared" si="18"/>
        <v>1</v>
      </c>
      <c r="M272" s="9" t="b">
        <f t="shared" si="19"/>
        <v>1</v>
      </c>
      <c r="N272" s="13"/>
      <c r="O272" s="9">
        <v>-1000</v>
      </c>
      <c r="P272" s="9">
        <v>1000</v>
      </c>
      <c r="Q272" s="13"/>
      <c r="R272" s="13"/>
      <c r="S272" s="13"/>
      <c r="T272" s="9" t="s">
        <v>330</v>
      </c>
      <c r="U272" s="13"/>
      <c r="V272" s="9" t="s">
        <v>35</v>
      </c>
      <c r="W272" s="13"/>
      <c r="X272" s="9">
        <v>2</v>
      </c>
    </row>
    <row r="273" spans="1:24">
      <c r="A273" s="13"/>
      <c r="B273" s="9" t="s">
        <v>1225</v>
      </c>
      <c r="C273" s="9" t="str">
        <f>VLOOKUP(B273,[1]RXNS!$B:$C,1,)</f>
        <v>FCLT</v>
      </c>
      <c r="D273" s="9" t="b">
        <f t="shared" si="16"/>
        <v>1</v>
      </c>
      <c r="E273" s="9" t="s">
        <v>1226</v>
      </c>
      <c r="F273" s="9" t="s">
        <v>1226</v>
      </c>
      <c r="G273" s="9" t="b">
        <f t="shared" si="17"/>
        <v>1</v>
      </c>
      <c r="H273" s="9" t="str">
        <f>VLOOKUP(B273,[1]RXNS!$B:$D,3,FALSE)</f>
        <v>Fe2+[c] + Protoporphyrin[c] =&gt; 2 H+[c] + Protoheme[c]</v>
      </c>
      <c r="I273" s="9" t="s">
        <v>1227</v>
      </c>
      <c r="J273" s="9" t="s">
        <v>1228</v>
      </c>
      <c r="K273" s="9" t="s">
        <v>1227</v>
      </c>
      <c r="L273" s="9" t="b">
        <f t="shared" si="18"/>
        <v>1</v>
      </c>
      <c r="M273" s="9" t="b">
        <f t="shared" si="19"/>
        <v>1</v>
      </c>
      <c r="N273" s="13"/>
      <c r="O273" s="9">
        <v>0</v>
      </c>
      <c r="P273" s="9">
        <v>1000</v>
      </c>
      <c r="Q273" s="13"/>
      <c r="R273" s="13"/>
      <c r="S273" s="13"/>
      <c r="T273" s="9" t="s">
        <v>85</v>
      </c>
      <c r="U273" s="13"/>
      <c r="V273" s="9" t="s">
        <v>35</v>
      </c>
      <c r="W273" s="13"/>
      <c r="X273" s="9">
        <v>2</v>
      </c>
    </row>
    <row r="274" spans="1:24">
      <c r="A274" s="13"/>
      <c r="B274" s="9" t="s">
        <v>1229</v>
      </c>
      <c r="C274" s="9" t="str">
        <f>VLOOKUP(B274,[1]RXNS!$B:$C,1,)</f>
        <v>FLVR</v>
      </c>
      <c r="D274" s="9" t="b">
        <f t="shared" si="16"/>
        <v>1</v>
      </c>
      <c r="E274" s="9" t="s">
        <v>1230</v>
      </c>
      <c r="F274" s="9" t="s">
        <v>1230</v>
      </c>
      <c r="G274" s="9" t="b">
        <f t="shared" si="17"/>
        <v>1</v>
      </c>
      <c r="H274" s="9" t="str">
        <f>VLOOKUP(B274,[1]RXNS!$B:$D,3,FALSE)</f>
        <v>H+[c] + Nicotinamide adenine dinucleotide phosphate - reduced[c] + Riboflavin[c] =&gt; Nicotinamide adenine dinucleotide phosphate[c] + Reduced riboflavin[c]</v>
      </c>
      <c r="I274" s="9" t="s">
        <v>1231</v>
      </c>
      <c r="J274" s="9" t="s">
        <v>1232</v>
      </c>
      <c r="K274" s="9" t="s">
        <v>1231</v>
      </c>
      <c r="L274" s="9" t="b">
        <f t="shared" si="18"/>
        <v>1</v>
      </c>
      <c r="M274" s="9" t="b">
        <f t="shared" si="19"/>
        <v>1</v>
      </c>
      <c r="N274" s="9" t="s">
        <v>1233</v>
      </c>
      <c r="O274" s="9">
        <v>0</v>
      </c>
      <c r="P274" s="9">
        <v>1000</v>
      </c>
      <c r="Q274" s="13"/>
      <c r="R274" s="13"/>
      <c r="S274" s="9" t="s">
        <v>1234</v>
      </c>
      <c r="T274" s="9" t="s">
        <v>387</v>
      </c>
      <c r="U274" s="13"/>
      <c r="V274" s="9" t="s">
        <v>30</v>
      </c>
      <c r="W274" s="13"/>
      <c r="X274" s="9">
        <v>2</v>
      </c>
    </row>
    <row r="275" spans="1:24">
      <c r="A275" s="13"/>
      <c r="B275" s="9" t="s">
        <v>1235</v>
      </c>
      <c r="C275" s="9" t="str">
        <f>VLOOKUP(B275,[1]RXNS!$B:$C,1,)</f>
        <v>FMETDF</v>
      </c>
      <c r="D275" s="9" t="b">
        <f t="shared" si="16"/>
        <v>1</v>
      </c>
      <c r="E275" s="9" t="s">
        <v>1236</v>
      </c>
      <c r="F275" s="9" t="s">
        <v>1236</v>
      </c>
      <c r="G275" s="9" t="b">
        <f t="shared" si="17"/>
        <v>1</v>
      </c>
      <c r="H275" s="9" t="str">
        <f>VLOOKUP(B275,[1]RXNS!$B:$D,3,FALSE)</f>
        <v>N-Formyl-L-methionine[c] + H2O[c] =&gt; Formate[c] + L-Methionine[c]</v>
      </c>
      <c r="I275" s="9" t="s">
        <v>1237</v>
      </c>
      <c r="J275" s="9" t="s">
        <v>1238</v>
      </c>
      <c r="K275" s="9" t="s">
        <v>1237</v>
      </c>
      <c r="L275" s="9" t="b">
        <f t="shared" si="18"/>
        <v>1</v>
      </c>
      <c r="M275" s="9" t="b">
        <f t="shared" si="19"/>
        <v>1</v>
      </c>
      <c r="N275" s="9" t="s">
        <v>1239</v>
      </c>
      <c r="O275" s="9">
        <v>0</v>
      </c>
      <c r="P275" s="9">
        <v>1000</v>
      </c>
      <c r="Q275" s="13"/>
      <c r="R275" s="13"/>
      <c r="S275" s="9" t="s">
        <v>1240</v>
      </c>
      <c r="T275" s="9" t="s">
        <v>239</v>
      </c>
      <c r="U275" s="13"/>
      <c r="V275" s="9" t="s">
        <v>30</v>
      </c>
      <c r="W275" s="13"/>
      <c r="X275" s="9">
        <v>2</v>
      </c>
    </row>
    <row r="276" spans="1:24">
      <c r="A276" s="13"/>
      <c r="B276" s="9" t="s">
        <v>1241</v>
      </c>
      <c r="C276" s="9" t="str">
        <f>VLOOKUP(B276,[1]RXNS!$B:$C,1,)</f>
        <v>FMETTRS</v>
      </c>
      <c r="D276" s="9" t="b">
        <f t="shared" si="16"/>
        <v>1</v>
      </c>
      <c r="E276" s="9" t="s">
        <v>1242</v>
      </c>
      <c r="F276" s="9" t="s">
        <v>1242</v>
      </c>
      <c r="G276" s="9" t="b">
        <f t="shared" si="17"/>
        <v>1</v>
      </c>
      <c r="H276" s="9" t="str">
        <f>VLOOKUP(B276,[1]RXNS!$B:$D,3,FALSE)</f>
        <v>10-Formyltetrahydrofolate[c] + L-Methionyl-tRNA (Met)[c] =&gt; N-Formylmethionyl-tRNA[c] + H+[c] + 5,6,7,8-Tetrahydrofolate[c]</v>
      </c>
      <c r="I276" s="9" t="s">
        <v>1243</v>
      </c>
      <c r="J276" s="9" t="s">
        <v>1244</v>
      </c>
      <c r="K276" s="9" t="s">
        <v>1243</v>
      </c>
      <c r="L276" s="9" t="b">
        <f t="shared" si="18"/>
        <v>1</v>
      </c>
      <c r="M276" s="9" t="b">
        <f t="shared" si="19"/>
        <v>1</v>
      </c>
      <c r="N276" s="9" t="s">
        <v>1245</v>
      </c>
      <c r="O276" s="9">
        <v>0</v>
      </c>
      <c r="P276" s="9">
        <v>1000</v>
      </c>
      <c r="Q276" s="13"/>
      <c r="R276" s="13"/>
      <c r="S276" s="13"/>
      <c r="T276" s="9" t="s">
        <v>1246</v>
      </c>
      <c r="U276" s="13"/>
      <c r="V276" s="9" t="s">
        <v>30</v>
      </c>
      <c r="W276" s="13"/>
      <c r="X276" s="9">
        <v>2</v>
      </c>
    </row>
    <row r="277" spans="1:24">
      <c r="A277" s="13"/>
      <c r="B277" s="9" t="s">
        <v>1247</v>
      </c>
      <c r="C277" s="9" t="str">
        <f>VLOOKUP(B277,[1]RXNS!$B:$C,1,)</f>
        <v>FMNAT</v>
      </c>
      <c r="D277" s="9" t="b">
        <f t="shared" si="16"/>
        <v>1</v>
      </c>
      <c r="E277" s="9" t="s">
        <v>1248</v>
      </c>
      <c r="F277" s="9" t="s">
        <v>1248</v>
      </c>
      <c r="G277" s="9" t="b">
        <f t="shared" si="17"/>
        <v>1</v>
      </c>
      <c r="H277" s="9" t="str">
        <f>VLOOKUP(B277,[1]RXNS!$B:$D,3,FALSE)</f>
        <v>ATP[c] + flavin mononucleotide[c] + H+[c] =&gt; FAD[c] + Diphosphate[c]</v>
      </c>
      <c r="I277" s="9" t="s">
        <v>1249</v>
      </c>
      <c r="J277" s="9" t="s">
        <v>1250</v>
      </c>
      <c r="K277" s="9" t="s">
        <v>1249</v>
      </c>
      <c r="L277" s="9" t="b">
        <f t="shared" si="18"/>
        <v>1</v>
      </c>
      <c r="M277" s="9" t="b">
        <f t="shared" si="19"/>
        <v>1</v>
      </c>
      <c r="N277" s="9" t="s">
        <v>1251</v>
      </c>
      <c r="O277" s="9">
        <v>0</v>
      </c>
      <c r="P277" s="9">
        <v>1000</v>
      </c>
      <c r="Q277" s="13"/>
      <c r="R277" s="13"/>
      <c r="S277" s="9" t="s">
        <v>1252</v>
      </c>
      <c r="T277" s="9" t="s">
        <v>387</v>
      </c>
      <c r="U277" s="13"/>
      <c r="V277" s="9" t="s">
        <v>30</v>
      </c>
      <c r="W277" s="13"/>
      <c r="X277" s="9">
        <v>2</v>
      </c>
    </row>
    <row r="278" spans="1:24">
      <c r="A278" s="13"/>
      <c r="B278" s="9" t="s">
        <v>1253</v>
      </c>
      <c r="C278" s="9" t="str">
        <f>VLOOKUP(B278,[1]RXNS!$B:$C,1,)</f>
        <v>FMNRx</v>
      </c>
      <c r="D278" s="9" t="b">
        <f t="shared" si="16"/>
        <v>1</v>
      </c>
      <c r="E278" s="9" t="s">
        <v>1254</v>
      </c>
      <c r="F278" s="9" t="s">
        <v>1254</v>
      </c>
      <c r="G278" s="9" t="b">
        <f t="shared" si="17"/>
        <v>1</v>
      </c>
      <c r="H278" s="9" t="str">
        <f>VLOOKUP(B278,[1]RXNS!$B:$D,3,FALSE)</f>
        <v>flavin mononucleotide[c] + H+[c] + Nicotinamide adenine dinucleotide - reduced[c] &lt;=&gt; Reduced FMN[c] + Nicotinamide adenine dinucleotide[c]</v>
      </c>
      <c r="I278" s="9" t="s">
        <v>1255</v>
      </c>
      <c r="J278" s="9" t="s">
        <v>1256</v>
      </c>
      <c r="K278" s="9" t="s">
        <v>1255</v>
      </c>
      <c r="L278" s="9" t="b">
        <f t="shared" si="18"/>
        <v>1</v>
      </c>
      <c r="M278" s="9" t="b">
        <f t="shared" si="19"/>
        <v>1</v>
      </c>
      <c r="N278" s="13"/>
      <c r="O278" s="9">
        <v>-1000</v>
      </c>
      <c r="P278" s="9">
        <v>1000</v>
      </c>
      <c r="Q278" s="13"/>
      <c r="R278" s="13"/>
      <c r="S278" s="13"/>
      <c r="T278" s="9" t="s">
        <v>387</v>
      </c>
      <c r="U278" s="13"/>
      <c r="V278" s="9" t="s">
        <v>35</v>
      </c>
      <c r="W278" s="13"/>
      <c r="X278" s="9">
        <v>2</v>
      </c>
    </row>
    <row r="279" spans="1:24">
      <c r="A279" s="13"/>
      <c r="B279" s="9" t="s">
        <v>1257</v>
      </c>
      <c r="C279" s="9" t="str">
        <f>VLOOKUP(B279,[1]RXNS!$B:$C,1,)</f>
        <v>FRD</v>
      </c>
      <c r="D279" s="9" t="b">
        <f t="shared" si="16"/>
        <v>1</v>
      </c>
      <c r="E279" s="9" t="s">
        <v>1258</v>
      </c>
      <c r="F279" s="9" t="s">
        <v>1258</v>
      </c>
      <c r="G279" s="9" t="b">
        <f t="shared" si="17"/>
        <v>1</v>
      </c>
      <c r="H279" s="9" t="str">
        <f>VLOOKUP(B279,[1]RXNS!$B:$D,3,FALSE)</f>
        <v>Fumarate[c] + Menaquinol 7[c] =&gt; Menaquinone 7[c] + Succinate[c]</v>
      </c>
      <c r="I279" s="9" t="s">
        <v>1259</v>
      </c>
      <c r="J279" s="9" t="s">
        <v>1260</v>
      </c>
      <c r="K279" s="9" t="s">
        <v>1259</v>
      </c>
      <c r="L279" s="9" t="b">
        <f t="shared" si="18"/>
        <v>1</v>
      </c>
      <c r="M279" s="9" t="b">
        <f t="shared" si="19"/>
        <v>1</v>
      </c>
      <c r="N279" s="9" t="s">
        <v>1261</v>
      </c>
      <c r="O279" s="9">
        <v>0</v>
      </c>
      <c r="P279" s="9">
        <v>1000</v>
      </c>
      <c r="Q279" s="13"/>
      <c r="R279" s="13"/>
      <c r="S279" s="13"/>
      <c r="T279" s="9" t="s">
        <v>520</v>
      </c>
      <c r="U279" s="13"/>
      <c r="V279" s="9" t="s">
        <v>30</v>
      </c>
      <c r="W279" s="13"/>
      <c r="X279" s="9">
        <v>2</v>
      </c>
    </row>
    <row r="280" spans="1:24">
      <c r="A280" s="13"/>
      <c r="B280" s="9" t="s">
        <v>1262</v>
      </c>
      <c r="C280" s="9" t="str">
        <f>VLOOKUP(B280,[1]RXNS!$B:$C,1,)</f>
        <v>FRTT</v>
      </c>
      <c r="D280" s="9" t="b">
        <f t="shared" si="16"/>
        <v>1</v>
      </c>
      <c r="E280" s="9" t="s">
        <v>1263</v>
      </c>
      <c r="F280" s="9" t="s">
        <v>1263</v>
      </c>
      <c r="G280" s="9" t="b">
        <f t="shared" si="17"/>
        <v>1</v>
      </c>
      <c r="H280" s="9" t="str">
        <f>VLOOKUP(B280,[1]RXNS!$B:$D,3,FALSE)</f>
        <v>Farnesyl diphosphate[c] + Isopentenyl diphosphate[c] =&gt; Geranylgeranyl diphosphate[c] + Diphosphate[c]</v>
      </c>
      <c r="I280" s="9" t="s">
        <v>1264</v>
      </c>
      <c r="J280" s="9" t="s">
        <v>1265</v>
      </c>
      <c r="K280" s="9" t="s">
        <v>1264</v>
      </c>
      <c r="L280" s="9" t="b">
        <f t="shared" si="18"/>
        <v>1</v>
      </c>
      <c r="M280" s="9" t="b">
        <f t="shared" si="19"/>
        <v>1</v>
      </c>
      <c r="N280" s="9" t="s">
        <v>892</v>
      </c>
      <c r="O280" s="9">
        <v>0</v>
      </c>
      <c r="P280" s="9">
        <v>1000</v>
      </c>
      <c r="Q280" s="13"/>
      <c r="R280" s="13"/>
      <c r="S280" s="9" t="s">
        <v>1266</v>
      </c>
      <c r="T280" s="9" t="s">
        <v>573</v>
      </c>
      <c r="U280" s="13"/>
      <c r="V280" s="9" t="s">
        <v>30</v>
      </c>
      <c r="W280" s="13"/>
      <c r="X280" s="9">
        <v>2</v>
      </c>
    </row>
    <row r="281" spans="1:24">
      <c r="A281" s="13"/>
      <c r="B281" s="9" t="s">
        <v>1267</v>
      </c>
      <c r="C281" s="9" t="str">
        <f>VLOOKUP(B281,[1]RXNS!$B:$C,1,)</f>
        <v>FRUK</v>
      </c>
      <c r="D281" s="9" t="b">
        <f t="shared" si="16"/>
        <v>1</v>
      </c>
      <c r="E281" s="9" t="s">
        <v>1268</v>
      </c>
      <c r="F281" s="9" t="s">
        <v>1268</v>
      </c>
      <c r="G281" s="9" t="b">
        <f t="shared" si="17"/>
        <v>1</v>
      </c>
      <c r="H281" s="9" t="str">
        <f>VLOOKUP(B281,[1]RXNS!$B:$D,3,FALSE)</f>
        <v>ATP[c] + D-Fructose[c] =&gt; ADP[c] + D-Fructose 6-phosphate[c] + H+[c]</v>
      </c>
      <c r="I281" s="9" t="s">
        <v>1269</v>
      </c>
      <c r="J281" s="9" t="s">
        <v>1270</v>
      </c>
      <c r="K281" s="9" t="s">
        <v>1269</v>
      </c>
      <c r="L281" s="9" t="b">
        <f t="shared" si="18"/>
        <v>1</v>
      </c>
      <c r="M281" s="9" t="b">
        <f t="shared" si="19"/>
        <v>1</v>
      </c>
      <c r="N281" s="9" t="s">
        <v>1271</v>
      </c>
      <c r="O281" s="9">
        <v>0</v>
      </c>
      <c r="P281" s="9">
        <v>1000</v>
      </c>
      <c r="Q281" s="13"/>
      <c r="R281" s="13"/>
      <c r="S281" s="13"/>
      <c r="T281" s="9" t="s">
        <v>1272</v>
      </c>
      <c r="U281" s="13"/>
      <c r="V281" s="9" t="s">
        <v>30</v>
      </c>
      <c r="W281" s="13"/>
      <c r="X281" s="9">
        <v>2</v>
      </c>
    </row>
    <row r="282" spans="1:24">
      <c r="A282" s="13"/>
      <c r="B282" s="9" t="s">
        <v>1273</v>
      </c>
      <c r="C282" s="9" t="e">
        <f>VLOOKUP(B282,[1]RXNS!$B:$C,1,)</f>
        <v>#N/A</v>
      </c>
      <c r="D282" s="9" t="e">
        <f t="shared" si="16"/>
        <v>#N/A</v>
      </c>
      <c r="E282" s="9" t="e">
        <v>#N/A</v>
      </c>
      <c r="F282" s="9" t="s">
        <v>1274</v>
      </c>
      <c r="G282" s="9" t="e">
        <f t="shared" si="17"/>
        <v>#N/A</v>
      </c>
      <c r="H282" s="9" t="e">
        <f>VLOOKUP(B282,[1]RXNS!$B:$D,3,FALSE)</f>
        <v>#N/A</v>
      </c>
      <c r="I282" s="9" t="e">
        <f>VLOOKUP(B282,[1]RXNS!$B:$E,4,FALSE)</f>
        <v>#N/A</v>
      </c>
      <c r="J282" s="9" t="s">
        <v>1275</v>
      </c>
      <c r="K282" s="13"/>
      <c r="L282" s="9" t="e">
        <f t="shared" si="18"/>
        <v>#N/A</v>
      </c>
      <c r="M282" s="9" t="e">
        <f t="shared" si="19"/>
        <v>#N/A</v>
      </c>
      <c r="N282" s="13"/>
      <c r="O282" s="9">
        <v>0</v>
      </c>
      <c r="P282" s="9">
        <v>1000</v>
      </c>
      <c r="Q282" s="13"/>
      <c r="R282" s="13"/>
      <c r="S282" s="13"/>
      <c r="T282" s="9" t="s">
        <v>1276</v>
      </c>
      <c r="U282" s="13"/>
      <c r="V282" s="9" t="s">
        <v>35</v>
      </c>
      <c r="W282" s="13"/>
      <c r="X282" s="9">
        <v>2</v>
      </c>
    </row>
    <row r="283" spans="1:24">
      <c r="A283" s="13"/>
      <c r="B283" s="9" t="s">
        <v>1277</v>
      </c>
      <c r="C283" s="9" t="str">
        <f>VLOOKUP(B283,[1]RXNS!$B:$C,1,)</f>
        <v>FTHFCL</v>
      </c>
      <c r="D283" s="9" t="b">
        <f t="shared" si="16"/>
        <v>1</v>
      </c>
      <c r="E283" s="9" t="s">
        <v>1278</v>
      </c>
      <c r="F283" s="9" t="s">
        <v>1278</v>
      </c>
      <c r="G283" s="9" t="b">
        <f t="shared" si="17"/>
        <v>1</v>
      </c>
      <c r="H283" s="9" t="str">
        <f>VLOOKUP(B283,[1]RXNS!$B:$D,3,FALSE)</f>
        <v>5-Formyltetrahydrofolate[c] + ATP[c] =&gt; ADP[c] + 5,10-Methenyltetrahydrofolate[c] + Phosphate[c]</v>
      </c>
      <c r="I283" s="9" t="s">
        <v>1279</v>
      </c>
      <c r="J283" s="9" t="s">
        <v>1280</v>
      </c>
      <c r="K283" s="9" t="s">
        <v>1279</v>
      </c>
      <c r="L283" s="9" t="b">
        <f t="shared" si="18"/>
        <v>1</v>
      </c>
      <c r="M283" s="9" t="b">
        <f t="shared" si="19"/>
        <v>1</v>
      </c>
      <c r="N283" s="9" t="s">
        <v>1281</v>
      </c>
      <c r="O283" s="9">
        <v>0</v>
      </c>
      <c r="P283" s="9">
        <v>1000</v>
      </c>
      <c r="Q283" s="13"/>
      <c r="R283" s="13"/>
      <c r="S283" s="13"/>
      <c r="T283" s="9" t="s">
        <v>1246</v>
      </c>
      <c r="U283" s="13"/>
      <c r="V283" s="9" t="s">
        <v>30</v>
      </c>
      <c r="W283" s="13"/>
      <c r="X283" s="9">
        <v>2</v>
      </c>
    </row>
    <row r="284" spans="1:24">
      <c r="A284" s="13"/>
      <c r="B284" s="9" t="s">
        <v>1282</v>
      </c>
      <c r="C284" s="9" t="str">
        <f>VLOOKUP(B284,[1]RXNS!$B:$C,1,)</f>
        <v>FTHFL</v>
      </c>
      <c r="D284" s="9" t="b">
        <f t="shared" si="16"/>
        <v>1</v>
      </c>
      <c r="E284" s="9" t="s">
        <v>1283</v>
      </c>
      <c r="F284" s="9" t="s">
        <v>1283</v>
      </c>
      <c r="G284" s="9" t="b">
        <f t="shared" si="17"/>
        <v>1</v>
      </c>
      <c r="H284" s="9" t="str">
        <f>VLOOKUP(B284,[1]RXNS!$B:$D,3,FALSE)</f>
        <v>ATP[c] + Formate[c] + 5,6,7,8-Tetrahydrofolate[c] =&gt; 10-Formyltetrahydrofolate[c] + ADP[c] + Phosphate[c]</v>
      </c>
      <c r="I284" s="9" t="s">
        <v>1284</v>
      </c>
      <c r="J284" s="9" t="s">
        <v>1285</v>
      </c>
      <c r="K284" s="9" t="s">
        <v>1284</v>
      </c>
      <c r="L284" s="9" t="b">
        <f t="shared" si="18"/>
        <v>1</v>
      </c>
      <c r="M284" s="9" t="b">
        <f t="shared" si="19"/>
        <v>1</v>
      </c>
      <c r="N284" s="9" t="s">
        <v>1286</v>
      </c>
      <c r="O284" s="9">
        <v>0</v>
      </c>
      <c r="P284" s="9">
        <v>1000</v>
      </c>
      <c r="Q284" s="13"/>
      <c r="R284" s="13"/>
      <c r="S284" s="13"/>
      <c r="T284" s="9" t="s">
        <v>1246</v>
      </c>
      <c r="U284" s="13"/>
      <c r="V284" s="9" t="s">
        <v>30</v>
      </c>
      <c r="W284" s="13"/>
      <c r="X284" s="9">
        <v>2</v>
      </c>
    </row>
    <row r="285" spans="1:24">
      <c r="A285" s="13"/>
      <c r="B285" s="9" t="s">
        <v>1287</v>
      </c>
      <c r="C285" s="9" t="str">
        <f>VLOOKUP(B285,[1]RXNS!$B:$C,1,)</f>
        <v>FUCt</v>
      </c>
      <c r="D285" s="9" t="b">
        <f t="shared" si="16"/>
        <v>1</v>
      </c>
      <c r="E285" s="9" t="s">
        <v>1288</v>
      </c>
      <c r="F285" s="9" t="s">
        <v>1288</v>
      </c>
      <c r="G285" s="9" t="b">
        <f t="shared" si="17"/>
        <v>1</v>
      </c>
      <c r="H285" s="9" t="str">
        <f>VLOOKUP(B285,[1]RXNS!$B:$D,3,FALSE)</f>
        <v>L-Fucose[e] + H+[e] &lt;=&gt; L-Fucose[c] + H+[c]</v>
      </c>
      <c r="I285" s="9">
        <f>VLOOKUP(B285,[1]RXNS!$B:$E,4,FALSE)</f>
        <v>0</v>
      </c>
      <c r="J285" s="9" t="s">
        <v>1289</v>
      </c>
      <c r="K285" s="13"/>
      <c r="L285" s="9" t="b">
        <f t="shared" si="18"/>
        <v>1</v>
      </c>
      <c r="M285" s="9" t="b">
        <f t="shared" si="19"/>
        <v>0</v>
      </c>
      <c r="N285" s="13"/>
      <c r="O285" s="9">
        <v>-1000</v>
      </c>
      <c r="P285" s="9">
        <v>1000</v>
      </c>
      <c r="Q285" s="13"/>
      <c r="R285" s="13"/>
      <c r="S285" s="13"/>
      <c r="T285" s="9" t="s">
        <v>146</v>
      </c>
      <c r="U285" s="13"/>
      <c r="V285" s="9" t="s">
        <v>35</v>
      </c>
      <c r="W285" s="13"/>
      <c r="X285" s="9">
        <v>2</v>
      </c>
    </row>
    <row r="286" spans="1:24">
      <c r="A286" s="13"/>
      <c r="B286" s="9" t="s">
        <v>1290</v>
      </c>
      <c r="C286" s="9" t="str">
        <f>VLOOKUP(B286,[1]RXNS!$B:$C,1,)</f>
        <v>FUM</v>
      </c>
      <c r="D286" s="9" t="b">
        <f t="shared" si="16"/>
        <v>1</v>
      </c>
      <c r="E286" s="9" t="s">
        <v>1291</v>
      </c>
      <c r="F286" s="9" t="s">
        <v>1291</v>
      </c>
      <c r="G286" s="9" t="b">
        <f t="shared" si="17"/>
        <v>1</v>
      </c>
      <c r="H286" s="9" t="str">
        <f>VLOOKUP(B286,[1]RXNS!$B:$D,3,FALSE)</f>
        <v>Fumarate[c] + H2O[c] &lt;=&gt; L-Malate[c]</v>
      </c>
      <c r="I286" s="9" t="s">
        <v>1292</v>
      </c>
      <c r="J286" s="9" t="s">
        <v>1293</v>
      </c>
      <c r="K286" s="9" t="s">
        <v>1292</v>
      </c>
      <c r="L286" s="9" t="b">
        <f t="shared" si="18"/>
        <v>1</v>
      </c>
      <c r="M286" s="9" t="b">
        <f t="shared" si="19"/>
        <v>1</v>
      </c>
      <c r="N286" s="9" t="s">
        <v>1294</v>
      </c>
      <c r="O286" s="9">
        <v>-1000</v>
      </c>
      <c r="P286" s="9">
        <v>1000</v>
      </c>
      <c r="Q286" s="13"/>
      <c r="R286" s="13"/>
      <c r="S286" s="9" t="s">
        <v>1295</v>
      </c>
      <c r="T286" s="9" t="s">
        <v>1296</v>
      </c>
      <c r="U286" s="13"/>
      <c r="V286" s="9" t="s">
        <v>30</v>
      </c>
      <c r="W286" s="13"/>
      <c r="X286" s="9">
        <v>2</v>
      </c>
    </row>
    <row r="287" spans="1:24">
      <c r="A287" s="13"/>
      <c r="B287" s="9" t="s">
        <v>1297</v>
      </c>
      <c r="C287" s="9" t="str">
        <f>VLOOKUP(B287,[1]RXNS!$B:$C,1,)</f>
        <v>G1PACT</v>
      </c>
      <c r="D287" s="9" t="b">
        <f t="shared" si="16"/>
        <v>1</v>
      </c>
      <c r="E287" s="9" t="s">
        <v>1298</v>
      </c>
      <c r="F287" s="9" t="s">
        <v>1298</v>
      </c>
      <c r="G287" s="9" t="b">
        <f t="shared" si="17"/>
        <v>1</v>
      </c>
      <c r="H287" s="9" t="str">
        <f>VLOOKUP(B287,[1]RXNS!$B:$D,3,FALSE)</f>
        <v>Acetyl-CoA[c] + D-Glucosamine 1-phosphate[c] =&gt; N-Acetyl-D-glucosamine 1-phosphate[c] + Coenzyme A[c] + H+[c]</v>
      </c>
      <c r="I287" s="9" t="s">
        <v>1299</v>
      </c>
      <c r="J287" s="9" t="s">
        <v>1300</v>
      </c>
      <c r="K287" s="9" t="s">
        <v>1299</v>
      </c>
      <c r="L287" s="9" t="b">
        <f t="shared" si="18"/>
        <v>1</v>
      </c>
      <c r="M287" s="9" t="b">
        <f t="shared" si="19"/>
        <v>1</v>
      </c>
      <c r="N287" s="9" t="s">
        <v>1301</v>
      </c>
      <c r="O287" s="9">
        <v>0</v>
      </c>
      <c r="P287" s="9">
        <v>1000</v>
      </c>
      <c r="Q287" s="13"/>
      <c r="R287" s="13"/>
      <c r="S287" s="9" t="s">
        <v>1302</v>
      </c>
      <c r="T287" s="9" t="s">
        <v>1303</v>
      </c>
      <c r="U287" s="13"/>
      <c r="V287" s="9" t="s">
        <v>30</v>
      </c>
      <c r="W287" s="13"/>
      <c r="X287" s="9">
        <v>2</v>
      </c>
    </row>
    <row r="288" spans="1:24">
      <c r="A288" s="13"/>
      <c r="B288" s="9" t="s">
        <v>1304</v>
      </c>
      <c r="C288" s="9" t="str">
        <f>VLOOKUP(B288,[1]RXNS!$B:$C,1,)</f>
        <v>G1PPDM</v>
      </c>
      <c r="D288" s="9" t="b">
        <f t="shared" si="16"/>
        <v>1</v>
      </c>
      <c r="E288" s="9" t="s">
        <v>1305</v>
      </c>
      <c r="F288" s="9" t="s">
        <v>1305</v>
      </c>
      <c r="G288" s="9" t="b">
        <f t="shared" si="17"/>
        <v>1</v>
      </c>
      <c r="H288" s="9" t="str">
        <f>VLOOKUP(B288,[1]RXNS!$B:$D,3,FALSE)</f>
        <v>2 D-Glucose 1-phosphate[c] =&gt; D-Glucose 1,6-bisphosphate[c] + D-Glucose[c]</v>
      </c>
      <c r="I288" s="9" t="s">
        <v>1306</v>
      </c>
      <c r="J288" s="9" t="s">
        <v>1307</v>
      </c>
      <c r="K288" s="9" t="s">
        <v>1306</v>
      </c>
      <c r="L288" s="9" t="b">
        <f t="shared" si="18"/>
        <v>1</v>
      </c>
      <c r="M288" s="9" t="b">
        <f t="shared" si="19"/>
        <v>1</v>
      </c>
      <c r="N288" s="9" t="s">
        <v>1308</v>
      </c>
      <c r="O288" s="9">
        <v>0</v>
      </c>
      <c r="P288" s="9">
        <v>1000</v>
      </c>
      <c r="Q288" s="13"/>
      <c r="R288" s="13"/>
      <c r="S288" s="9" t="s">
        <v>1309</v>
      </c>
      <c r="T288" s="9" t="s">
        <v>1310</v>
      </c>
      <c r="U288" s="13"/>
      <c r="V288" s="9" t="s">
        <v>30</v>
      </c>
      <c r="W288" s="13"/>
      <c r="X288" s="9">
        <v>2</v>
      </c>
    </row>
    <row r="289" spans="1:24">
      <c r="A289" s="13"/>
      <c r="B289" s="9" t="s">
        <v>1311</v>
      </c>
      <c r="C289" s="9" t="str">
        <f>VLOOKUP(B289,[1]RXNS!$B:$C,1,)</f>
        <v>G1PTMT</v>
      </c>
      <c r="D289" s="9" t="b">
        <f t="shared" si="16"/>
        <v>1</v>
      </c>
      <c r="E289" s="9" t="s">
        <v>1312</v>
      </c>
      <c r="F289" s="9" t="s">
        <v>1312</v>
      </c>
      <c r="G289" s="9" t="b">
        <f t="shared" si="17"/>
        <v>1</v>
      </c>
      <c r="H289" s="9" t="str">
        <f>VLOOKUP(B289,[1]RXNS!$B:$D,3,FALSE)</f>
        <v>dTTP[c] + D-Glucose 1-phosphate[c] + H+[c] =&gt; dTDPglucose[c] + Diphosphate[c]</v>
      </c>
      <c r="I289" s="9" t="s">
        <v>1313</v>
      </c>
      <c r="J289" s="9" t="s">
        <v>1314</v>
      </c>
      <c r="K289" s="9" t="s">
        <v>1313</v>
      </c>
      <c r="L289" s="9" t="b">
        <f t="shared" si="18"/>
        <v>1</v>
      </c>
      <c r="M289" s="9" t="b">
        <f t="shared" si="19"/>
        <v>1</v>
      </c>
      <c r="N289" s="9" t="s">
        <v>1315</v>
      </c>
      <c r="O289" s="9">
        <v>0</v>
      </c>
      <c r="P289" s="9">
        <v>1000</v>
      </c>
      <c r="Q289" s="13"/>
      <c r="R289" s="13"/>
      <c r="S289" s="9" t="s">
        <v>1316</v>
      </c>
      <c r="T289" s="9" t="s">
        <v>1317</v>
      </c>
      <c r="U289" s="13"/>
      <c r="V289" s="9" t="s">
        <v>30</v>
      </c>
      <c r="W289" s="13"/>
      <c r="X289" s="9">
        <v>2</v>
      </c>
    </row>
    <row r="290" spans="1:24">
      <c r="A290" s="13"/>
      <c r="B290" s="9" t="s">
        <v>1318</v>
      </c>
      <c r="C290" s="9" t="str">
        <f>VLOOKUP(B290,[1]RXNS!$B:$C,1,)</f>
        <v>G1SAT</v>
      </c>
      <c r="D290" s="9" t="b">
        <f t="shared" si="16"/>
        <v>1</v>
      </c>
      <c r="E290" s="9" t="s">
        <v>1319</v>
      </c>
      <c r="F290" s="9" t="s">
        <v>1319</v>
      </c>
      <c r="G290" s="9" t="b">
        <f t="shared" si="17"/>
        <v>1</v>
      </c>
      <c r="H290" s="9" t="str">
        <f>VLOOKUP(B290,[1]RXNS!$B:$D,3,FALSE)</f>
        <v>L-Glutamate 1-semialdehyde[c] &lt;=&gt; 5-Amino-4-oxopentanoate[c]</v>
      </c>
      <c r="I290" s="9" t="s">
        <v>1320</v>
      </c>
      <c r="J290" s="9" t="s">
        <v>1321</v>
      </c>
      <c r="K290" s="9" t="s">
        <v>1320</v>
      </c>
      <c r="L290" s="9" t="b">
        <f t="shared" si="18"/>
        <v>1</v>
      </c>
      <c r="M290" s="9" t="b">
        <f t="shared" si="19"/>
        <v>1</v>
      </c>
      <c r="N290" s="13"/>
      <c r="O290" s="9">
        <v>-1000</v>
      </c>
      <c r="P290" s="9">
        <v>1000</v>
      </c>
      <c r="Q290" s="13"/>
      <c r="R290" s="13"/>
      <c r="S290" s="13"/>
      <c r="T290" s="9" t="s">
        <v>85</v>
      </c>
      <c r="U290" s="13"/>
      <c r="V290" s="9" t="s">
        <v>35</v>
      </c>
      <c r="W290" s="13"/>
      <c r="X290" s="9">
        <v>2</v>
      </c>
    </row>
    <row r="291" spans="1:24">
      <c r="A291" s="13"/>
      <c r="B291" s="9" t="s">
        <v>1322</v>
      </c>
      <c r="C291" s="9" t="str">
        <f>VLOOKUP(B291,[1]RXNS!$B:$C,1,)</f>
        <v>G35DP</v>
      </c>
      <c r="D291" s="9" t="b">
        <f t="shared" si="16"/>
        <v>1</v>
      </c>
      <c r="E291" s="9" t="s">
        <v>1323</v>
      </c>
      <c r="F291" s="9" t="s">
        <v>1323</v>
      </c>
      <c r="G291" s="9" t="b">
        <f t="shared" si="17"/>
        <v>1</v>
      </c>
      <c r="H291" s="9" t="str">
        <f>VLOOKUP(B291,[1]RXNS!$B:$D,3,FALSE)</f>
        <v>H2O[c] + Guanosine 3',5'-bis(diphosphate)[c] =&gt; GDP[c] + Diphosphate[c]</v>
      </c>
      <c r="I291" s="9" t="s">
        <v>1324</v>
      </c>
      <c r="J291" s="9" t="s">
        <v>1325</v>
      </c>
      <c r="K291" s="9" t="s">
        <v>1324</v>
      </c>
      <c r="L291" s="9" t="b">
        <f t="shared" si="18"/>
        <v>1</v>
      </c>
      <c r="M291" s="9" t="b">
        <f t="shared" si="19"/>
        <v>1</v>
      </c>
      <c r="N291" s="9" t="s">
        <v>1326</v>
      </c>
      <c r="O291" s="9">
        <v>0</v>
      </c>
      <c r="P291" s="9">
        <v>1000</v>
      </c>
      <c r="Q291" s="13"/>
      <c r="R291" s="13"/>
      <c r="S291" s="13"/>
      <c r="T291" s="9" t="s">
        <v>222</v>
      </c>
      <c r="U291" s="13"/>
      <c r="V291" s="9" t="s">
        <v>30</v>
      </c>
      <c r="W291" s="13"/>
      <c r="X291" s="9">
        <v>2</v>
      </c>
    </row>
    <row r="292" spans="1:24">
      <c r="A292" s="13"/>
      <c r="B292" s="9" t="s">
        <v>1327</v>
      </c>
      <c r="C292" s="9" t="str">
        <f>VLOOKUP(B292,[1]RXNS!$B:$C,1,)</f>
        <v>G3PCT</v>
      </c>
      <c r="D292" s="9" t="b">
        <f t="shared" si="16"/>
        <v>1</v>
      </c>
      <c r="E292" s="9" t="s">
        <v>1328</v>
      </c>
      <c r="F292" s="9" t="s">
        <v>1328</v>
      </c>
      <c r="G292" s="9" t="b">
        <f t="shared" si="17"/>
        <v>1</v>
      </c>
      <c r="H292" s="9" t="str">
        <f>VLOOKUP(B292,[1]RXNS!$B:$D,3,FALSE)</f>
        <v>CTP[c] + sn-Glycerol 3-phosphate[c] + H+[c] =&gt; CDPglycerol[c] + Diphosphate[c]</v>
      </c>
      <c r="I292" s="9" t="s">
        <v>1329</v>
      </c>
      <c r="J292" s="9" t="s">
        <v>1330</v>
      </c>
      <c r="K292" s="9" t="s">
        <v>1329</v>
      </c>
      <c r="L292" s="9" t="b">
        <f t="shared" si="18"/>
        <v>1</v>
      </c>
      <c r="M292" s="9" t="b">
        <f t="shared" si="19"/>
        <v>1</v>
      </c>
      <c r="N292" s="9" t="s">
        <v>784</v>
      </c>
      <c r="O292" s="9">
        <v>0</v>
      </c>
      <c r="P292" s="9">
        <v>1000</v>
      </c>
      <c r="Q292" s="13"/>
      <c r="R292" s="13"/>
      <c r="S292" s="9" t="s">
        <v>1331</v>
      </c>
      <c r="T292" s="9" t="s">
        <v>785</v>
      </c>
      <c r="U292" s="13"/>
      <c r="V292" s="9" t="s">
        <v>30</v>
      </c>
      <c r="W292" s="13"/>
      <c r="X292" s="9">
        <v>2</v>
      </c>
    </row>
    <row r="293" spans="1:24">
      <c r="A293" s="13"/>
      <c r="B293" s="9" t="s">
        <v>1332</v>
      </c>
      <c r="C293" s="9" t="str">
        <f>VLOOKUP(B293,[1]RXNS!$B:$C,1,)</f>
        <v>G3PD1</v>
      </c>
      <c r="D293" s="9" t="b">
        <f t="shared" si="16"/>
        <v>1</v>
      </c>
      <c r="E293" s="9" t="s">
        <v>1333</v>
      </c>
      <c r="F293" s="9" t="s">
        <v>1333</v>
      </c>
      <c r="G293" s="9" t="b">
        <f t="shared" si="17"/>
        <v>1</v>
      </c>
      <c r="H293" s="9" t="str">
        <f>VLOOKUP(B293,[1]RXNS!$B:$D,3,FALSE)</f>
        <v>sn-Glycerol 3-phosphate[c] + Nicotinamide adenine dinucleotide[c] &lt;=&gt; Dihydroxyacetone phosphate[c] + H+[c] + Nicotinamide adenine dinucleotide - reduced[c]</v>
      </c>
      <c r="I293" s="9" t="s">
        <v>1334</v>
      </c>
      <c r="J293" s="9" t="s">
        <v>1335</v>
      </c>
      <c r="K293" s="9" t="s">
        <v>1334</v>
      </c>
      <c r="L293" s="9" t="b">
        <f t="shared" si="18"/>
        <v>1</v>
      </c>
      <c r="M293" s="9" t="b">
        <f t="shared" si="19"/>
        <v>1</v>
      </c>
      <c r="N293" s="9" t="s">
        <v>1336</v>
      </c>
      <c r="O293" s="9">
        <v>-1000</v>
      </c>
      <c r="P293" s="9">
        <v>1000</v>
      </c>
      <c r="Q293" s="13"/>
      <c r="R293" s="13"/>
      <c r="S293" s="13"/>
      <c r="T293" s="9" t="s">
        <v>785</v>
      </c>
      <c r="U293" s="13"/>
      <c r="V293" s="9" t="s">
        <v>30</v>
      </c>
      <c r="W293" s="13"/>
      <c r="X293" s="9">
        <v>2</v>
      </c>
    </row>
    <row r="294" spans="1:24">
      <c r="A294" s="13"/>
      <c r="B294" s="9" t="s">
        <v>1337</v>
      </c>
      <c r="C294" s="9" t="str">
        <f>VLOOKUP(B294,[1]RXNS!$B:$C,1,)</f>
        <v>G5SADs</v>
      </c>
      <c r="D294" s="9" t="b">
        <f t="shared" si="16"/>
        <v>1</v>
      </c>
      <c r="E294" s="9" t="s">
        <v>1338</v>
      </c>
      <c r="F294" s="9" t="s">
        <v>1338</v>
      </c>
      <c r="G294" s="9" t="b">
        <f t="shared" si="17"/>
        <v>1</v>
      </c>
      <c r="H294" s="9" t="str">
        <f>VLOOKUP(B294,[1]RXNS!$B:$D,3,FALSE)</f>
        <v>L-Glutamate 5-semialdehyde[c] =&gt; 1-Pyrroline-5-carboxylate[c] + H2O[c] + H+[c]</v>
      </c>
      <c r="I294" s="9" t="s">
        <v>1339</v>
      </c>
      <c r="J294" s="9" t="s">
        <v>1340</v>
      </c>
      <c r="K294" s="9" t="s">
        <v>1339</v>
      </c>
      <c r="L294" s="9" t="b">
        <f t="shared" si="18"/>
        <v>1</v>
      </c>
      <c r="M294" s="9" t="b">
        <f t="shared" si="19"/>
        <v>1</v>
      </c>
      <c r="N294" s="13"/>
      <c r="O294" s="9">
        <v>0</v>
      </c>
      <c r="P294" s="9">
        <v>1000</v>
      </c>
      <c r="Q294" s="13"/>
      <c r="R294" s="13"/>
      <c r="S294" s="13"/>
      <c r="T294" s="9" t="s">
        <v>1341</v>
      </c>
      <c r="U294" s="13"/>
      <c r="V294" s="9" t="s">
        <v>35</v>
      </c>
      <c r="W294" s="13"/>
      <c r="X294" s="9">
        <v>2</v>
      </c>
    </row>
    <row r="295" spans="1:24">
      <c r="A295" s="13"/>
      <c r="B295" s="9" t="s">
        <v>1342</v>
      </c>
      <c r="C295" s="9" t="str">
        <f>VLOOKUP(B295,[1]RXNS!$B:$C,1,)</f>
        <v>G5SD</v>
      </c>
      <c r="D295" s="9" t="b">
        <f t="shared" si="16"/>
        <v>1</v>
      </c>
      <c r="E295" s="9" t="s">
        <v>1343</v>
      </c>
      <c r="F295" s="9" t="s">
        <v>1343</v>
      </c>
      <c r="G295" s="9" t="b">
        <f t="shared" si="17"/>
        <v>1</v>
      </c>
      <c r="H295" s="9" t="str">
        <f>VLOOKUP(B295,[1]RXNS!$B:$D,3,FALSE)</f>
        <v>L-Glutamate 5-phosphate[c] + H+[c] + Nicotinamide adenine dinucleotide phosphate - reduced[c] =&gt; L-Glutamate 5-semialdehyde[c] + Nicotinamide adenine dinucleotide phosphate[c] + Phosphate[c]</v>
      </c>
      <c r="I295" s="9" t="s">
        <v>1344</v>
      </c>
      <c r="J295" s="9" t="s">
        <v>1345</v>
      </c>
      <c r="K295" s="9" t="s">
        <v>1344</v>
      </c>
      <c r="L295" s="9" t="b">
        <f t="shared" si="18"/>
        <v>1</v>
      </c>
      <c r="M295" s="9" t="b">
        <f t="shared" si="19"/>
        <v>1</v>
      </c>
      <c r="N295" s="9" t="s">
        <v>1346</v>
      </c>
      <c r="O295" s="9">
        <v>0</v>
      </c>
      <c r="P295" s="9">
        <v>1000</v>
      </c>
      <c r="Q295" s="13"/>
      <c r="R295" s="13"/>
      <c r="S295" s="9" t="s">
        <v>1347</v>
      </c>
      <c r="T295" s="9" t="s">
        <v>1341</v>
      </c>
      <c r="U295" s="13"/>
      <c r="V295" s="9" t="s">
        <v>30</v>
      </c>
      <c r="W295" s="13"/>
      <c r="X295" s="9">
        <v>2</v>
      </c>
    </row>
    <row r="296" spans="1:24">
      <c r="A296" s="13"/>
      <c r="B296" s="9" t="s">
        <v>1348</v>
      </c>
      <c r="C296" s="9" t="str">
        <f>VLOOKUP(B296,[1]RXNS!$B:$C,1,)</f>
        <v>G6PDA</v>
      </c>
      <c r="D296" s="9" t="b">
        <f t="shared" si="16"/>
        <v>1</v>
      </c>
      <c r="E296" s="9" t="s">
        <v>1349</v>
      </c>
      <c r="F296" s="9" t="s">
        <v>1349</v>
      </c>
      <c r="G296" s="9" t="b">
        <f t="shared" si="17"/>
        <v>1</v>
      </c>
      <c r="H296" s="9" t="str">
        <f>VLOOKUP(B296,[1]RXNS!$B:$D,3,FALSE)</f>
        <v>D-Glucosamine 6-phosphate[c] + H2O[c] =&gt; D-Fructose 6-phosphate[c] + Ammonium[c]</v>
      </c>
      <c r="I296" s="9" t="s">
        <v>1350</v>
      </c>
      <c r="J296" s="9" t="s">
        <v>1351</v>
      </c>
      <c r="K296" s="9" t="s">
        <v>1350</v>
      </c>
      <c r="L296" s="9" t="b">
        <f t="shared" si="18"/>
        <v>1</v>
      </c>
      <c r="M296" s="9" t="b">
        <f t="shared" si="19"/>
        <v>1</v>
      </c>
      <c r="N296" s="13"/>
      <c r="O296" s="9">
        <v>0</v>
      </c>
      <c r="P296" s="9">
        <v>1000</v>
      </c>
      <c r="Q296" s="13"/>
      <c r="R296" s="13"/>
      <c r="S296" s="13"/>
      <c r="T296" s="9" t="s">
        <v>1303</v>
      </c>
      <c r="U296" s="13"/>
      <c r="V296" s="9" t="s">
        <v>35</v>
      </c>
      <c r="W296" s="13"/>
      <c r="X296" s="9">
        <v>2</v>
      </c>
    </row>
    <row r="297" spans="1:24">
      <c r="A297" s="13"/>
      <c r="B297" s="9" t="s">
        <v>1352</v>
      </c>
      <c r="C297" s="9" t="str">
        <f>VLOOKUP(B297,[1]RXNS!$B:$C,1,)</f>
        <v>G6PDH2r</v>
      </c>
      <c r="D297" s="9" t="b">
        <f t="shared" si="16"/>
        <v>1</v>
      </c>
      <c r="E297" s="9" t="s">
        <v>1353</v>
      </c>
      <c r="F297" s="9" t="s">
        <v>1353</v>
      </c>
      <c r="G297" s="9" t="b">
        <f t="shared" si="17"/>
        <v>1</v>
      </c>
      <c r="H297" s="9" t="str">
        <f>VLOOKUP(B297,[1]RXNS!$B:$D,3,FALSE)</f>
        <v>D-Glucose 6-phosphate[c] + Nicotinamide adenine dinucleotide phosphate[c] &lt;=&gt; 6-phospho-D-glucono-1,5-lactone[c] + H+[c] + Nicotinamide adenine dinucleotide phosphate - reduced[c]</v>
      </c>
      <c r="I297" s="9" t="s">
        <v>1354</v>
      </c>
      <c r="J297" s="9" t="s">
        <v>1355</v>
      </c>
      <c r="K297" s="9" t="s">
        <v>1354</v>
      </c>
      <c r="L297" s="9" t="b">
        <f t="shared" si="18"/>
        <v>1</v>
      </c>
      <c r="M297" s="9" t="b">
        <f t="shared" si="19"/>
        <v>1</v>
      </c>
      <c r="N297" s="9" t="s">
        <v>1356</v>
      </c>
      <c r="O297" s="9">
        <v>-1000</v>
      </c>
      <c r="P297" s="9">
        <v>1000</v>
      </c>
      <c r="Q297" s="13"/>
      <c r="R297" s="13"/>
      <c r="S297" s="9" t="s">
        <v>1357</v>
      </c>
      <c r="T297" s="9" t="s">
        <v>393</v>
      </c>
      <c r="U297" s="13"/>
      <c r="V297" s="9" t="s">
        <v>30</v>
      </c>
      <c r="W297" s="13"/>
      <c r="X297" s="9">
        <v>2</v>
      </c>
    </row>
    <row r="298" spans="1:24">
      <c r="A298" s="13"/>
      <c r="B298" s="9" t="s">
        <v>1358</v>
      </c>
      <c r="C298" s="9" t="str">
        <f>VLOOKUP(B298,[1]RXNS!$B:$C,1,)</f>
        <v>G6PI</v>
      </c>
      <c r="D298" s="9" t="b">
        <f t="shared" si="16"/>
        <v>1</v>
      </c>
      <c r="E298" s="9" t="s">
        <v>1359</v>
      </c>
      <c r="F298" s="9" t="s">
        <v>1359</v>
      </c>
      <c r="G298" s="9" t="b">
        <f t="shared" si="17"/>
        <v>1</v>
      </c>
      <c r="H298" s="9" t="str">
        <f>VLOOKUP(B298,[1]RXNS!$B:$D,3,FALSE)</f>
        <v>D-Glucose 6-phosphate[c] &lt;=&gt; beta-D-glucose 6-phosphate[c]</v>
      </c>
      <c r="I298" s="9" t="s">
        <v>1360</v>
      </c>
      <c r="J298" s="9" t="s">
        <v>1361</v>
      </c>
      <c r="K298" s="9" t="s">
        <v>1360</v>
      </c>
      <c r="L298" s="9" t="b">
        <f t="shared" si="18"/>
        <v>1</v>
      </c>
      <c r="M298" s="9" t="b">
        <f t="shared" si="19"/>
        <v>1</v>
      </c>
      <c r="N298" s="9" t="s">
        <v>1362</v>
      </c>
      <c r="O298" s="9">
        <v>-1000</v>
      </c>
      <c r="P298" s="9">
        <v>1000</v>
      </c>
      <c r="Q298" s="13"/>
      <c r="R298" s="13"/>
      <c r="S298" s="9" t="s">
        <v>1363</v>
      </c>
      <c r="T298" s="9" t="s">
        <v>330</v>
      </c>
      <c r="U298" s="13"/>
      <c r="V298" s="9" t="s">
        <v>30</v>
      </c>
      <c r="W298" s="13"/>
      <c r="X298" s="9">
        <v>2</v>
      </c>
    </row>
    <row r="299" spans="1:24">
      <c r="A299" s="13"/>
      <c r="B299" s="9" t="s">
        <v>1364</v>
      </c>
      <c r="C299" s="9" t="str">
        <f>VLOOKUP(B299,[1]RXNS!$B:$C,1,)</f>
        <v>GALK2</v>
      </c>
      <c r="D299" s="9" t="b">
        <f t="shared" si="16"/>
        <v>1</v>
      </c>
      <c r="E299" s="9" t="s">
        <v>1365</v>
      </c>
      <c r="F299" s="9" t="s">
        <v>1365</v>
      </c>
      <c r="G299" s="9" t="b">
        <f t="shared" si="17"/>
        <v>1</v>
      </c>
      <c r="H299" s="9" t="str">
        <f>VLOOKUP(B299,[1]RXNS!$B:$D,3,FALSE)</f>
        <v>alpha-D galactose[c] + ATP[c] =&gt; ADP[c] + alpha-D-Galactose 1-phosphate[c] + H+[c]</v>
      </c>
      <c r="I299" s="9" t="s">
        <v>1366</v>
      </c>
      <c r="J299" s="9" t="s">
        <v>1367</v>
      </c>
      <c r="K299" s="9" t="s">
        <v>1366</v>
      </c>
      <c r="L299" s="9" t="b">
        <f t="shared" si="18"/>
        <v>1</v>
      </c>
      <c r="M299" s="9" t="b">
        <f t="shared" si="19"/>
        <v>1</v>
      </c>
      <c r="N299" s="9" t="s">
        <v>1368</v>
      </c>
      <c r="O299" s="9">
        <v>0</v>
      </c>
      <c r="P299" s="9">
        <v>1000</v>
      </c>
      <c r="Q299" s="13"/>
      <c r="R299" s="13"/>
      <c r="S299" s="9" t="s">
        <v>1369</v>
      </c>
      <c r="T299" s="9" t="s">
        <v>1370</v>
      </c>
      <c r="U299" s="13"/>
      <c r="V299" s="9" t="s">
        <v>30</v>
      </c>
      <c r="W299" s="13"/>
      <c r="X299" s="9">
        <v>2</v>
      </c>
    </row>
    <row r="300" spans="1:24">
      <c r="A300" s="13"/>
      <c r="B300" s="9" t="s">
        <v>1371</v>
      </c>
      <c r="C300" s="9" t="str">
        <f>VLOOKUP(B300,[1]RXNS!$B:$C,1,)</f>
        <v>GALM</v>
      </c>
      <c r="D300" s="9" t="b">
        <f t="shared" si="16"/>
        <v>1</v>
      </c>
      <c r="E300" s="9" t="s">
        <v>1372</v>
      </c>
      <c r="F300" s="9" t="s">
        <v>1372</v>
      </c>
      <c r="G300" s="9" t="b">
        <f t="shared" si="17"/>
        <v>1</v>
      </c>
      <c r="H300" s="9" t="str">
        <f>VLOOKUP(B300,[1]RXNS!$B:$D,3,FALSE)</f>
        <v>D-Galactose[c] &lt;=&gt; alpha-D galactose[c]</v>
      </c>
      <c r="I300" s="9" t="s">
        <v>1373</v>
      </c>
      <c r="J300" s="9" t="s">
        <v>1374</v>
      </c>
      <c r="K300" s="9" t="s">
        <v>1373</v>
      </c>
      <c r="L300" s="9" t="b">
        <f t="shared" si="18"/>
        <v>1</v>
      </c>
      <c r="M300" s="9" t="b">
        <f t="shared" si="19"/>
        <v>1</v>
      </c>
      <c r="N300" s="9" t="s">
        <v>1375</v>
      </c>
      <c r="O300" s="9">
        <v>-1000</v>
      </c>
      <c r="P300" s="9">
        <v>1000</v>
      </c>
      <c r="Q300" s="13"/>
      <c r="R300" s="13"/>
      <c r="S300" s="9" t="s">
        <v>1376</v>
      </c>
      <c r="T300" s="9" t="s">
        <v>1370</v>
      </c>
      <c r="U300" s="13"/>
      <c r="V300" s="9" t="s">
        <v>30</v>
      </c>
      <c r="W300" s="13"/>
      <c r="X300" s="9">
        <v>2</v>
      </c>
    </row>
    <row r="301" spans="1:24">
      <c r="A301" s="13"/>
      <c r="B301" s="9" t="s">
        <v>1377</v>
      </c>
      <c r="C301" s="9" t="str">
        <f>VLOOKUP(B301,[1]RXNS!$B:$C,1,)</f>
        <v>GALS3</v>
      </c>
      <c r="D301" s="9" t="b">
        <f t="shared" si="16"/>
        <v>1</v>
      </c>
      <c r="E301" s="9" t="s">
        <v>1378</v>
      </c>
      <c r="F301" s="9" t="s">
        <v>1378</v>
      </c>
      <c r="G301" s="9" t="b">
        <f t="shared" si="17"/>
        <v>1</v>
      </c>
      <c r="H301" s="9" t="str">
        <f>VLOOKUP(B301,[1]RXNS!$B:$D,3,FALSE)</f>
        <v>H2O[c] + Melibiose[c] =&gt; D-Galactose[c] + D-Glucose[c]</v>
      </c>
      <c r="I301" s="9" t="s">
        <v>1379</v>
      </c>
      <c r="J301" s="9" t="s">
        <v>1380</v>
      </c>
      <c r="K301" s="9" t="s">
        <v>1379</v>
      </c>
      <c r="L301" s="9" t="b">
        <f t="shared" si="18"/>
        <v>1</v>
      </c>
      <c r="M301" s="9" t="b">
        <f t="shared" si="19"/>
        <v>1</v>
      </c>
      <c r="N301" s="9" t="s">
        <v>1381</v>
      </c>
      <c r="O301" s="9">
        <v>0</v>
      </c>
      <c r="P301" s="9">
        <v>1000</v>
      </c>
      <c r="Q301" s="13"/>
      <c r="R301" s="13"/>
      <c r="S301" s="9" t="s">
        <v>1382</v>
      </c>
      <c r="T301" s="9" t="s">
        <v>1370</v>
      </c>
      <c r="U301" s="13"/>
      <c r="V301" s="9" t="s">
        <v>30</v>
      </c>
      <c r="W301" s="13"/>
      <c r="X301" s="9">
        <v>2</v>
      </c>
    </row>
    <row r="302" spans="1:24">
      <c r="A302" s="13"/>
      <c r="B302" s="9" t="s">
        <v>1383</v>
      </c>
      <c r="C302" s="9" t="str">
        <f>VLOOKUP(B302,[1]RXNS!$B:$C,1,)</f>
        <v>GALSZ</v>
      </c>
      <c r="D302" s="9" t="b">
        <f t="shared" si="16"/>
        <v>1</v>
      </c>
      <c r="E302" s="9" t="s">
        <v>1384</v>
      </c>
      <c r="F302" s="9" t="s">
        <v>1384</v>
      </c>
      <c r="G302" s="9" t="b">
        <f t="shared" si="17"/>
        <v>1</v>
      </c>
      <c r="H302" s="9" t="str">
        <f>VLOOKUP(B302,[1]RXNS!$B:$D,3,FALSE)</f>
        <v>H2O[c] + Lactose[c] =&gt; D-Galactose[c] + D-Glucose[c]</v>
      </c>
      <c r="I302" s="9" t="s">
        <v>1385</v>
      </c>
      <c r="J302" s="9" t="s">
        <v>1386</v>
      </c>
      <c r="K302" s="9" t="s">
        <v>1385</v>
      </c>
      <c r="L302" s="9" t="b">
        <f t="shared" si="18"/>
        <v>1</v>
      </c>
      <c r="M302" s="9" t="b">
        <f t="shared" si="19"/>
        <v>1</v>
      </c>
      <c r="N302" s="9" t="s">
        <v>1387</v>
      </c>
      <c r="O302" s="9">
        <v>0</v>
      </c>
      <c r="P302" s="9">
        <v>1000</v>
      </c>
      <c r="Q302" s="13"/>
      <c r="R302" s="13"/>
      <c r="S302" s="13"/>
      <c r="T302" s="9" t="s">
        <v>1370</v>
      </c>
      <c r="U302" s="13"/>
      <c r="V302" s="9" t="s">
        <v>30</v>
      </c>
      <c r="W302" s="13"/>
      <c r="X302" s="9">
        <v>2</v>
      </c>
    </row>
    <row r="303" spans="1:24">
      <c r="A303" s="13"/>
      <c r="B303" s="9" t="s">
        <v>1388</v>
      </c>
      <c r="C303" s="9" t="str">
        <f>VLOOKUP(B303,[1]RXNS!$B:$C,1,)</f>
        <v>GALT</v>
      </c>
      <c r="D303" s="9" t="b">
        <f t="shared" si="16"/>
        <v>1</v>
      </c>
      <c r="E303" s="9" t="s">
        <v>1389</v>
      </c>
      <c r="F303" s="9" t="s">
        <v>1389</v>
      </c>
      <c r="G303" s="9" t="b">
        <f t="shared" si="17"/>
        <v>1</v>
      </c>
      <c r="H303" s="9" t="str">
        <f>VLOOKUP(B303,[1]RXNS!$B:$D,3,FALSE)</f>
        <v>alpha-D-Galactose 1-phosphate[c] + H+[c] + UTP[c] &lt;=&gt; Diphosphate[c] + UDPgalactose[c]</v>
      </c>
      <c r="I303" s="9" t="s">
        <v>1390</v>
      </c>
      <c r="J303" s="9" t="s">
        <v>1391</v>
      </c>
      <c r="K303" s="9" t="s">
        <v>1390</v>
      </c>
      <c r="L303" s="9" t="b">
        <f t="shared" si="18"/>
        <v>1</v>
      </c>
      <c r="M303" s="9" t="b">
        <f t="shared" si="19"/>
        <v>1</v>
      </c>
      <c r="N303" s="9" t="s">
        <v>1392</v>
      </c>
      <c r="O303" s="9">
        <v>-1000</v>
      </c>
      <c r="P303" s="9">
        <v>1000</v>
      </c>
      <c r="Q303" s="13"/>
      <c r="R303" s="13"/>
      <c r="S303" s="9" t="s">
        <v>1393</v>
      </c>
      <c r="T303" s="9" t="s">
        <v>1370</v>
      </c>
      <c r="U303" s="13"/>
      <c r="V303" s="9" t="s">
        <v>30</v>
      </c>
      <c r="W303" s="13"/>
      <c r="X303" s="9">
        <v>2</v>
      </c>
    </row>
    <row r="304" spans="1:24">
      <c r="A304" s="13"/>
      <c r="B304" s="9" t="s">
        <v>1394</v>
      </c>
      <c r="C304" s="9" t="str">
        <f>VLOOKUP(B304,[1]RXNS!$B:$C,1,)</f>
        <v>GALU</v>
      </c>
      <c r="D304" s="9" t="b">
        <f t="shared" si="16"/>
        <v>1</v>
      </c>
      <c r="E304" s="9" t="s">
        <v>1395</v>
      </c>
      <c r="F304" s="9" t="s">
        <v>1395</v>
      </c>
      <c r="G304" s="9" t="b">
        <f t="shared" si="17"/>
        <v>1</v>
      </c>
      <c r="H304" s="9" t="str">
        <f>VLOOKUP(B304,[1]RXNS!$B:$D,3,FALSE)</f>
        <v>D-Glucose 1-phosphate[c] + H+[c] + UTP[c] &lt;=&gt; Diphosphate[c] + UDPglucose[c]</v>
      </c>
      <c r="I304" s="9" t="s">
        <v>1396</v>
      </c>
      <c r="J304" s="9" t="s">
        <v>1397</v>
      </c>
      <c r="K304" s="9" t="s">
        <v>1396</v>
      </c>
      <c r="L304" s="9" t="b">
        <f t="shared" si="18"/>
        <v>1</v>
      </c>
      <c r="M304" s="9" t="b">
        <f t="shared" si="19"/>
        <v>1</v>
      </c>
      <c r="N304" s="9" t="s">
        <v>1398</v>
      </c>
      <c r="O304" s="9">
        <v>-1000</v>
      </c>
      <c r="P304" s="9">
        <v>1000</v>
      </c>
      <c r="Q304" s="13"/>
      <c r="R304" s="13"/>
      <c r="S304" s="13"/>
      <c r="T304" s="9" t="s">
        <v>1370</v>
      </c>
      <c r="U304" s="13"/>
      <c r="V304" s="9" t="s">
        <v>30</v>
      </c>
      <c r="W304" s="13"/>
      <c r="X304" s="9">
        <v>2</v>
      </c>
    </row>
    <row r="305" spans="1:24">
      <c r="A305" s="13"/>
      <c r="B305" s="9" t="s">
        <v>1399</v>
      </c>
      <c r="C305" s="9" t="str">
        <f>VLOOKUP(B305,[1]RXNS!$B:$C,1,)</f>
        <v>GALT</v>
      </c>
      <c r="D305" s="9" t="b">
        <f t="shared" si="16"/>
        <v>0</v>
      </c>
      <c r="E305" s="9" t="s">
        <v>1389</v>
      </c>
      <c r="F305" s="9" t="s">
        <v>1400</v>
      </c>
      <c r="G305" s="9" t="b">
        <f t="shared" si="17"/>
        <v>0</v>
      </c>
      <c r="H305" s="9" t="str">
        <f>VLOOKUP(B305,[1]RXNS!$B:$D,3,FALSE)</f>
        <v>alpha-D-Galactose 1-phosphate[c] + H+[c] + UTP[c] &lt;=&gt; Diphosphate[c] + UDPgalactose[c]</v>
      </c>
      <c r="I305" s="9" t="s">
        <v>1390</v>
      </c>
      <c r="J305" s="9" t="s">
        <v>1401</v>
      </c>
      <c r="K305" s="13"/>
      <c r="L305" s="9" t="b">
        <f t="shared" si="18"/>
        <v>0</v>
      </c>
      <c r="M305" s="9" t="b">
        <f t="shared" si="19"/>
        <v>0</v>
      </c>
      <c r="N305" s="9" t="s">
        <v>1402</v>
      </c>
      <c r="O305" s="9">
        <v>-1000</v>
      </c>
      <c r="P305" s="9">
        <v>1000</v>
      </c>
      <c r="Q305" s="13"/>
      <c r="R305" s="13"/>
      <c r="S305" s="13"/>
      <c r="T305" s="9" t="s">
        <v>146</v>
      </c>
      <c r="U305" s="13"/>
      <c r="V305" s="9" t="s">
        <v>30</v>
      </c>
      <c r="W305" s="13"/>
      <c r="X305" s="9">
        <v>2</v>
      </c>
    </row>
    <row r="306" spans="1:24">
      <c r="A306" s="13"/>
      <c r="B306" s="9" t="s">
        <v>1403</v>
      </c>
      <c r="C306" s="9" t="str">
        <f>VLOOKUP(B306,[1]RXNS!$B:$C,1,)</f>
        <v>GAPD</v>
      </c>
      <c r="D306" s="9" t="b">
        <f t="shared" si="16"/>
        <v>1</v>
      </c>
      <c r="E306" s="9" t="s">
        <v>1404</v>
      </c>
      <c r="F306" s="9" t="s">
        <v>1404</v>
      </c>
      <c r="G306" s="9" t="b">
        <f t="shared" si="17"/>
        <v>1</v>
      </c>
      <c r="H306" s="9" t="str">
        <f>VLOOKUP(B306,[1]RXNS!$B:$D,3,FALSE)</f>
        <v>Glyceraldehyde 3-phosphate[c] + Nicotinamide adenine dinucleotide[c] + Phosphate[c] &lt;=&gt; 3-Phospho-D-glyceroyl phosphate[c] + H+[c] + Nicotinamide adenine dinucleotide - reduced[c]</v>
      </c>
      <c r="I306" s="9" t="s">
        <v>1405</v>
      </c>
      <c r="J306" s="9" t="s">
        <v>1406</v>
      </c>
      <c r="K306" s="9" t="s">
        <v>1405</v>
      </c>
      <c r="L306" s="9" t="b">
        <f t="shared" si="18"/>
        <v>1</v>
      </c>
      <c r="M306" s="9" t="b">
        <f t="shared" si="19"/>
        <v>1</v>
      </c>
      <c r="N306" s="9" t="s">
        <v>1407</v>
      </c>
      <c r="O306" s="9">
        <v>-1000</v>
      </c>
      <c r="P306" s="9">
        <v>1000</v>
      </c>
      <c r="Q306" s="13"/>
      <c r="R306" s="13"/>
      <c r="S306" s="9" t="s">
        <v>1408</v>
      </c>
      <c r="T306" s="9" t="s">
        <v>330</v>
      </c>
      <c r="U306" s="13"/>
      <c r="V306" s="9" t="s">
        <v>30</v>
      </c>
      <c r="W306" s="13"/>
      <c r="X306" s="9">
        <v>2</v>
      </c>
    </row>
    <row r="307" spans="1:24">
      <c r="A307" s="13"/>
      <c r="B307" s="9" t="s">
        <v>1409</v>
      </c>
      <c r="C307" s="9" t="str">
        <f>VLOOKUP(B307,[1]RXNS!$B:$C,1,)</f>
        <v>GARFT</v>
      </c>
      <c r="D307" s="9" t="b">
        <f t="shared" si="16"/>
        <v>1</v>
      </c>
      <c r="E307" s="9" t="s">
        <v>1410</v>
      </c>
      <c r="F307" s="9" t="s">
        <v>1410</v>
      </c>
      <c r="G307" s="9" t="b">
        <f t="shared" si="17"/>
        <v>1</v>
      </c>
      <c r="H307" s="9" t="str">
        <f>VLOOKUP(B307,[1]RXNS!$B:$D,3,FALSE)</f>
        <v>10-Formyltetrahydrofolate[c] + N1-(5-Phospho-D-ribosyl)glycinamide[c] &lt;=&gt; N2-Formyl-N1-(5-phospho-D-ribosyl)glycinamide[c] + H+[c] + 5,6,7,8-Tetrahydrofolate[c]</v>
      </c>
      <c r="I307" s="9" t="s">
        <v>1411</v>
      </c>
      <c r="J307" s="9" t="s">
        <v>1412</v>
      </c>
      <c r="K307" s="9" t="s">
        <v>1411</v>
      </c>
      <c r="L307" s="9" t="b">
        <f t="shared" si="18"/>
        <v>1</v>
      </c>
      <c r="M307" s="9" t="b">
        <f t="shared" si="19"/>
        <v>1</v>
      </c>
      <c r="N307" s="9" t="s">
        <v>1413</v>
      </c>
      <c r="O307" s="9">
        <v>-1000</v>
      </c>
      <c r="P307" s="9">
        <v>1000</v>
      </c>
      <c r="Q307" s="13"/>
      <c r="R307" s="13"/>
      <c r="S307" s="9" t="s">
        <v>1414</v>
      </c>
      <c r="T307" s="9" t="s">
        <v>153</v>
      </c>
      <c r="U307" s="13"/>
      <c r="V307" s="9" t="s">
        <v>30</v>
      </c>
      <c r="W307" s="13"/>
      <c r="X307" s="9">
        <v>2</v>
      </c>
    </row>
    <row r="308" spans="1:24">
      <c r="A308" s="13"/>
      <c r="B308" s="9" t="s">
        <v>1415</v>
      </c>
      <c r="C308" s="9" t="str">
        <f>VLOOKUP(B308,[1]RXNS!$B:$C,1,)</f>
        <v>GAT1_LRE</v>
      </c>
      <c r="D308" s="9" t="b">
        <f t="shared" si="16"/>
        <v>1</v>
      </c>
      <c r="E308" s="9" t="s">
        <v>1416</v>
      </c>
      <c r="F308" s="9" t="s">
        <v>1416</v>
      </c>
      <c r="G308" s="9" t="b">
        <f t="shared" si="17"/>
        <v>1</v>
      </c>
      <c r="H308" s="9" t="str">
        <f>VLOOKUP(B308,[1]RXNS!$B:$D,3,FALSE)</f>
        <v>0.0211 cyclopropanoyl octadecanoyl-[acyl-carrier protein][c] + sn-Glycerol 3-phosphate[c] + 0.0258 Hexadecenoyl-ACP (n-C16:1ACP)[c] + 0.075 Octadecanoyl-[acyl-carrier protein][c] + 0.0418 octadecatrienoyl-ACP (n-C18:3ACP)[c] + 0.3519 Octadecynoyl-ACP (n-C18:2ACP)[c] + 0.1591 Octadecenoyl-ACP (n-C18:1ACP)[c] + 0.2566 Palmitoyl-ACP (n-C16:0ACP)[c] + 0.0687 Tetradecanoyl-[acyl-carrier protein][c] =&gt; acyl carrier protein[c] + 1-Acyl-sn-glycerol 3-phosphate (Lb reuteri specific)[c]</v>
      </c>
      <c r="I308" s="9">
        <f>VLOOKUP(B308,[1]RXNS!$B:$E,4,FALSE)</f>
        <v>0</v>
      </c>
      <c r="J308" s="9" t="s">
        <v>1417</v>
      </c>
      <c r="K308" s="13"/>
      <c r="L308" s="9" t="b">
        <f t="shared" si="18"/>
        <v>0</v>
      </c>
      <c r="M308" s="9" t="b">
        <f t="shared" si="19"/>
        <v>0</v>
      </c>
      <c r="N308" s="13"/>
      <c r="O308" s="9">
        <v>0</v>
      </c>
      <c r="P308" s="9">
        <v>1000</v>
      </c>
      <c r="Q308" s="13"/>
      <c r="R308" s="13"/>
      <c r="S308" s="13"/>
      <c r="T308" s="9" t="s">
        <v>29</v>
      </c>
      <c r="U308" s="13"/>
      <c r="V308" s="9" t="s">
        <v>35</v>
      </c>
      <c r="W308" s="13"/>
      <c r="X308" s="9">
        <v>2</v>
      </c>
    </row>
    <row r="309" spans="1:24">
      <c r="A309" s="13"/>
      <c r="B309" s="9" t="s">
        <v>1418</v>
      </c>
      <c r="C309" s="9" t="str">
        <f>VLOOKUP(B309,[1]RXNS!$B:$C,1,)</f>
        <v>GCALDt</v>
      </c>
      <c r="D309" s="9" t="b">
        <f t="shared" si="16"/>
        <v>1</v>
      </c>
      <c r="E309" s="9" t="s">
        <v>1419</v>
      </c>
      <c r="F309" s="9" t="s">
        <v>1419</v>
      </c>
      <c r="G309" s="9" t="b">
        <f t="shared" si="17"/>
        <v>1</v>
      </c>
      <c r="H309" s="9" t="str">
        <f>VLOOKUP(B309,[1]RXNS!$B:$D,3,FALSE)</f>
        <v>Glycolaldehyde[e] &lt;=&gt; Glycolaldehyde[c]</v>
      </c>
      <c r="I309" s="9">
        <f>VLOOKUP(B309,[1]RXNS!$B:$E,4,FALSE)</f>
        <v>0</v>
      </c>
      <c r="J309" s="9" t="s">
        <v>1420</v>
      </c>
      <c r="K309" s="13"/>
      <c r="L309" s="9" t="b">
        <f t="shared" si="18"/>
        <v>1</v>
      </c>
      <c r="M309" s="9" t="b">
        <f t="shared" si="19"/>
        <v>0</v>
      </c>
      <c r="N309" s="13"/>
      <c r="O309" s="9">
        <v>-1000</v>
      </c>
      <c r="P309" s="9">
        <v>1000</v>
      </c>
      <c r="Q309" s="13"/>
      <c r="R309" s="13"/>
      <c r="S309" s="13"/>
      <c r="T309" s="9" t="s">
        <v>146</v>
      </c>
      <c r="U309" s="13"/>
      <c r="V309" s="9" t="s">
        <v>35</v>
      </c>
      <c r="W309" s="13"/>
      <c r="X309" s="9">
        <v>2</v>
      </c>
    </row>
    <row r="310" spans="1:24">
      <c r="A310" s="13"/>
      <c r="B310" s="9" t="s">
        <v>1421</v>
      </c>
      <c r="C310" s="9" t="str">
        <f>VLOOKUP(B310,[1]RXNS!$B:$C,1,)</f>
        <v>GF6PTA</v>
      </c>
      <c r="D310" s="9" t="b">
        <f t="shared" si="16"/>
        <v>1</v>
      </c>
      <c r="E310" s="9" t="s">
        <v>1422</v>
      </c>
      <c r="F310" s="9" t="s">
        <v>1422</v>
      </c>
      <c r="G310" s="9" t="b">
        <f t="shared" si="17"/>
        <v>1</v>
      </c>
      <c r="H310" s="9" t="str">
        <f>VLOOKUP(B310,[1]RXNS!$B:$D,3,FALSE)</f>
        <v>D-Fructose 6-phosphate[c] + L-Glutamine[c] =&gt; D-Glucosamine 6-phosphate[c] + L-Glutamate[c]</v>
      </c>
      <c r="I310" s="9" t="s">
        <v>1423</v>
      </c>
      <c r="J310" s="9" t="s">
        <v>1424</v>
      </c>
      <c r="K310" s="9" t="s">
        <v>1423</v>
      </c>
      <c r="L310" s="9" t="b">
        <f t="shared" si="18"/>
        <v>1</v>
      </c>
      <c r="M310" s="9" t="b">
        <f t="shared" si="19"/>
        <v>1</v>
      </c>
      <c r="N310" s="9" t="s">
        <v>1425</v>
      </c>
      <c r="O310" s="9">
        <v>0</v>
      </c>
      <c r="P310" s="9">
        <v>1000</v>
      </c>
      <c r="Q310" s="13"/>
      <c r="R310" s="13"/>
      <c r="S310" s="9" t="s">
        <v>1426</v>
      </c>
      <c r="T310" s="9" t="s">
        <v>49</v>
      </c>
      <c r="U310" s="13"/>
      <c r="V310" s="9" t="s">
        <v>30</v>
      </c>
      <c r="W310" s="13"/>
      <c r="X310" s="9">
        <v>2</v>
      </c>
    </row>
    <row r="311" spans="1:24">
      <c r="A311" s="13"/>
      <c r="B311" s="9" t="s">
        <v>1427</v>
      </c>
      <c r="C311" s="9" t="str">
        <f>VLOOKUP(B311,[1]RXNS!$B:$C,1,)</f>
        <v>GGGABAH</v>
      </c>
      <c r="D311" s="9" t="b">
        <f t="shared" si="16"/>
        <v>1</v>
      </c>
      <c r="E311" s="9" t="s">
        <v>1428</v>
      </c>
      <c r="F311" s="9" t="s">
        <v>1428</v>
      </c>
      <c r="G311" s="9" t="b">
        <f t="shared" si="17"/>
        <v>1</v>
      </c>
      <c r="H311" s="9" t="str">
        <f>VLOOKUP(B311,[1]RXNS!$B:$D,3,FALSE)</f>
        <v>gammaglutamyl-gamma-aminobutyrate[c] + H2O[c] =&gt; 4-Aminobutanoate[c] + L-Glutamate[c]</v>
      </c>
      <c r="I311" s="9" t="s">
        <v>1429</v>
      </c>
      <c r="J311" s="9" t="s">
        <v>1430</v>
      </c>
      <c r="K311" s="9" t="s">
        <v>1429</v>
      </c>
      <c r="L311" s="9" t="b">
        <f t="shared" si="18"/>
        <v>1</v>
      </c>
      <c r="M311" s="9" t="b">
        <f t="shared" si="19"/>
        <v>1</v>
      </c>
      <c r="N311" s="9" t="s">
        <v>1431</v>
      </c>
      <c r="O311" s="9">
        <v>0</v>
      </c>
      <c r="P311" s="9">
        <v>1000</v>
      </c>
      <c r="Q311" s="13"/>
      <c r="R311" s="13"/>
      <c r="S311" s="9" t="s">
        <v>1432</v>
      </c>
      <c r="T311" s="9" t="s">
        <v>49</v>
      </c>
      <c r="U311" s="13"/>
      <c r="V311" s="9" t="s">
        <v>30</v>
      </c>
      <c r="W311" s="13"/>
      <c r="X311" s="9">
        <v>2</v>
      </c>
    </row>
    <row r="312" spans="1:24">
      <c r="A312" s="13"/>
      <c r="B312" s="9" t="s">
        <v>1433</v>
      </c>
      <c r="C312" s="9" t="str">
        <f>VLOOKUP(B312,[1]RXNS!$B:$C,1,)</f>
        <v>GHMT2r</v>
      </c>
      <c r="D312" s="9" t="b">
        <f t="shared" si="16"/>
        <v>1</v>
      </c>
      <c r="E312" s="9" t="s">
        <v>1434</v>
      </c>
      <c r="F312" s="9" t="s">
        <v>1434</v>
      </c>
      <c r="G312" s="9" t="b">
        <f t="shared" si="17"/>
        <v>1</v>
      </c>
      <c r="H312" s="9" t="str">
        <f>VLOOKUP(B312,[1]RXNS!$B:$D,3,FALSE)</f>
        <v>L-Serine[c] + 5,6,7,8-Tetrahydrofolate[c] &lt;=&gt; Glycine[c] + H2O[c] + 5,10-Methylenetetrahydrofolate[c]</v>
      </c>
      <c r="I312" s="9" t="s">
        <v>1435</v>
      </c>
      <c r="J312" s="9" t="s">
        <v>1436</v>
      </c>
      <c r="K312" s="9" t="s">
        <v>1435</v>
      </c>
      <c r="L312" s="9" t="b">
        <f t="shared" si="18"/>
        <v>1</v>
      </c>
      <c r="M312" s="9" t="b">
        <f t="shared" si="19"/>
        <v>1</v>
      </c>
      <c r="N312" s="9" t="s">
        <v>1437</v>
      </c>
      <c r="O312" s="9">
        <v>-1000</v>
      </c>
      <c r="P312" s="9">
        <v>1000</v>
      </c>
      <c r="Q312" s="13"/>
      <c r="R312" s="13"/>
      <c r="S312" s="9" t="s">
        <v>1438</v>
      </c>
      <c r="T312" s="9" t="s">
        <v>364</v>
      </c>
      <c r="U312" s="13"/>
      <c r="V312" s="9" t="s">
        <v>30</v>
      </c>
      <c r="W312" s="13"/>
      <c r="X312" s="9">
        <v>2</v>
      </c>
    </row>
    <row r="313" spans="1:24">
      <c r="A313" s="13"/>
      <c r="B313" s="9" t="s">
        <v>1439</v>
      </c>
      <c r="C313" s="9" t="str">
        <f>VLOOKUP(B313,[1]RXNS!$B:$C,1,)</f>
        <v>GK1</v>
      </c>
      <c r="D313" s="9" t="b">
        <f t="shared" si="16"/>
        <v>1</v>
      </c>
      <c r="E313" s="9" t="s">
        <v>1440</v>
      </c>
      <c r="F313" s="9" t="s">
        <v>1440</v>
      </c>
      <c r="G313" s="9" t="b">
        <f t="shared" si="17"/>
        <v>1</v>
      </c>
      <c r="H313" s="9" t="str">
        <f>VLOOKUP(B313,[1]RXNS!$B:$D,3,FALSE)</f>
        <v>ATP[c] + GMP[c] &lt;=&gt; ADP[c] + GDP[c]</v>
      </c>
      <c r="I313" s="9" t="s">
        <v>1441</v>
      </c>
      <c r="J313" s="9" t="s">
        <v>1442</v>
      </c>
      <c r="K313" s="9" t="s">
        <v>1441</v>
      </c>
      <c r="L313" s="9" t="b">
        <f t="shared" si="18"/>
        <v>0</v>
      </c>
      <c r="M313" s="9" t="b">
        <f t="shared" si="19"/>
        <v>1</v>
      </c>
      <c r="N313" s="9" t="s">
        <v>1443</v>
      </c>
      <c r="O313" s="9">
        <v>0</v>
      </c>
      <c r="P313" s="9">
        <v>1000</v>
      </c>
      <c r="Q313" s="13"/>
      <c r="R313" s="13"/>
      <c r="S313" s="9" t="s">
        <v>1444</v>
      </c>
      <c r="T313" s="9" t="s">
        <v>153</v>
      </c>
      <c r="U313" s="13"/>
      <c r="V313" s="9" t="s">
        <v>30</v>
      </c>
      <c r="W313" s="13"/>
      <c r="X313" s="9">
        <v>2</v>
      </c>
    </row>
    <row r="314" spans="1:24">
      <c r="A314" s="13"/>
      <c r="B314" s="9" t="s">
        <v>1445</v>
      </c>
      <c r="C314" s="9" t="str">
        <f>VLOOKUP(B314,[1]RXNS!$B:$C,1,)</f>
        <v>GLCNt2</v>
      </c>
      <c r="D314" s="9" t="b">
        <f t="shared" si="16"/>
        <v>1</v>
      </c>
      <c r="E314" s="9" t="s">
        <v>1446</v>
      </c>
      <c r="F314" s="9" t="s">
        <v>1446</v>
      </c>
      <c r="G314" s="9" t="b">
        <f t="shared" si="17"/>
        <v>1</v>
      </c>
      <c r="H314" s="9" t="str">
        <f>VLOOKUP(B314,[1]RXNS!$B:$D,3,FALSE)</f>
        <v>D-Gluconate[e] + H+[e] &lt;=&gt; D-Gluconate[c] + H+[c]</v>
      </c>
      <c r="I314" s="9">
        <f>VLOOKUP(B314,[1]RXNS!$B:$E,4,FALSE)</f>
        <v>0</v>
      </c>
      <c r="J314" s="9" t="s">
        <v>1447</v>
      </c>
      <c r="K314" s="13"/>
      <c r="L314" s="9" t="b">
        <f t="shared" si="18"/>
        <v>1</v>
      </c>
      <c r="M314" s="9" t="b">
        <f t="shared" si="19"/>
        <v>0</v>
      </c>
      <c r="N314" s="9" t="s">
        <v>1448</v>
      </c>
      <c r="O314" s="9">
        <v>-1000</v>
      </c>
      <c r="P314" s="9">
        <v>1000</v>
      </c>
      <c r="Q314" s="13"/>
      <c r="R314" s="13"/>
      <c r="S314" s="13"/>
      <c r="T314" s="9" t="s">
        <v>146</v>
      </c>
      <c r="U314" s="13"/>
      <c r="V314" s="9" t="s">
        <v>30</v>
      </c>
      <c r="W314" s="13"/>
      <c r="X314" s="9">
        <v>2</v>
      </c>
    </row>
    <row r="315" spans="1:24">
      <c r="A315" s="13"/>
      <c r="B315" s="9" t="s">
        <v>1449</v>
      </c>
      <c r="C315" s="9" t="str">
        <f>VLOOKUP(B315,[1]RXNS!$B:$C,1,)</f>
        <v>GLCt</v>
      </c>
      <c r="D315" s="9" t="b">
        <f t="shared" si="16"/>
        <v>1</v>
      </c>
      <c r="E315" s="9" t="s">
        <v>1450</v>
      </c>
      <c r="F315" s="9" t="s">
        <v>1450</v>
      </c>
      <c r="G315" s="9" t="b">
        <f t="shared" si="17"/>
        <v>1</v>
      </c>
      <c r="H315" s="9" t="str">
        <f>VLOOKUP(B315,[1]RXNS!$B:$D,3,FALSE)</f>
        <v>D-Glucose[e] + H+[e] =&gt; D-Glucose[c] + H+[c]</v>
      </c>
      <c r="I315" s="9">
        <f>VLOOKUP(B315,[1]RXNS!$B:$E,4,FALSE)</f>
        <v>0</v>
      </c>
      <c r="J315" s="9" t="s">
        <v>1451</v>
      </c>
      <c r="K315" s="13"/>
      <c r="L315" s="9" t="b">
        <f t="shared" si="18"/>
        <v>1</v>
      </c>
      <c r="M315" s="9" t="b">
        <f t="shared" si="19"/>
        <v>0</v>
      </c>
      <c r="N315" s="9" t="s">
        <v>1452</v>
      </c>
      <c r="O315" s="9">
        <v>0</v>
      </c>
      <c r="P315" s="9">
        <v>1000</v>
      </c>
      <c r="Q315" s="13"/>
      <c r="R315" s="13"/>
      <c r="S315" s="13"/>
      <c r="T315" s="9" t="s">
        <v>146</v>
      </c>
      <c r="U315" s="13"/>
      <c r="V315" s="9" t="s">
        <v>30</v>
      </c>
      <c r="W315" s="13"/>
      <c r="X315" s="9">
        <v>2</v>
      </c>
    </row>
    <row r="316" spans="1:24">
      <c r="A316" s="13"/>
      <c r="B316" s="9" t="s">
        <v>1453</v>
      </c>
      <c r="C316" s="9" t="str">
        <f>VLOOKUP(B316,[1]RXNS!$B:$C,1,)</f>
        <v>GLNS</v>
      </c>
      <c r="D316" s="9" t="b">
        <f t="shared" si="16"/>
        <v>1</v>
      </c>
      <c r="E316" s="9" t="s">
        <v>1454</v>
      </c>
      <c r="F316" s="9" t="s">
        <v>1454</v>
      </c>
      <c r="G316" s="9" t="b">
        <f t="shared" si="17"/>
        <v>1</v>
      </c>
      <c r="H316" s="9" t="str">
        <f>VLOOKUP(B316,[1]RXNS!$B:$D,3,FALSE)</f>
        <v>ATP[c] + L-Glutamate[c] + Ammonium[c] =&gt; ADP[c] + L-Glutamine[c] + H+[c] + Phosphate[c]</v>
      </c>
      <c r="I316" s="9" t="s">
        <v>1455</v>
      </c>
      <c r="J316" s="9" t="s">
        <v>1456</v>
      </c>
      <c r="K316" s="9" t="s">
        <v>1455</v>
      </c>
      <c r="L316" s="9" t="b">
        <f t="shared" si="18"/>
        <v>1</v>
      </c>
      <c r="M316" s="9" t="b">
        <f t="shared" si="19"/>
        <v>1</v>
      </c>
      <c r="N316" s="9" t="s">
        <v>1457</v>
      </c>
      <c r="O316" s="9">
        <v>0</v>
      </c>
      <c r="P316" s="9">
        <v>1000</v>
      </c>
      <c r="Q316" s="13"/>
      <c r="R316" s="13"/>
      <c r="S316" s="9" t="s">
        <v>1458</v>
      </c>
      <c r="T316" s="9" t="s">
        <v>49</v>
      </c>
      <c r="U316" s="13"/>
      <c r="V316" s="9" t="s">
        <v>30</v>
      </c>
      <c r="W316" s="13"/>
      <c r="X316" s="9">
        <v>2</v>
      </c>
    </row>
    <row r="317" spans="1:24">
      <c r="A317" s="13"/>
      <c r="B317" s="9" t="s">
        <v>1459</v>
      </c>
      <c r="C317" s="9" t="str">
        <f>VLOOKUP(B317,[1]RXNS!$B:$C,1,)</f>
        <v>GLNTAL</v>
      </c>
      <c r="D317" s="9" t="b">
        <f t="shared" si="16"/>
        <v>1</v>
      </c>
      <c r="E317" s="9" t="s">
        <v>1460</v>
      </c>
      <c r="F317" s="9" t="s">
        <v>1460</v>
      </c>
      <c r="G317" s="9" t="b">
        <f t="shared" si="17"/>
        <v>1</v>
      </c>
      <c r="H317" s="9" t="str">
        <f>VLOOKUP(B317,[1]RXNS!$B:$D,3,FALSE)</f>
        <v>ATP[c] + L-Glutamine[c] + L-Glutamyl-tRNA(Glu)[c] + H2O[c] &lt;=&gt; ADP[c] + L-Glutaminyl-tRNA(Gln)[c] + L-Glutamate[c] + H+[c] + Phosphate[c]</v>
      </c>
      <c r="I317" s="9" t="s">
        <v>1461</v>
      </c>
      <c r="J317" s="9" t="s">
        <v>1462</v>
      </c>
      <c r="K317" s="9" t="s">
        <v>1461</v>
      </c>
      <c r="L317" s="9" t="b">
        <f t="shared" si="18"/>
        <v>1</v>
      </c>
      <c r="M317" s="9" t="b">
        <f t="shared" si="19"/>
        <v>1</v>
      </c>
      <c r="N317" s="9" t="s">
        <v>1463</v>
      </c>
      <c r="O317" s="9">
        <v>-1000</v>
      </c>
      <c r="P317" s="9">
        <v>1000</v>
      </c>
      <c r="Q317" s="13"/>
      <c r="R317" s="13"/>
      <c r="S317" s="13"/>
      <c r="T317" s="9" t="s">
        <v>278</v>
      </c>
      <c r="U317" s="13"/>
      <c r="V317" s="9" t="s">
        <v>30</v>
      </c>
      <c r="W317" s="13"/>
      <c r="X317" s="9">
        <v>2</v>
      </c>
    </row>
    <row r="318" spans="1:24">
      <c r="A318" s="13"/>
      <c r="B318" s="9" t="s">
        <v>1464</v>
      </c>
      <c r="C318" s="9" t="str">
        <f>VLOOKUP(B318,[1]RXNS!$B:$C,1,)</f>
        <v>GLNabc</v>
      </c>
      <c r="D318" s="9" t="b">
        <f t="shared" si="16"/>
        <v>1</v>
      </c>
      <c r="E318" s="9" t="s">
        <v>1465</v>
      </c>
      <c r="F318" s="9" t="s">
        <v>1465</v>
      </c>
      <c r="G318" s="9" t="b">
        <f t="shared" si="17"/>
        <v>1</v>
      </c>
      <c r="H318" s="9" t="str">
        <f>VLOOKUP(B318,[1]RXNS!$B:$D,3,FALSE)</f>
        <v>ATP[c] + L-Glutamine[e] + H2O[c] =&gt; ADP[c] + L-Glutamine[c] + H+[c] + Phosphate[c]</v>
      </c>
      <c r="I318" s="9" t="s">
        <v>431</v>
      </c>
      <c r="J318" s="9" t="s">
        <v>1466</v>
      </c>
      <c r="K318" s="9" t="s">
        <v>431</v>
      </c>
      <c r="L318" s="9" t="b">
        <f t="shared" si="18"/>
        <v>1</v>
      </c>
      <c r="M318" s="9" t="b">
        <f t="shared" si="19"/>
        <v>1</v>
      </c>
      <c r="N318" s="9" t="s">
        <v>1467</v>
      </c>
      <c r="O318" s="9">
        <v>0</v>
      </c>
      <c r="P318" s="9">
        <v>1000</v>
      </c>
      <c r="Q318" s="13"/>
      <c r="R318" s="13"/>
      <c r="S318" s="9" t="s">
        <v>1468</v>
      </c>
      <c r="T318" s="9" t="s">
        <v>146</v>
      </c>
      <c r="U318" s="13"/>
      <c r="V318" s="9" t="s">
        <v>30</v>
      </c>
      <c r="W318" s="13"/>
      <c r="X318" s="9">
        <v>2</v>
      </c>
    </row>
    <row r="319" spans="1:24">
      <c r="A319" s="13"/>
      <c r="B319" s="9" t="s">
        <v>1469</v>
      </c>
      <c r="C319" s="9" t="str">
        <f>VLOOKUP(B319,[1]RXNS!$B:$C,1,)</f>
        <v>GLTAL</v>
      </c>
      <c r="D319" s="9" t="b">
        <f t="shared" si="16"/>
        <v>1</v>
      </c>
      <c r="E319" s="9" t="s">
        <v>1470</v>
      </c>
      <c r="F319" s="9" t="s">
        <v>1470</v>
      </c>
      <c r="G319" s="9" t="b">
        <f t="shared" si="17"/>
        <v>1</v>
      </c>
      <c r="H319" s="9" t="str">
        <f>VLOOKUP(B319,[1]RXNS!$B:$D,3,FALSE)</f>
        <v>lipoteichoic acid (n=25, LRE specific)[c] + 20 UDPglucose[c] =&gt; Lipoteichoic acid (n=25 with glucose residues, LRE specific)[c] + 20 H+[c] + 20 UDP[c]</v>
      </c>
      <c r="I319" s="9" t="s">
        <v>1471</v>
      </c>
      <c r="J319" s="9" t="s">
        <v>1472</v>
      </c>
      <c r="K319" s="9" t="s">
        <v>1471</v>
      </c>
      <c r="L319" s="9" t="b">
        <f t="shared" si="18"/>
        <v>1</v>
      </c>
      <c r="M319" s="9" t="b">
        <f t="shared" si="19"/>
        <v>1</v>
      </c>
      <c r="N319" s="9" t="s">
        <v>1473</v>
      </c>
      <c r="O319" s="9">
        <v>0</v>
      </c>
      <c r="P319" s="9">
        <v>1000</v>
      </c>
      <c r="Q319" s="13"/>
      <c r="R319" s="13"/>
      <c r="S319" s="13"/>
      <c r="T319" s="9" t="s">
        <v>348</v>
      </c>
      <c r="U319" s="13"/>
      <c r="V319" s="9" t="s">
        <v>30</v>
      </c>
      <c r="W319" s="13"/>
      <c r="X319" s="9">
        <v>2</v>
      </c>
    </row>
    <row r="320" spans="1:24">
      <c r="A320" s="13"/>
      <c r="B320" s="9" t="s">
        <v>1474</v>
      </c>
      <c r="C320" s="9" t="str">
        <f>VLOOKUP(B320,[1]RXNS!$B:$C,1,)</f>
        <v>GLU5K</v>
      </c>
      <c r="D320" s="9" t="b">
        <f t="shared" si="16"/>
        <v>1</v>
      </c>
      <c r="E320" s="9" t="s">
        <v>1475</v>
      </c>
      <c r="F320" s="9" t="s">
        <v>1475</v>
      </c>
      <c r="G320" s="9" t="b">
        <f t="shared" si="17"/>
        <v>1</v>
      </c>
      <c r="H320" s="9" t="str">
        <f>VLOOKUP(B320,[1]RXNS!$B:$D,3,FALSE)</f>
        <v>ATP[c] + L-Glutamate[c] =&gt; ADP[c] + L-Glutamate 5-phosphate[c]</v>
      </c>
      <c r="I320" s="9" t="s">
        <v>1476</v>
      </c>
      <c r="J320" s="9" t="s">
        <v>1477</v>
      </c>
      <c r="K320" s="9" t="s">
        <v>1476</v>
      </c>
      <c r="L320" s="9" t="b">
        <f t="shared" si="18"/>
        <v>1</v>
      </c>
      <c r="M320" s="9" t="b">
        <f t="shared" si="19"/>
        <v>1</v>
      </c>
      <c r="N320" s="9" t="s">
        <v>1478</v>
      </c>
      <c r="O320" s="9">
        <v>0</v>
      </c>
      <c r="P320" s="9">
        <v>1000</v>
      </c>
      <c r="Q320" s="13"/>
      <c r="R320" s="13"/>
      <c r="S320" s="9" t="s">
        <v>1479</v>
      </c>
      <c r="T320" s="9" t="s">
        <v>1341</v>
      </c>
      <c r="U320" s="13"/>
      <c r="V320" s="9" t="s">
        <v>30</v>
      </c>
      <c r="W320" s="13"/>
      <c r="X320" s="9">
        <v>2</v>
      </c>
    </row>
    <row r="321" spans="1:24">
      <c r="A321" s="13"/>
      <c r="B321" s="9" t="s">
        <v>1480</v>
      </c>
      <c r="C321" s="9" t="str">
        <f>VLOOKUP(B321,[1]RXNS!$B:$C,1,)</f>
        <v>GLUCYSL</v>
      </c>
      <c r="D321" s="9" t="b">
        <f t="shared" si="16"/>
        <v>1</v>
      </c>
      <c r="E321" s="9" t="s">
        <v>1481</v>
      </c>
      <c r="F321" s="9" t="s">
        <v>1481</v>
      </c>
      <c r="G321" s="9" t="b">
        <f t="shared" si="17"/>
        <v>1</v>
      </c>
      <c r="H321" s="9" t="str">
        <f>VLOOKUP(B321,[1]RXNS!$B:$D,3,FALSE)</f>
        <v>ATP[c] + L-Cysteine[c] + L-Glutamate[c] =&gt; ADP[c] + gamma-L-Glutamyl-L-cysteine[c] + H+[c] + Phosphate[c]</v>
      </c>
      <c r="I321" s="9" t="s">
        <v>1482</v>
      </c>
      <c r="J321" s="9" t="s">
        <v>1483</v>
      </c>
      <c r="K321" s="9" t="s">
        <v>1482</v>
      </c>
      <c r="L321" s="9" t="b">
        <f t="shared" si="18"/>
        <v>1</v>
      </c>
      <c r="M321" s="9" t="b">
        <f t="shared" si="19"/>
        <v>1</v>
      </c>
      <c r="N321" s="9" t="s">
        <v>1484</v>
      </c>
      <c r="O321" s="9">
        <v>0</v>
      </c>
      <c r="P321" s="9">
        <v>1000</v>
      </c>
      <c r="Q321" s="13"/>
      <c r="R321" s="13"/>
      <c r="S321" s="13"/>
      <c r="T321" s="9" t="s">
        <v>239</v>
      </c>
      <c r="U321" s="13"/>
      <c r="V321" s="9" t="s">
        <v>30</v>
      </c>
      <c r="W321" s="13"/>
      <c r="X321" s="9">
        <v>2</v>
      </c>
    </row>
    <row r="322" spans="1:24">
      <c r="A322" s="13"/>
      <c r="B322" s="9" t="s">
        <v>1485</v>
      </c>
      <c r="C322" s="9" t="str">
        <f>VLOOKUP(B322,[1]RXNS!$B:$C,1,)</f>
        <v>GLUK</v>
      </c>
      <c r="D322" s="9" t="b">
        <f t="shared" ref="D322:D385" si="20">EXACT(B322,C322)</f>
        <v>1</v>
      </c>
      <c r="E322" s="9" t="s">
        <v>1486</v>
      </c>
      <c r="F322" s="9" t="s">
        <v>1486</v>
      </c>
      <c r="G322" s="9" t="b">
        <f t="shared" ref="G322:G385" si="21">EXACT(E322,F322)</f>
        <v>1</v>
      </c>
      <c r="H322" s="9" t="str">
        <f>VLOOKUP(B322,[1]RXNS!$B:$D,3,FALSE)</f>
        <v>ATP[c] + D-Glucose[c] =&gt; ADP[c] + D-Glucose 6-phosphate[c] + H+[c]</v>
      </c>
      <c r="I322" s="9" t="s">
        <v>1487</v>
      </c>
      <c r="J322" s="9" t="s">
        <v>1488</v>
      </c>
      <c r="K322" s="9" t="s">
        <v>1487</v>
      </c>
      <c r="L322" s="9" t="b">
        <f t="shared" ref="L322:L385" si="22">EXACT(H322,J322)</f>
        <v>1</v>
      </c>
      <c r="M322" s="9" t="b">
        <f t="shared" ref="M322:M385" si="23">EXACT(I322,K322)</f>
        <v>1</v>
      </c>
      <c r="N322" s="9" t="s">
        <v>1489</v>
      </c>
      <c r="O322" s="9">
        <v>0</v>
      </c>
      <c r="P322" s="9">
        <v>1000</v>
      </c>
      <c r="Q322" s="13"/>
      <c r="R322" s="13"/>
      <c r="S322" s="13"/>
      <c r="T322" s="9" t="s">
        <v>330</v>
      </c>
      <c r="U322" s="13"/>
      <c r="V322" s="9" t="s">
        <v>30</v>
      </c>
      <c r="W322" s="13"/>
      <c r="X322" s="9">
        <v>2</v>
      </c>
    </row>
    <row r="323" spans="1:24">
      <c r="A323" s="13"/>
      <c r="B323" s="9" t="s">
        <v>1490</v>
      </c>
      <c r="C323" s="9" t="str">
        <f>VLOOKUP(B323,[1]RXNS!$B:$C,1,)</f>
        <v>GLUN</v>
      </c>
      <c r="D323" s="9" t="b">
        <f t="shared" si="20"/>
        <v>1</v>
      </c>
      <c r="E323" s="9" t="s">
        <v>1491</v>
      </c>
      <c r="F323" s="9" t="s">
        <v>1491</v>
      </c>
      <c r="G323" s="9" t="b">
        <f t="shared" si="21"/>
        <v>1</v>
      </c>
      <c r="H323" s="9" t="str">
        <f>VLOOKUP(B323,[1]RXNS!$B:$D,3,FALSE)</f>
        <v>L-Glutamine[c] + H2O[c] =&gt; L-Glutamate[c] + Ammonium[c]</v>
      </c>
      <c r="I323" s="9" t="s">
        <v>1492</v>
      </c>
      <c r="J323" s="9" t="s">
        <v>1493</v>
      </c>
      <c r="K323" s="9" t="s">
        <v>1492</v>
      </c>
      <c r="L323" s="9" t="b">
        <f t="shared" si="22"/>
        <v>1</v>
      </c>
      <c r="M323" s="9" t="b">
        <f t="shared" si="23"/>
        <v>1</v>
      </c>
      <c r="N323" s="13"/>
      <c r="O323" s="9">
        <v>0</v>
      </c>
      <c r="P323" s="9">
        <v>1000</v>
      </c>
      <c r="Q323" s="13"/>
      <c r="R323" s="13"/>
      <c r="S323" s="13"/>
      <c r="T323" s="9" t="s">
        <v>49</v>
      </c>
      <c r="U323" s="13"/>
      <c r="V323" s="9" t="s">
        <v>35</v>
      </c>
      <c r="W323" s="13"/>
      <c r="X323" s="9">
        <v>2</v>
      </c>
    </row>
    <row r="324" spans="1:24">
      <c r="A324" s="13"/>
      <c r="B324" s="9" t="s">
        <v>1494</v>
      </c>
      <c r="C324" s="9" t="str">
        <f>VLOOKUP(B324,[1]RXNS!$B:$C,1,)</f>
        <v>GLUPRT</v>
      </c>
      <c r="D324" s="9" t="b">
        <f t="shared" si="20"/>
        <v>1</v>
      </c>
      <c r="E324" s="9" t="s">
        <v>1495</v>
      </c>
      <c r="F324" s="9" t="s">
        <v>1495</v>
      </c>
      <c r="G324" s="9" t="b">
        <f t="shared" si="21"/>
        <v>1</v>
      </c>
      <c r="H324" s="9" t="str">
        <f>VLOOKUP(B324,[1]RXNS!$B:$D,3,FALSE)</f>
        <v>L-Glutamine[c] + H2O[c] + 5-Phospho-alpha-D-ribose 1-diphosphate[c] =&gt; L-Glutamate[c] + Diphosphate[c] + 5-Phospho-beta-D-ribosylamine[c]</v>
      </c>
      <c r="I324" s="9" t="s">
        <v>1496</v>
      </c>
      <c r="J324" s="9" t="s">
        <v>1497</v>
      </c>
      <c r="K324" s="9" t="s">
        <v>1496</v>
      </c>
      <c r="L324" s="9" t="b">
        <f t="shared" si="22"/>
        <v>1</v>
      </c>
      <c r="M324" s="9" t="b">
        <f t="shared" si="23"/>
        <v>1</v>
      </c>
      <c r="N324" s="9" t="s">
        <v>1498</v>
      </c>
      <c r="O324" s="9">
        <v>0</v>
      </c>
      <c r="P324" s="9">
        <v>1000</v>
      </c>
      <c r="Q324" s="13"/>
      <c r="R324" s="13"/>
      <c r="S324" s="9" t="s">
        <v>1499</v>
      </c>
      <c r="T324" s="9" t="s">
        <v>153</v>
      </c>
      <c r="U324" s="13"/>
      <c r="V324" s="9" t="s">
        <v>30</v>
      </c>
      <c r="W324" s="13"/>
      <c r="X324" s="9">
        <v>2</v>
      </c>
    </row>
    <row r="325" spans="1:24">
      <c r="A325" s="13"/>
      <c r="B325" s="9" t="s">
        <v>1500</v>
      </c>
      <c r="C325" s="9" t="str">
        <f>VLOOKUP(B325,[1]RXNS!$B:$C,1,)</f>
        <v>GLUR</v>
      </c>
      <c r="D325" s="9" t="b">
        <f t="shared" si="20"/>
        <v>1</v>
      </c>
      <c r="E325" s="9" t="s">
        <v>1501</v>
      </c>
      <c r="F325" s="9" t="s">
        <v>1501</v>
      </c>
      <c r="G325" s="9" t="b">
        <f t="shared" si="21"/>
        <v>1</v>
      </c>
      <c r="H325" s="9" t="str">
        <f>VLOOKUP(B325,[1]RXNS!$B:$D,3,FALSE)</f>
        <v>D-Glutamate[c] &lt;=&gt; L-Glutamate[c]</v>
      </c>
      <c r="I325" s="9" t="s">
        <v>1502</v>
      </c>
      <c r="J325" s="9" t="s">
        <v>1503</v>
      </c>
      <c r="K325" s="9" t="s">
        <v>1502</v>
      </c>
      <c r="L325" s="9" t="b">
        <f t="shared" si="22"/>
        <v>1</v>
      </c>
      <c r="M325" s="9" t="b">
        <f t="shared" si="23"/>
        <v>1</v>
      </c>
      <c r="N325" s="9" t="s">
        <v>1504</v>
      </c>
      <c r="O325" s="9">
        <v>-1000</v>
      </c>
      <c r="P325" s="9">
        <v>1000</v>
      </c>
      <c r="Q325" s="13"/>
      <c r="R325" s="13"/>
      <c r="S325" s="9" t="s">
        <v>1505</v>
      </c>
      <c r="T325" s="9" t="s">
        <v>1506</v>
      </c>
      <c r="U325" s="13"/>
      <c r="V325" s="9" t="s">
        <v>30</v>
      </c>
      <c r="W325" s="13"/>
      <c r="X325" s="9">
        <v>2</v>
      </c>
    </row>
    <row r="326" spans="1:24">
      <c r="A326" s="13"/>
      <c r="B326" s="9" t="s">
        <v>1507</v>
      </c>
      <c r="C326" s="9" t="str">
        <f>VLOOKUP(B326,[1]RXNS!$B:$C,1,)</f>
        <v>GLUTRR</v>
      </c>
      <c r="D326" s="9" t="b">
        <f t="shared" si="20"/>
        <v>1</v>
      </c>
      <c r="E326" s="9" t="s">
        <v>1508</v>
      </c>
      <c r="F326" s="9" t="s">
        <v>1508</v>
      </c>
      <c r="G326" s="9" t="b">
        <f t="shared" si="21"/>
        <v>1</v>
      </c>
      <c r="H326" s="9" t="str">
        <f>VLOOKUP(B326,[1]RXNS!$B:$D,3,FALSE)</f>
        <v>L-Glutamyl-tRNA(Glu)[c] + H+[c] + Nicotinamide adenine dinucleotide phosphate - reduced[c] =&gt; L-Glutamate 1-semialdehyde[c] + Nicotinamide adenine dinucleotide phosphate[c] + tRNA (Glu)[c]</v>
      </c>
      <c r="I326" s="9" t="s">
        <v>1509</v>
      </c>
      <c r="J326" s="9" t="s">
        <v>1510</v>
      </c>
      <c r="K326" s="9" t="s">
        <v>1509</v>
      </c>
      <c r="L326" s="9" t="b">
        <f t="shared" si="22"/>
        <v>1</v>
      </c>
      <c r="M326" s="9" t="b">
        <f t="shared" si="23"/>
        <v>1</v>
      </c>
      <c r="N326" s="13"/>
      <c r="O326" s="9">
        <v>0</v>
      </c>
      <c r="P326" s="9">
        <v>1000</v>
      </c>
      <c r="Q326" s="13"/>
      <c r="R326" s="13"/>
      <c r="S326" s="13"/>
      <c r="T326" s="9" t="s">
        <v>85</v>
      </c>
      <c r="U326" s="13"/>
      <c r="V326" s="9" t="s">
        <v>35</v>
      </c>
      <c r="W326" s="13"/>
      <c r="X326" s="9">
        <v>2</v>
      </c>
    </row>
    <row r="327" spans="1:24">
      <c r="A327" s="13"/>
      <c r="B327" s="9" t="s">
        <v>1511</v>
      </c>
      <c r="C327" s="9" t="str">
        <f>VLOOKUP(B327,[1]RXNS!$B:$C,1,)</f>
        <v>GLUTRS</v>
      </c>
      <c r="D327" s="9" t="b">
        <f t="shared" si="20"/>
        <v>1</v>
      </c>
      <c r="E327" s="9" t="s">
        <v>1512</v>
      </c>
      <c r="F327" s="9" t="s">
        <v>1512</v>
      </c>
      <c r="G327" s="9" t="b">
        <f t="shared" si="21"/>
        <v>1</v>
      </c>
      <c r="H327" s="9" t="str">
        <f>VLOOKUP(B327,[1]RXNS!$B:$D,3,FALSE)</f>
        <v>ATP[c] + L-Glutamate[c] + tRNA (Glu)[c] =&gt; AMP[c] + L-Glutamyl-tRNA(Glu)[c] + Diphosphate[c]</v>
      </c>
      <c r="I327" s="9" t="s">
        <v>1513</v>
      </c>
      <c r="J327" s="9" t="s">
        <v>1514</v>
      </c>
      <c r="K327" s="9" t="s">
        <v>1513</v>
      </c>
      <c r="L327" s="9" t="b">
        <f t="shared" si="22"/>
        <v>1</v>
      </c>
      <c r="M327" s="9" t="b">
        <f t="shared" si="23"/>
        <v>1</v>
      </c>
      <c r="N327" s="9" t="s">
        <v>1515</v>
      </c>
      <c r="O327" s="9">
        <v>0</v>
      </c>
      <c r="P327" s="9">
        <v>1000</v>
      </c>
      <c r="Q327" s="13"/>
      <c r="R327" s="13"/>
      <c r="S327" s="9" t="s">
        <v>1516</v>
      </c>
      <c r="T327" s="9" t="s">
        <v>278</v>
      </c>
      <c r="U327" s="13"/>
      <c r="V327" s="9" t="s">
        <v>30</v>
      </c>
      <c r="W327" s="13"/>
      <c r="X327" s="9">
        <v>2</v>
      </c>
    </row>
    <row r="328" spans="1:24">
      <c r="A328" s="13"/>
      <c r="B328" s="9" t="s">
        <v>1517</v>
      </c>
      <c r="C328" s="9" t="str">
        <f>VLOOKUP(B328,[1]RXNS!$B:$C,1,)</f>
        <v>GLUt6</v>
      </c>
      <c r="D328" s="9" t="b">
        <f t="shared" si="20"/>
        <v>1</v>
      </c>
      <c r="E328" s="9" t="s">
        <v>1518</v>
      </c>
      <c r="F328" s="9" t="s">
        <v>1518</v>
      </c>
      <c r="G328" s="9" t="b">
        <f t="shared" si="21"/>
        <v>1</v>
      </c>
      <c r="H328" s="9" t="str">
        <f>VLOOKUP(B328,[1]RXNS!$B:$D,3,FALSE)</f>
        <v>L-Glutamate[e] + H+[e] &lt;=&gt; L-Glutamate[c] + H+[c]</v>
      </c>
      <c r="I328" s="9">
        <f>VLOOKUP(B328,[1]RXNS!$B:$E,4,FALSE)</f>
        <v>0</v>
      </c>
      <c r="J328" s="9" t="s">
        <v>1519</v>
      </c>
      <c r="K328" s="13"/>
      <c r="L328" s="9" t="b">
        <f t="shared" si="22"/>
        <v>1</v>
      </c>
      <c r="M328" s="9" t="b">
        <f t="shared" si="23"/>
        <v>0</v>
      </c>
      <c r="N328" s="9" t="s">
        <v>1520</v>
      </c>
      <c r="O328" s="9">
        <v>-1000</v>
      </c>
      <c r="P328" s="9">
        <v>1000</v>
      </c>
      <c r="Q328" s="13"/>
      <c r="R328" s="13"/>
      <c r="S328" s="13"/>
      <c r="T328" s="9" t="s">
        <v>146</v>
      </c>
      <c r="U328" s="13"/>
      <c r="V328" s="9" t="s">
        <v>30</v>
      </c>
      <c r="W328" s="13"/>
      <c r="X328" s="9">
        <v>2</v>
      </c>
    </row>
    <row r="329" spans="1:24">
      <c r="A329" s="13"/>
      <c r="B329" s="9" t="s">
        <v>1521</v>
      </c>
      <c r="C329" s="9" t="str">
        <f>VLOOKUP(B329,[1]RXNS!$B:$C,1,)</f>
        <v>GLYBabc</v>
      </c>
      <c r="D329" s="9" t="b">
        <f t="shared" si="20"/>
        <v>1</v>
      </c>
      <c r="E329" s="9" t="s">
        <v>1522</v>
      </c>
      <c r="F329" s="9" t="s">
        <v>1522</v>
      </c>
      <c r="G329" s="9" t="b">
        <f t="shared" si="21"/>
        <v>1</v>
      </c>
      <c r="H329" s="9" t="str">
        <f>VLOOKUP(B329,[1]RXNS!$B:$D,3,FALSE)</f>
        <v>ATP[c] + Glycine betaine[e] + H2O[c] =&gt; ADP[c] + Glycine betaine[c] + H+[c] + Phosphate[c]</v>
      </c>
      <c r="I329" s="9">
        <f>VLOOKUP(B329,[1]RXNS!$B:$E,4,FALSE)</f>
        <v>0</v>
      </c>
      <c r="J329" s="9" t="s">
        <v>1523</v>
      </c>
      <c r="K329" s="13"/>
      <c r="L329" s="9" t="b">
        <f t="shared" si="22"/>
        <v>1</v>
      </c>
      <c r="M329" s="9" t="b">
        <f t="shared" si="23"/>
        <v>0</v>
      </c>
      <c r="N329" s="9" t="s">
        <v>583</v>
      </c>
      <c r="O329" s="9">
        <v>0</v>
      </c>
      <c r="P329" s="9">
        <v>1000</v>
      </c>
      <c r="Q329" s="13"/>
      <c r="R329" s="13"/>
      <c r="S329" s="9" t="s">
        <v>1524</v>
      </c>
      <c r="T329" s="9" t="s">
        <v>146</v>
      </c>
      <c r="U329" s="13"/>
      <c r="V329" s="9" t="s">
        <v>30</v>
      </c>
      <c r="W329" s="13"/>
      <c r="X329" s="9">
        <v>2</v>
      </c>
    </row>
    <row r="330" spans="1:24">
      <c r="A330" s="13"/>
      <c r="B330" s="9" t="s">
        <v>1525</v>
      </c>
      <c r="C330" s="9" t="str">
        <f>VLOOKUP(B330,[1]RXNS!$B:$C,1,)</f>
        <v>GLYBt6</v>
      </c>
      <c r="D330" s="9" t="b">
        <f t="shared" si="20"/>
        <v>1</v>
      </c>
      <c r="E330" s="9" t="s">
        <v>1526</v>
      </c>
      <c r="F330" s="9" t="s">
        <v>1526</v>
      </c>
      <c r="G330" s="9" t="b">
        <f t="shared" si="21"/>
        <v>1</v>
      </c>
      <c r="H330" s="9" t="str">
        <f>VLOOKUP(B330,[1]RXNS!$B:$D,3,FALSE)</f>
        <v>Glycine betaine[e] + H+[e] &lt;=&gt; Glycine betaine[c] + H+[c]</v>
      </c>
      <c r="I330" s="9">
        <f>VLOOKUP(B330,[1]RXNS!$B:$E,4,FALSE)</f>
        <v>0</v>
      </c>
      <c r="J330" s="9" t="s">
        <v>1527</v>
      </c>
      <c r="K330" s="13"/>
      <c r="L330" s="9" t="b">
        <f t="shared" si="22"/>
        <v>1</v>
      </c>
      <c r="M330" s="9" t="b">
        <f t="shared" si="23"/>
        <v>0</v>
      </c>
      <c r="N330" s="9" t="s">
        <v>588</v>
      </c>
      <c r="O330" s="9">
        <v>-1000</v>
      </c>
      <c r="P330" s="9">
        <v>1000</v>
      </c>
      <c r="Q330" s="13"/>
      <c r="R330" s="13"/>
      <c r="S330" s="13"/>
      <c r="T330" s="9" t="s">
        <v>146</v>
      </c>
      <c r="U330" s="13"/>
      <c r="V330" s="9" t="s">
        <v>30</v>
      </c>
      <c r="W330" s="13"/>
      <c r="X330" s="9">
        <v>2</v>
      </c>
    </row>
    <row r="331" spans="1:24">
      <c r="A331" s="13"/>
      <c r="B331" s="9" t="s">
        <v>1528</v>
      </c>
      <c r="C331" s="9" t="str">
        <f>VLOOKUP(B331,[1]RXNS!$B:$C,1,)</f>
        <v>GLYCDH</v>
      </c>
      <c r="D331" s="9" t="b">
        <f t="shared" si="20"/>
        <v>1</v>
      </c>
      <c r="E331" s="9" t="s">
        <v>1529</v>
      </c>
      <c r="F331" s="9" t="s">
        <v>1529</v>
      </c>
      <c r="G331" s="9" t="b">
        <f t="shared" si="21"/>
        <v>1</v>
      </c>
      <c r="H331" s="9" t="str">
        <f>VLOOKUP(B331,[1]RXNS!$B:$D,3,FALSE)</f>
        <v>Glycerol[c] &lt;=&gt; 3-Hydroxypropanal[c] + H2O[c]</v>
      </c>
      <c r="I331" s="9" t="s">
        <v>1530</v>
      </c>
      <c r="J331" s="9" t="s">
        <v>1531</v>
      </c>
      <c r="K331" s="9" t="s">
        <v>1530</v>
      </c>
      <c r="L331" s="9" t="b">
        <f t="shared" si="22"/>
        <v>1</v>
      </c>
      <c r="M331" s="9" t="b">
        <f t="shared" si="23"/>
        <v>1</v>
      </c>
      <c r="N331" s="13"/>
      <c r="O331" s="9">
        <v>-1000</v>
      </c>
      <c r="P331" s="9">
        <v>1000</v>
      </c>
      <c r="Q331" s="13"/>
      <c r="R331" s="13"/>
      <c r="S331" s="13"/>
      <c r="T331" s="9" t="s">
        <v>228</v>
      </c>
      <c r="U331" s="13"/>
      <c r="V331" s="9" t="s">
        <v>35</v>
      </c>
      <c r="W331" s="13"/>
      <c r="X331" s="9">
        <v>2</v>
      </c>
    </row>
    <row r="332" spans="1:24">
      <c r="A332" s="13"/>
      <c r="B332" s="9" t="s">
        <v>1532</v>
      </c>
      <c r="C332" s="9" t="str">
        <f>VLOOKUP(B332,[1]RXNS!$B:$C,1,)</f>
        <v>GLYCDx</v>
      </c>
      <c r="D332" s="9" t="b">
        <f t="shared" si="20"/>
        <v>1</v>
      </c>
      <c r="E332" s="9" t="s">
        <v>1533</v>
      </c>
      <c r="F332" s="9" t="s">
        <v>1533</v>
      </c>
      <c r="G332" s="9" t="b">
        <f t="shared" si="21"/>
        <v>1</v>
      </c>
      <c r="H332" s="9" t="str">
        <f>VLOOKUP(B332,[1]RXNS!$B:$D,3,FALSE)</f>
        <v>Glycerol[c] + Nicotinamide adenine dinucleotide[c] =&gt; Dihydroxyacetone[c] + H+[c] + Nicotinamide adenine dinucleotide - reduced[c]</v>
      </c>
      <c r="I332" s="9" t="s">
        <v>339</v>
      </c>
      <c r="J332" s="9" t="s">
        <v>1534</v>
      </c>
      <c r="K332" s="9" t="s">
        <v>339</v>
      </c>
      <c r="L332" s="9" t="b">
        <f t="shared" si="22"/>
        <v>1</v>
      </c>
      <c r="M332" s="9" t="b">
        <f t="shared" si="23"/>
        <v>1</v>
      </c>
      <c r="N332" s="9" t="s">
        <v>335</v>
      </c>
      <c r="O332" s="9">
        <v>0</v>
      </c>
      <c r="P332" s="9">
        <v>1000</v>
      </c>
      <c r="Q332" s="13"/>
      <c r="R332" s="13"/>
      <c r="S332" s="9" t="s">
        <v>1535</v>
      </c>
      <c r="T332" s="9" t="s">
        <v>228</v>
      </c>
      <c r="U332" s="13"/>
      <c r="V332" s="9" t="s">
        <v>30</v>
      </c>
      <c r="W332" s="13"/>
      <c r="X332" s="9">
        <v>2</v>
      </c>
    </row>
    <row r="333" spans="1:24">
      <c r="A333" s="13"/>
      <c r="B333" s="9" t="s">
        <v>1536</v>
      </c>
      <c r="C333" s="9" t="str">
        <f>VLOOKUP(B333,[1]RXNS!$B:$C,1,)</f>
        <v>GLYCK</v>
      </c>
      <c r="D333" s="9" t="b">
        <f t="shared" si="20"/>
        <v>1</v>
      </c>
      <c r="E333" s="9" t="s">
        <v>1537</v>
      </c>
      <c r="F333" s="9" t="s">
        <v>1537</v>
      </c>
      <c r="G333" s="9" t="b">
        <f t="shared" si="21"/>
        <v>1</v>
      </c>
      <c r="H333" s="9" t="str">
        <f>VLOOKUP(B333,[1]RXNS!$B:$D,3,FALSE)</f>
        <v>ATP[c] + (R)-Glycerate[c] =&gt; 3-Phospho-D-glycerate[c] + ADP[c] + H+[c]</v>
      </c>
      <c r="I333" s="9" t="s">
        <v>1538</v>
      </c>
      <c r="J333" s="9" t="s">
        <v>1539</v>
      </c>
      <c r="K333" s="9" t="s">
        <v>1538</v>
      </c>
      <c r="L333" s="9" t="b">
        <f t="shared" si="22"/>
        <v>1</v>
      </c>
      <c r="M333" s="9" t="b">
        <f t="shared" si="23"/>
        <v>1</v>
      </c>
      <c r="N333" s="9" t="s">
        <v>1540</v>
      </c>
      <c r="O333" s="9">
        <v>0</v>
      </c>
      <c r="P333" s="9">
        <v>1000</v>
      </c>
      <c r="Q333" s="13"/>
      <c r="R333" s="13"/>
      <c r="S333" s="9" t="s">
        <v>1541</v>
      </c>
      <c r="T333" s="9" t="s">
        <v>228</v>
      </c>
      <c r="U333" s="13"/>
      <c r="V333" s="9" t="s">
        <v>30</v>
      </c>
      <c r="W333" s="13"/>
      <c r="X333" s="9">
        <v>2</v>
      </c>
    </row>
    <row r="334" spans="1:24">
      <c r="A334" s="13"/>
      <c r="B334" s="9" t="s">
        <v>1542</v>
      </c>
      <c r="C334" s="9" t="str">
        <f>VLOOKUP(B334,[1]RXNS!$B:$C,1,)</f>
        <v>GLYCt5</v>
      </c>
      <c r="D334" s="9" t="b">
        <f t="shared" si="20"/>
        <v>1</v>
      </c>
      <c r="E334" s="9" t="s">
        <v>1543</v>
      </c>
      <c r="F334" s="9" t="s">
        <v>1543</v>
      </c>
      <c r="G334" s="9" t="b">
        <f t="shared" si="21"/>
        <v>1</v>
      </c>
      <c r="H334" s="9" t="str">
        <f>VLOOKUP(B334,[1]RXNS!$B:$D,3,FALSE)</f>
        <v>Glycerol[c] &lt;=&gt; Glycerol[e]</v>
      </c>
      <c r="I334" s="9">
        <f>VLOOKUP(B334,[1]RXNS!$B:$E,4,FALSE)</f>
        <v>0</v>
      </c>
      <c r="J334" s="9" t="s">
        <v>1544</v>
      </c>
      <c r="K334" s="13"/>
      <c r="L334" s="9" t="b">
        <f t="shared" si="22"/>
        <v>1</v>
      </c>
      <c r="M334" s="9" t="b">
        <f t="shared" si="23"/>
        <v>0</v>
      </c>
      <c r="N334" s="13"/>
      <c r="O334" s="9">
        <v>-1000</v>
      </c>
      <c r="P334" s="9">
        <v>1000</v>
      </c>
      <c r="Q334" s="13"/>
      <c r="R334" s="13"/>
      <c r="S334" s="13"/>
      <c r="T334" s="9" t="s">
        <v>146</v>
      </c>
      <c r="U334" s="13"/>
      <c r="V334" s="9" t="s">
        <v>35</v>
      </c>
      <c r="W334" s="13"/>
      <c r="X334" s="9">
        <v>2</v>
      </c>
    </row>
    <row r="335" spans="1:24">
      <c r="A335" s="13"/>
      <c r="B335" s="9" t="s">
        <v>1545</v>
      </c>
      <c r="C335" s="9" t="str">
        <f>VLOOKUP(B335,[1]RXNS!$B:$C,1,)</f>
        <v>GLYK</v>
      </c>
      <c r="D335" s="9" t="b">
        <f t="shared" si="20"/>
        <v>1</v>
      </c>
      <c r="E335" s="9" t="s">
        <v>1546</v>
      </c>
      <c r="F335" s="9" t="s">
        <v>1546</v>
      </c>
      <c r="G335" s="9" t="b">
        <f t="shared" si="21"/>
        <v>1</v>
      </c>
      <c r="H335" s="9" t="str">
        <f>VLOOKUP(B335,[1]RXNS!$B:$D,3,FALSE)</f>
        <v>ATP[c] + Glycerol[c] =&gt; ADP[c] + sn-Glycerol 3-phosphate[c] + H+[c]</v>
      </c>
      <c r="I335" s="9" t="s">
        <v>1547</v>
      </c>
      <c r="J335" s="9" t="s">
        <v>1548</v>
      </c>
      <c r="K335" s="9" t="s">
        <v>1547</v>
      </c>
      <c r="L335" s="9" t="b">
        <f t="shared" si="22"/>
        <v>1</v>
      </c>
      <c r="M335" s="9" t="b">
        <f t="shared" si="23"/>
        <v>1</v>
      </c>
      <c r="N335" s="9" t="s">
        <v>1549</v>
      </c>
      <c r="O335" s="9">
        <v>0</v>
      </c>
      <c r="P335" s="9">
        <v>1000</v>
      </c>
      <c r="Q335" s="13"/>
      <c r="R335" s="13"/>
      <c r="S335" s="9" t="s">
        <v>1550</v>
      </c>
      <c r="T335" s="9" t="s">
        <v>228</v>
      </c>
      <c r="U335" s="13"/>
      <c r="V335" s="9" t="s">
        <v>30</v>
      </c>
      <c r="W335" s="13"/>
      <c r="X335" s="9">
        <v>2</v>
      </c>
    </row>
    <row r="336" spans="1:24">
      <c r="A336" s="13"/>
      <c r="B336" s="9" t="s">
        <v>1551</v>
      </c>
      <c r="C336" s="9" t="str">
        <f>VLOOKUP(B336,[1]RXNS!$B:$C,1,)</f>
        <v>GLYTRS</v>
      </c>
      <c r="D336" s="9" t="b">
        <f t="shared" si="20"/>
        <v>1</v>
      </c>
      <c r="E336" s="9" t="s">
        <v>1552</v>
      </c>
      <c r="F336" s="9" t="s">
        <v>1552</v>
      </c>
      <c r="G336" s="9" t="b">
        <f t="shared" si="21"/>
        <v>1</v>
      </c>
      <c r="H336" s="9" t="str">
        <f>VLOOKUP(B336,[1]RXNS!$B:$D,3,FALSE)</f>
        <v>ATP[c] + Glycine[c] + tRNA(Gly)[c] =&gt; AMP[c] + Glycyl-tRNA(Gly)[c] + Diphosphate[c]</v>
      </c>
      <c r="I336" s="9" t="s">
        <v>1553</v>
      </c>
      <c r="J336" s="9" t="s">
        <v>1554</v>
      </c>
      <c r="K336" s="9" t="s">
        <v>1553</v>
      </c>
      <c r="L336" s="9" t="b">
        <f t="shared" si="22"/>
        <v>1</v>
      </c>
      <c r="M336" s="9" t="b">
        <f t="shared" si="23"/>
        <v>1</v>
      </c>
      <c r="N336" s="9" t="s">
        <v>1555</v>
      </c>
      <c r="O336" s="9">
        <v>0</v>
      </c>
      <c r="P336" s="9">
        <v>1000</v>
      </c>
      <c r="Q336" s="13"/>
      <c r="R336" s="13"/>
      <c r="S336" s="13"/>
      <c r="T336" s="9" t="s">
        <v>278</v>
      </c>
      <c r="U336" s="13"/>
      <c r="V336" s="9" t="s">
        <v>30</v>
      </c>
      <c r="W336" s="13"/>
      <c r="X336" s="9">
        <v>2</v>
      </c>
    </row>
    <row r="337" spans="1:24">
      <c r="A337" s="13"/>
      <c r="B337" s="9" t="s">
        <v>1556</v>
      </c>
      <c r="C337" s="9" t="str">
        <f>VLOOKUP(B337,[1]RXNS!$B:$C,1,)</f>
        <v>GLYt6</v>
      </c>
      <c r="D337" s="9" t="b">
        <f t="shared" si="20"/>
        <v>1</v>
      </c>
      <c r="E337" s="9" t="s">
        <v>1557</v>
      </c>
      <c r="F337" s="9" t="s">
        <v>1557</v>
      </c>
      <c r="G337" s="9" t="b">
        <f t="shared" si="21"/>
        <v>1</v>
      </c>
      <c r="H337" s="9" t="str">
        <f>VLOOKUP(B337,[1]RXNS!$B:$D,3,FALSE)</f>
        <v>Glycine[e] + H+[e] &lt;=&gt; Glycine[c] + H+[c]</v>
      </c>
      <c r="I337" s="9">
        <f>VLOOKUP(B337,[1]RXNS!$B:$E,4,FALSE)</f>
        <v>0</v>
      </c>
      <c r="J337" s="9" t="s">
        <v>1558</v>
      </c>
      <c r="K337" s="13"/>
      <c r="L337" s="9" t="b">
        <f t="shared" si="22"/>
        <v>1</v>
      </c>
      <c r="M337" s="9" t="b">
        <f t="shared" si="23"/>
        <v>0</v>
      </c>
      <c r="N337" s="9" t="s">
        <v>282</v>
      </c>
      <c r="O337" s="9">
        <v>-1000</v>
      </c>
      <c r="P337" s="9">
        <v>1000</v>
      </c>
      <c r="Q337" s="13"/>
      <c r="R337" s="13"/>
      <c r="S337" s="13"/>
      <c r="T337" s="9" t="s">
        <v>146</v>
      </c>
      <c r="U337" s="13"/>
      <c r="V337" s="9" t="s">
        <v>30</v>
      </c>
      <c r="W337" s="13"/>
      <c r="X337" s="9">
        <v>2</v>
      </c>
    </row>
    <row r="338" spans="1:24">
      <c r="A338" s="13"/>
      <c r="B338" s="9" t="s">
        <v>1559</v>
      </c>
      <c r="C338" s="9" t="str">
        <f>VLOOKUP(B338,[1]RXNS!$B:$C,1,)</f>
        <v>GMPR</v>
      </c>
      <c r="D338" s="9" t="b">
        <f t="shared" si="20"/>
        <v>1</v>
      </c>
      <c r="E338" s="9" t="s">
        <v>1560</v>
      </c>
      <c r="F338" s="9" t="s">
        <v>1560</v>
      </c>
      <c r="G338" s="9" t="b">
        <f t="shared" si="21"/>
        <v>1</v>
      </c>
      <c r="H338" s="9" t="str">
        <f>VLOOKUP(B338,[1]RXNS!$B:$D,3,FALSE)</f>
        <v>GMP[c] + 2 H+[c] + Nicotinamide adenine dinucleotide phosphate - reduced[c] =&gt; IMP[c] + Nicotinamide adenine dinucleotide phosphate[c] + Ammonium[c]</v>
      </c>
      <c r="I338" s="9" t="s">
        <v>1561</v>
      </c>
      <c r="J338" s="9" t="s">
        <v>1562</v>
      </c>
      <c r="K338" s="9" t="s">
        <v>1561</v>
      </c>
      <c r="L338" s="9" t="b">
        <f t="shared" si="22"/>
        <v>1</v>
      </c>
      <c r="M338" s="9" t="b">
        <f t="shared" si="23"/>
        <v>1</v>
      </c>
      <c r="N338" s="9" t="s">
        <v>1563</v>
      </c>
      <c r="O338" s="9">
        <v>0</v>
      </c>
      <c r="P338" s="9">
        <v>1000</v>
      </c>
      <c r="Q338" s="13"/>
      <c r="R338" s="13"/>
      <c r="S338" s="9" t="s">
        <v>1564</v>
      </c>
      <c r="T338" s="9" t="s">
        <v>153</v>
      </c>
      <c r="U338" s="13"/>
      <c r="V338" s="9" t="s">
        <v>30</v>
      </c>
      <c r="W338" s="13"/>
      <c r="X338" s="9">
        <v>2</v>
      </c>
    </row>
    <row r="339" spans="1:24">
      <c r="A339" s="13"/>
      <c r="B339" s="9" t="s">
        <v>1565</v>
      </c>
      <c r="C339" s="9" t="str">
        <f>VLOOKUP(B339,[1]RXNS!$B:$C,1,)</f>
        <v>GMPS2</v>
      </c>
      <c r="D339" s="9" t="b">
        <f t="shared" si="20"/>
        <v>1</v>
      </c>
      <c r="E339" s="9" t="s">
        <v>1566</v>
      </c>
      <c r="F339" s="9" t="s">
        <v>1566</v>
      </c>
      <c r="G339" s="9" t="b">
        <f t="shared" si="21"/>
        <v>1</v>
      </c>
      <c r="H339" s="9" t="str">
        <f>VLOOKUP(B339,[1]RXNS!$B:$D,3,FALSE)</f>
        <v>ATP[c] + L-Glutamine[c] + H2O[c] + Xanthosine 5'-phosphate[c] =&gt; AMP[c] + L-Glutamate[c] + GMP[c] + 2 H+[c] + Diphosphate[c]</v>
      </c>
      <c r="I339" s="9" t="s">
        <v>1567</v>
      </c>
      <c r="J339" s="9" t="s">
        <v>1568</v>
      </c>
      <c r="K339" s="9" t="s">
        <v>1567</v>
      </c>
      <c r="L339" s="9" t="b">
        <f t="shared" si="22"/>
        <v>1</v>
      </c>
      <c r="M339" s="9" t="b">
        <f t="shared" si="23"/>
        <v>1</v>
      </c>
      <c r="N339" s="9" t="s">
        <v>1569</v>
      </c>
      <c r="O339" s="9">
        <v>0</v>
      </c>
      <c r="P339" s="9">
        <v>1000</v>
      </c>
      <c r="Q339" s="13"/>
      <c r="R339" s="13"/>
      <c r="S339" s="9" t="s">
        <v>1570</v>
      </c>
      <c r="T339" s="9" t="s">
        <v>153</v>
      </c>
      <c r="U339" s="13"/>
      <c r="V339" s="9" t="s">
        <v>30</v>
      </c>
      <c r="W339" s="13"/>
      <c r="X339" s="9">
        <v>2</v>
      </c>
    </row>
    <row r="340" spans="1:24">
      <c r="A340" s="13"/>
      <c r="B340" s="9" t="s">
        <v>1571</v>
      </c>
      <c r="C340" s="9" t="str">
        <f>VLOOKUP(B340,[1]RXNS!$B:$C,1,)</f>
        <v>GND</v>
      </c>
      <c r="D340" s="9" t="b">
        <f t="shared" si="20"/>
        <v>1</v>
      </c>
      <c r="E340" s="9" t="s">
        <v>1572</v>
      </c>
      <c r="F340" s="9" t="s">
        <v>1572</v>
      </c>
      <c r="G340" s="9" t="b">
        <f t="shared" si="21"/>
        <v>1</v>
      </c>
      <c r="H340" s="9" t="str">
        <f>VLOOKUP(B340,[1]RXNS!$B:$D,3,FALSE)</f>
        <v>6-Phospho-D-gluconate[c] + Nicotinamide adenine dinucleotide phosphate[c] =&gt; CO2[c] + Nicotinamide adenine dinucleotide phosphate - reduced[c] + D-Ribulose 5-phosphate[c]</v>
      </c>
      <c r="I340" s="9" t="s">
        <v>1573</v>
      </c>
      <c r="J340" s="9" t="s">
        <v>1574</v>
      </c>
      <c r="K340" s="9" t="s">
        <v>1573</v>
      </c>
      <c r="L340" s="9" t="b">
        <f t="shared" si="22"/>
        <v>1</v>
      </c>
      <c r="M340" s="9" t="b">
        <f t="shared" si="23"/>
        <v>1</v>
      </c>
      <c r="N340" s="9" t="s">
        <v>1575</v>
      </c>
      <c r="O340" s="9">
        <v>0</v>
      </c>
      <c r="P340" s="9">
        <v>1000</v>
      </c>
      <c r="Q340" s="13"/>
      <c r="R340" s="13"/>
      <c r="S340" s="13"/>
      <c r="T340" s="9" t="s">
        <v>393</v>
      </c>
      <c r="U340" s="13"/>
      <c r="V340" s="9" t="s">
        <v>30</v>
      </c>
      <c r="W340" s="13"/>
      <c r="X340" s="9">
        <v>2</v>
      </c>
    </row>
    <row r="341" spans="1:24">
      <c r="A341" s="13"/>
      <c r="B341" s="9" t="s">
        <v>1576</v>
      </c>
      <c r="C341" s="9" t="str">
        <f>VLOOKUP(B341,[1]RXNS!$B:$C,1,)</f>
        <v>GNK</v>
      </c>
      <c r="D341" s="9" t="b">
        <f t="shared" si="20"/>
        <v>1</v>
      </c>
      <c r="E341" s="9" t="s">
        <v>1577</v>
      </c>
      <c r="F341" s="9" t="s">
        <v>1577</v>
      </c>
      <c r="G341" s="9" t="b">
        <f t="shared" si="21"/>
        <v>1</v>
      </c>
      <c r="H341" s="9" t="str">
        <f>VLOOKUP(B341,[1]RXNS!$B:$D,3,FALSE)</f>
        <v>ATP[c] + D-Gluconate[c] =&gt; 6-Phospho-D-gluconate[c] + ADP[c] + H+[c]</v>
      </c>
      <c r="I341" s="9" t="s">
        <v>1578</v>
      </c>
      <c r="J341" s="9" t="s">
        <v>1579</v>
      </c>
      <c r="K341" s="9" t="s">
        <v>1578</v>
      </c>
      <c r="L341" s="9" t="b">
        <f t="shared" si="22"/>
        <v>1</v>
      </c>
      <c r="M341" s="9" t="b">
        <f t="shared" si="23"/>
        <v>1</v>
      </c>
      <c r="N341" s="9" t="s">
        <v>1580</v>
      </c>
      <c r="O341" s="9">
        <v>0</v>
      </c>
      <c r="P341" s="9">
        <v>1000</v>
      </c>
      <c r="Q341" s="13"/>
      <c r="R341" s="13"/>
      <c r="S341" s="9" t="s">
        <v>1581</v>
      </c>
      <c r="T341" s="9" t="s">
        <v>393</v>
      </c>
      <c r="U341" s="13"/>
      <c r="V341" s="9" t="s">
        <v>30</v>
      </c>
      <c r="W341" s="13"/>
      <c r="X341" s="9">
        <v>2</v>
      </c>
    </row>
    <row r="342" spans="1:24">
      <c r="A342" s="13"/>
      <c r="B342" s="9" t="s">
        <v>1582</v>
      </c>
      <c r="C342" s="9" t="str">
        <f>VLOOKUP(B342,[1]RXNS!$B:$C,1,)</f>
        <v>GPDDA1</v>
      </c>
      <c r="D342" s="9" t="b">
        <f t="shared" si="20"/>
        <v>1</v>
      </c>
      <c r="E342" s="9" t="s">
        <v>1583</v>
      </c>
      <c r="F342" s="9" t="s">
        <v>1583</v>
      </c>
      <c r="G342" s="9" t="b">
        <f t="shared" si="21"/>
        <v>1</v>
      </c>
      <c r="H342" s="9" t="str">
        <f>VLOOKUP(B342,[1]RXNS!$B:$D,3,FALSE)</f>
        <v>sn-Glycero-3-phosphocholine[c] + H2O[c] =&gt; Choline[c] + sn-Glycerol 3-phosphate[c] + H+[c]</v>
      </c>
      <c r="I342" s="9" t="s">
        <v>1584</v>
      </c>
      <c r="J342" s="9" t="s">
        <v>1585</v>
      </c>
      <c r="K342" s="9" t="s">
        <v>1584</v>
      </c>
      <c r="L342" s="9" t="b">
        <f t="shared" si="22"/>
        <v>1</v>
      </c>
      <c r="M342" s="9" t="b">
        <f t="shared" si="23"/>
        <v>1</v>
      </c>
      <c r="N342" s="13"/>
      <c r="O342" s="9">
        <v>0</v>
      </c>
      <c r="P342" s="9">
        <v>1000</v>
      </c>
      <c r="Q342" s="13"/>
      <c r="R342" s="13"/>
      <c r="S342" s="13"/>
      <c r="T342" s="9" t="s">
        <v>785</v>
      </c>
      <c r="U342" s="13"/>
      <c r="V342" s="9" t="s">
        <v>35</v>
      </c>
      <c r="W342" s="13"/>
      <c r="X342" s="9">
        <v>2</v>
      </c>
    </row>
    <row r="343" spans="1:24">
      <c r="A343" s="13"/>
      <c r="B343" s="9" t="s">
        <v>1586</v>
      </c>
      <c r="C343" s="9" t="str">
        <f>VLOOKUP(B343,[1]RXNS!$B:$C,1,)</f>
        <v>GPDDA2</v>
      </c>
      <c r="D343" s="9" t="b">
        <f t="shared" si="20"/>
        <v>1</v>
      </c>
      <c r="E343" s="9" t="s">
        <v>1587</v>
      </c>
      <c r="F343" s="9" t="s">
        <v>1587</v>
      </c>
      <c r="G343" s="9" t="b">
        <f t="shared" si="21"/>
        <v>1</v>
      </c>
      <c r="H343" s="9" t="str">
        <f>VLOOKUP(B343,[1]RXNS!$B:$D,3,FALSE)</f>
        <v>sn-Glycero-3-phosphoethanolamine[c] + H2O[c] =&gt; Ethanolamine[c] + sn-Glycerol 3-phosphate[c] + H+[c]</v>
      </c>
      <c r="I343" s="9" t="s">
        <v>1584</v>
      </c>
      <c r="J343" s="9" t="s">
        <v>1588</v>
      </c>
      <c r="K343" s="9" t="s">
        <v>1584</v>
      </c>
      <c r="L343" s="9" t="b">
        <f t="shared" si="22"/>
        <v>1</v>
      </c>
      <c r="M343" s="9" t="b">
        <f t="shared" si="23"/>
        <v>1</v>
      </c>
      <c r="N343" s="13"/>
      <c r="O343" s="9">
        <v>0</v>
      </c>
      <c r="P343" s="9">
        <v>1000</v>
      </c>
      <c r="Q343" s="13"/>
      <c r="R343" s="13"/>
      <c r="S343" s="13"/>
      <c r="T343" s="9" t="s">
        <v>785</v>
      </c>
      <c r="U343" s="13"/>
      <c r="V343" s="9" t="s">
        <v>35</v>
      </c>
      <c r="W343" s="13"/>
      <c r="X343" s="9">
        <v>2</v>
      </c>
    </row>
    <row r="344" spans="1:24">
      <c r="A344" s="13"/>
      <c r="B344" s="9" t="s">
        <v>1589</v>
      </c>
      <c r="C344" s="9" t="str">
        <f>VLOOKUP(B344,[1]RXNS!$B:$C,1,)</f>
        <v>GPDDA3</v>
      </c>
      <c r="D344" s="9" t="b">
        <f t="shared" si="20"/>
        <v>1</v>
      </c>
      <c r="E344" s="9" t="s">
        <v>1590</v>
      </c>
      <c r="F344" s="9" t="s">
        <v>1590</v>
      </c>
      <c r="G344" s="9" t="b">
        <f t="shared" si="21"/>
        <v>1</v>
      </c>
      <c r="H344" s="9" t="str">
        <f>VLOOKUP(B344,[1]RXNS!$B:$D,3,FALSE)</f>
        <v>Glycerophosphoserine[c] + H2O[c] =&gt; sn-Glycerol 3-phosphate[c] + H+[c] + L-Serine[c]</v>
      </c>
      <c r="I344" s="9" t="s">
        <v>1591</v>
      </c>
      <c r="J344" s="9" t="s">
        <v>1592</v>
      </c>
      <c r="K344" s="9" t="s">
        <v>1591</v>
      </c>
      <c r="L344" s="9" t="b">
        <f t="shared" si="22"/>
        <v>1</v>
      </c>
      <c r="M344" s="9" t="b">
        <f t="shared" si="23"/>
        <v>1</v>
      </c>
      <c r="N344" s="13"/>
      <c r="O344" s="9">
        <v>0</v>
      </c>
      <c r="P344" s="9">
        <v>1000</v>
      </c>
      <c r="Q344" s="13"/>
      <c r="R344" s="13"/>
      <c r="S344" s="13"/>
      <c r="T344" s="9" t="s">
        <v>785</v>
      </c>
      <c r="U344" s="13"/>
      <c r="V344" s="9" t="s">
        <v>35</v>
      </c>
      <c r="W344" s="13"/>
      <c r="X344" s="9">
        <v>2</v>
      </c>
    </row>
    <row r="345" spans="1:24">
      <c r="A345" s="13"/>
      <c r="B345" s="9" t="s">
        <v>1593</v>
      </c>
      <c r="C345" s="9" t="str">
        <f>VLOOKUP(B345,[1]RXNS!$B:$C,1,)</f>
        <v>GPDDA4</v>
      </c>
      <c r="D345" s="9" t="b">
        <f t="shared" si="20"/>
        <v>1</v>
      </c>
      <c r="E345" s="9" t="s">
        <v>1594</v>
      </c>
      <c r="F345" s="9" t="s">
        <v>1594</v>
      </c>
      <c r="G345" s="9" t="b">
        <f t="shared" si="21"/>
        <v>1</v>
      </c>
      <c r="H345" s="9" t="str">
        <f>VLOOKUP(B345,[1]RXNS!$B:$D,3,FALSE)</f>
        <v>Glycerophosphoglycerol[c] + H2O[c] =&gt; sn-Glycerol 3-phosphate[c] + Glycerol[c] + H+[c]</v>
      </c>
      <c r="I345" s="9" t="s">
        <v>1591</v>
      </c>
      <c r="J345" s="9" t="s">
        <v>1595</v>
      </c>
      <c r="K345" s="9" t="s">
        <v>1591</v>
      </c>
      <c r="L345" s="9" t="b">
        <f t="shared" si="22"/>
        <v>1</v>
      </c>
      <c r="M345" s="9" t="b">
        <f t="shared" si="23"/>
        <v>1</v>
      </c>
      <c r="N345" s="13"/>
      <c r="O345" s="9">
        <v>0</v>
      </c>
      <c r="P345" s="9">
        <v>1000</v>
      </c>
      <c r="Q345" s="13"/>
      <c r="R345" s="13"/>
      <c r="S345" s="13"/>
      <c r="T345" s="9" t="s">
        <v>785</v>
      </c>
      <c r="U345" s="13"/>
      <c r="V345" s="9" t="s">
        <v>35</v>
      </c>
      <c r="W345" s="13"/>
      <c r="X345" s="9">
        <v>2</v>
      </c>
    </row>
    <row r="346" spans="1:24">
      <c r="A346" s="13"/>
      <c r="B346" s="9" t="s">
        <v>1596</v>
      </c>
      <c r="C346" s="9" t="str">
        <f>VLOOKUP(B346,[1]RXNS!$B:$C,1,)</f>
        <v>GPDDA5</v>
      </c>
      <c r="D346" s="9" t="b">
        <f t="shared" si="20"/>
        <v>1</v>
      </c>
      <c r="E346" s="9" t="s">
        <v>1597</v>
      </c>
      <c r="F346" s="9" t="s">
        <v>1597</v>
      </c>
      <c r="G346" s="9" t="b">
        <f t="shared" si="21"/>
        <v>1</v>
      </c>
      <c r="H346" s="9" t="str">
        <f>VLOOKUP(B346,[1]RXNS!$B:$D,3,FALSE)</f>
        <v>sn-Glycero-3-phospho-1-inositol[c] + H2O[c] =&gt; sn-Glycerol 3-phosphate[c] + H+[c] + myo-Inositol[c]</v>
      </c>
      <c r="I346" s="9" t="s">
        <v>1598</v>
      </c>
      <c r="J346" s="9" t="s">
        <v>1599</v>
      </c>
      <c r="K346" s="9" t="s">
        <v>1598</v>
      </c>
      <c r="L346" s="9" t="b">
        <f t="shared" si="22"/>
        <v>1</v>
      </c>
      <c r="M346" s="9" t="b">
        <f t="shared" si="23"/>
        <v>1</v>
      </c>
      <c r="N346" s="13"/>
      <c r="O346" s="9">
        <v>0</v>
      </c>
      <c r="P346" s="9">
        <v>1000</v>
      </c>
      <c r="Q346" s="13"/>
      <c r="R346" s="13"/>
      <c r="S346" s="13"/>
      <c r="T346" s="9" t="s">
        <v>1600</v>
      </c>
      <c r="U346" s="13"/>
      <c r="V346" s="9" t="s">
        <v>35</v>
      </c>
      <c r="W346" s="13"/>
      <c r="X346" s="9">
        <v>2</v>
      </c>
    </row>
    <row r="347" spans="1:24">
      <c r="A347" s="13"/>
      <c r="B347" s="9" t="s">
        <v>1601</v>
      </c>
      <c r="C347" s="9" t="str">
        <f>VLOOKUP(B347,[1]RXNS!$B:$C,1,)</f>
        <v>GRTT</v>
      </c>
      <c r="D347" s="9" t="b">
        <f t="shared" si="20"/>
        <v>1</v>
      </c>
      <c r="E347" s="9" t="s">
        <v>1602</v>
      </c>
      <c r="F347" s="9" t="s">
        <v>1602</v>
      </c>
      <c r="G347" s="9" t="b">
        <f t="shared" si="21"/>
        <v>1</v>
      </c>
      <c r="H347" s="9" t="str">
        <f>VLOOKUP(B347,[1]RXNS!$B:$D,3,FALSE)</f>
        <v>Geranyl diphosphate[c] + Isopentenyl diphosphate[c] =&gt; Farnesyl diphosphate[c] + Diphosphate[c]</v>
      </c>
      <c r="I347" s="9" t="s">
        <v>1603</v>
      </c>
      <c r="J347" s="9" t="s">
        <v>1604</v>
      </c>
      <c r="K347" s="9" t="s">
        <v>1603</v>
      </c>
      <c r="L347" s="9" t="b">
        <f t="shared" si="22"/>
        <v>1</v>
      </c>
      <c r="M347" s="9" t="b">
        <f t="shared" si="23"/>
        <v>1</v>
      </c>
      <c r="N347" s="9" t="s">
        <v>892</v>
      </c>
      <c r="O347" s="9">
        <v>0</v>
      </c>
      <c r="P347" s="9">
        <v>1000</v>
      </c>
      <c r="Q347" s="13"/>
      <c r="R347" s="13"/>
      <c r="S347" s="9" t="s">
        <v>1605</v>
      </c>
      <c r="T347" s="9" t="s">
        <v>573</v>
      </c>
      <c r="U347" s="13"/>
      <c r="V347" s="9" t="s">
        <v>30</v>
      </c>
      <c r="W347" s="13"/>
      <c r="X347" s="9">
        <v>2</v>
      </c>
    </row>
    <row r="348" spans="1:24">
      <c r="A348" s="13"/>
      <c r="B348" s="9" t="s">
        <v>1606</v>
      </c>
      <c r="C348" s="9" t="str">
        <f>VLOOKUP(B348,[1]RXNS!$B:$C,1,)</f>
        <v>GTHRD</v>
      </c>
      <c r="D348" s="9" t="b">
        <f t="shared" si="20"/>
        <v>1</v>
      </c>
      <c r="E348" s="9" t="s">
        <v>1607</v>
      </c>
      <c r="F348" s="9" t="s">
        <v>1607</v>
      </c>
      <c r="G348" s="9" t="b">
        <f t="shared" si="21"/>
        <v>1</v>
      </c>
      <c r="H348" s="9" t="str">
        <f>VLOOKUP(B348,[1]RXNS!$B:$D,3,FALSE)</f>
        <v>2 Reduced glutathione[c] + Nicotinamide adenine dinucleotide phosphate[c] &lt;=&gt; Oxidized glutathione[c] + H+[c] + Nicotinamide adenine dinucleotide phosphate - reduced[c]</v>
      </c>
      <c r="I348" s="9" t="s">
        <v>1608</v>
      </c>
      <c r="J348" s="9" t="s">
        <v>1609</v>
      </c>
      <c r="K348" s="9" t="s">
        <v>1608</v>
      </c>
      <c r="L348" s="9" t="b">
        <f t="shared" si="22"/>
        <v>1</v>
      </c>
      <c r="M348" s="9" t="b">
        <f t="shared" si="23"/>
        <v>1</v>
      </c>
      <c r="N348" s="9" t="s">
        <v>1610</v>
      </c>
      <c r="O348" s="9">
        <v>-1000</v>
      </c>
      <c r="P348" s="9">
        <v>1000</v>
      </c>
      <c r="Q348" s="13"/>
      <c r="R348" s="13"/>
      <c r="S348" s="13"/>
      <c r="T348" s="9" t="s">
        <v>1611</v>
      </c>
      <c r="U348" s="13"/>
      <c r="V348" s="9" t="s">
        <v>30</v>
      </c>
      <c r="W348" s="13"/>
      <c r="X348" s="9">
        <v>2</v>
      </c>
    </row>
    <row r="349" spans="1:24">
      <c r="A349" s="13"/>
      <c r="B349" s="9" t="s">
        <v>1612</v>
      </c>
      <c r="C349" s="9" t="str">
        <f>VLOOKUP(B349,[1]RXNS!$B:$C,1,)</f>
        <v>GTHS</v>
      </c>
      <c r="D349" s="9" t="b">
        <f t="shared" si="20"/>
        <v>1</v>
      </c>
      <c r="E349" s="9" t="s">
        <v>1613</v>
      </c>
      <c r="F349" s="9" t="s">
        <v>1613</v>
      </c>
      <c r="G349" s="9" t="b">
        <f t="shared" si="21"/>
        <v>1</v>
      </c>
      <c r="H349" s="9" t="str">
        <f>VLOOKUP(B349,[1]RXNS!$B:$D,3,FALSE)</f>
        <v>ATP[c] + gamma-L-Glutamyl-L-cysteine[c] + Glycine[c] =&gt; ADP[c] + Reduced glutathione[c] + H+[c] + Phosphate[c]</v>
      </c>
      <c r="I349" s="9" t="s">
        <v>1614</v>
      </c>
      <c r="J349" s="9" t="s">
        <v>1615</v>
      </c>
      <c r="K349" s="9" t="s">
        <v>1614</v>
      </c>
      <c r="L349" s="9" t="b">
        <f t="shared" si="22"/>
        <v>1</v>
      </c>
      <c r="M349" s="9" t="b">
        <f t="shared" si="23"/>
        <v>1</v>
      </c>
      <c r="N349" s="9" t="s">
        <v>1616</v>
      </c>
      <c r="O349" s="9">
        <v>0</v>
      </c>
      <c r="P349" s="9">
        <v>1000</v>
      </c>
      <c r="Q349" s="13"/>
      <c r="R349" s="13"/>
      <c r="S349" s="9" t="s">
        <v>1617</v>
      </c>
      <c r="T349" s="9" t="s">
        <v>1611</v>
      </c>
      <c r="U349" s="13"/>
      <c r="V349" s="9" t="s">
        <v>30</v>
      </c>
      <c r="W349" s="13"/>
      <c r="X349" s="9">
        <v>2</v>
      </c>
    </row>
    <row r="350" spans="1:24">
      <c r="A350" s="13"/>
      <c r="B350" s="9" t="s">
        <v>1618</v>
      </c>
      <c r="C350" s="9" t="str">
        <f>VLOOKUP(B350,[1]RXNS!$B:$C,1,)</f>
        <v>GTPCI</v>
      </c>
      <c r="D350" s="9" t="b">
        <f t="shared" si="20"/>
        <v>1</v>
      </c>
      <c r="E350" s="9" t="s">
        <v>1619</v>
      </c>
      <c r="F350" s="9" t="s">
        <v>1619</v>
      </c>
      <c r="G350" s="9" t="b">
        <f t="shared" si="21"/>
        <v>1</v>
      </c>
      <c r="H350" s="9" t="str">
        <f>VLOOKUP(B350,[1]RXNS!$B:$D,3,FALSE)</f>
        <v>GTP[c] + H2O[c] =&gt; 2-Amino-4-hydroxy-6-(erythro-1,2,3-trihydroxypropyl)dihydropteridine triphosphate[c] + Formate[c] + H+[c]</v>
      </c>
      <c r="I350" s="9" t="s">
        <v>1620</v>
      </c>
      <c r="J350" s="9" t="s">
        <v>1621</v>
      </c>
      <c r="K350" s="9" t="s">
        <v>1620</v>
      </c>
      <c r="L350" s="9" t="b">
        <f t="shared" si="22"/>
        <v>1</v>
      </c>
      <c r="M350" s="9" t="b">
        <f t="shared" si="23"/>
        <v>1</v>
      </c>
      <c r="N350" s="9" t="s">
        <v>1622</v>
      </c>
      <c r="O350" s="9">
        <v>0</v>
      </c>
      <c r="P350" s="9">
        <v>1000</v>
      </c>
      <c r="Q350" s="13"/>
      <c r="R350" s="13"/>
      <c r="S350" s="9" t="s">
        <v>1623</v>
      </c>
      <c r="T350" s="9" t="s">
        <v>830</v>
      </c>
      <c r="U350" s="13"/>
      <c r="V350" s="9" t="s">
        <v>30</v>
      </c>
      <c r="W350" s="13"/>
      <c r="X350" s="9">
        <v>2</v>
      </c>
    </row>
    <row r="351" spans="1:24">
      <c r="A351" s="13"/>
      <c r="B351" s="9" t="s">
        <v>1624</v>
      </c>
      <c r="C351" s="9" t="str">
        <f>VLOOKUP(B351,[1]RXNS!$B:$C,1,)</f>
        <v>GTPCII</v>
      </c>
      <c r="D351" s="9" t="b">
        <f t="shared" si="20"/>
        <v>1</v>
      </c>
      <c r="E351" s="9" t="s">
        <v>1625</v>
      </c>
      <c r="F351" s="9" t="s">
        <v>1625</v>
      </c>
      <c r="G351" s="9" t="b">
        <f t="shared" si="21"/>
        <v>1</v>
      </c>
      <c r="H351" s="9" t="str">
        <f>VLOOKUP(B351,[1]RXNS!$B:$D,3,FALSE)</f>
        <v>GTP[c] + 3 H2O[c] =&gt; 2,5-Diamino-6-hydroxy-4-(5'-phosphoribosylamino)-pyrimidine[c] + Formate[c] + 2 H+[c] + Diphosphate[c]</v>
      </c>
      <c r="I351" s="9" t="s">
        <v>1626</v>
      </c>
      <c r="J351" s="9" t="s">
        <v>1627</v>
      </c>
      <c r="K351" s="9" t="s">
        <v>1626</v>
      </c>
      <c r="L351" s="9" t="b">
        <f t="shared" si="22"/>
        <v>1</v>
      </c>
      <c r="M351" s="9" t="b">
        <f t="shared" si="23"/>
        <v>1</v>
      </c>
      <c r="N351" s="9" t="s">
        <v>790</v>
      </c>
      <c r="O351" s="9">
        <v>0</v>
      </c>
      <c r="P351" s="9">
        <v>1000</v>
      </c>
      <c r="Q351" s="13"/>
      <c r="R351" s="13"/>
      <c r="S351" s="9" t="s">
        <v>1628</v>
      </c>
      <c r="T351" s="9" t="s">
        <v>387</v>
      </c>
      <c r="U351" s="13"/>
      <c r="V351" s="9" t="s">
        <v>30</v>
      </c>
      <c r="W351" s="13"/>
      <c r="X351" s="9">
        <v>2</v>
      </c>
    </row>
    <row r="352" spans="1:24">
      <c r="A352" s="13"/>
      <c r="B352" s="9" t="s">
        <v>1629</v>
      </c>
      <c r="C352" s="9" t="str">
        <f>VLOOKUP(B352,[1]RXNS!$B:$C,1,)</f>
        <v>GTPDPK</v>
      </c>
      <c r="D352" s="9" t="b">
        <f t="shared" si="20"/>
        <v>1</v>
      </c>
      <c r="E352" s="9" t="s">
        <v>1630</v>
      </c>
      <c r="F352" s="9" t="s">
        <v>1630</v>
      </c>
      <c r="G352" s="9" t="b">
        <f t="shared" si="21"/>
        <v>1</v>
      </c>
      <c r="H352" s="9" t="str">
        <f>VLOOKUP(B352,[1]RXNS!$B:$D,3,FALSE)</f>
        <v>ATP[c] + GTP[c] =&gt; AMP[c] + Guanosine 3'-diphosphate 5'-triphosphate[c] + H+[c]</v>
      </c>
      <c r="I352" s="9" t="s">
        <v>1631</v>
      </c>
      <c r="J352" s="9" t="s">
        <v>1632</v>
      </c>
      <c r="K352" s="9" t="s">
        <v>1631</v>
      </c>
      <c r="L352" s="9" t="b">
        <f t="shared" si="22"/>
        <v>1</v>
      </c>
      <c r="M352" s="9" t="b">
        <f t="shared" si="23"/>
        <v>1</v>
      </c>
      <c r="N352" s="9" t="s">
        <v>1633</v>
      </c>
      <c r="O352" s="9">
        <v>0</v>
      </c>
      <c r="P352" s="9">
        <v>1000</v>
      </c>
      <c r="Q352" s="13"/>
      <c r="R352" s="13"/>
      <c r="S352" s="9" t="s">
        <v>1634</v>
      </c>
      <c r="T352" s="9" t="s">
        <v>153</v>
      </c>
      <c r="U352" s="13"/>
      <c r="V352" s="9" t="s">
        <v>30</v>
      </c>
      <c r="W352" s="13"/>
      <c r="X352" s="9">
        <v>2</v>
      </c>
    </row>
    <row r="353" spans="1:24">
      <c r="A353" s="13"/>
      <c r="B353" s="9" t="s">
        <v>1635</v>
      </c>
      <c r="C353" s="9" t="str">
        <f>VLOOKUP(B353,[1]RXNS!$B:$C,1,)</f>
        <v>GUAPRT</v>
      </c>
      <c r="D353" s="9" t="b">
        <f t="shared" si="20"/>
        <v>1</v>
      </c>
      <c r="E353" s="9" t="s">
        <v>1636</v>
      </c>
      <c r="F353" s="9" t="s">
        <v>1636</v>
      </c>
      <c r="G353" s="9" t="b">
        <f t="shared" si="21"/>
        <v>1</v>
      </c>
      <c r="H353" s="9" t="str">
        <f>VLOOKUP(B353,[1]RXNS!$B:$D,3,FALSE)</f>
        <v>Guanine[c] + 5-Phospho-alpha-D-ribose 1-diphosphate[c] =&gt; GMP[c] + Diphosphate[c]</v>
      </c>
      <c r="I353" s="9" t="s">
        <v>1637</v>
      </c>
      <c r="J353" s="9" t="s">
        <v>1638</v>
      </c>
      <c r="K353" s="9" t="s">
        <v>1637</v>
      </c>
      <c r="L353" s="9" t="b">
        <f t="shared" si="22"/>
        <v>1</v>
      </c>
      <c r="M353" s="9" t="b">
        <f t="shared" si="23"/>
        <v>1</v>
      </c>
      <c r="N353" s="9" t="s">
        <v>199</v>
      </c>
      <c r="O353" s="9">
        <v>0</v>
      </c>
      <c r="P353" s="9">
        <v>1000</v>
      </c>
      <c r="Q353" s="13"/>
      <c r="R353" s="13"/>
      <c r="S353" s="9" t="s">
        <v>1639</v>
      </c>
      <c r="T353" s="9" t="s">
        <v>153</v>
      </c>
      <c r="U353" s="13"/>
      <c r="V353" s="9" t="s">
        <v>30</v>
      </c>
      <c r="W353" s="13"/>
      <c r="X353" s="9">
        <v>2</v>
      </c>
    </row>
    <row r="354" spans="1:24">
      <c r="A354" s="13"/>
      <c r="B354" s="9" t="s">
        <v>1640</v>
      </c>
      <c r="C354" s="9" t="str">
        <f>VLOOKUP(B354,[1]RXNS!$B:$C,1,)</f>
        <v>GUAt2</v>
      </c>
      <c r="D354" s="9" t="b">
        <f t="shared" si="20"/>
        <v>1</v>
      </c>
      <c r="E354" s="9" t="s">
        <v>1641</v>
      </c>
      <c r="F354" s="9" t="s">
        <v>1641</v>
      </c>
      <c r="G354" s="9" t="b">
        <f t="shared" si="21"/>
        <v>1</v>
      </c>
      <c r="H354" s="9" t="str">
        <f>VLOOKUP(B354,[1]RXNS!$B:$D,3,FALSE)</f>
        <v>Guanine[e] + H+[e] =&gt; Guanine[c] + H+[c]</v>
      </c>
      <c r="I354" s="9">
        <f>VLOOKUP(B354,[1]RXNS!$B:$E,4,FALSE)</f>
        <v>0</v>
      </c>
      <c r="J354" s="9" t="s">
        <v>1642</v>
      </c>
      <c r="K354" s="13"/>
      <c r="L354" s="9" t="b">
        <f t="shared" si="22"/>
        <v>1</v>
      </c>
      <c r="M354" s="9" t="b">
        <f t="shared" si="23"/>
        <v>0</v>
      </c>
      <c r="N354" s="13"/>
      <c r="O354" s="9">
        <v>0</v>
      </c>
      <c r="P354" s="9">
        <v>1000</v>
      </c>
      <c r="Q354" s="13"/>
      <c r="R354" s="13"/>
      <c r="S354" s="13"/>
      <c r="T354" s="9" t="s">
        <v>146</v>
      </c>
      <c r="U354" s="13"/>
      <c r="V354" s="9" t="s">
        <v>35</v>
      </c>
      <c r="W354" s="13"/>
      <c r="X354" s="9">
        <v>2</v>
      </c>
    </row>
    <row r="355" spans="1:24">
      <c r="A355" s="13"/>
      <c r="B355" s="9" t="s">
        <v>1643</v>
      </c>
      <c r="C355" s="9" t="str">
        <f>VLOOKUP(B355,[1]RXNS!$B:$C,1,)</f>
        <v>H2Ot5</v>
      </c>
      <c r="D355" s="9" t="b">
        <f t="shared" si="20"/>
        <v>1</v>
      </c>
      <c r="E355" s="9" t="s">
        <v>1644</v>
      </c>
      <c r="F355" s="9" t="s">
        <v>1644</v>
      </c>
      <c r="G355" s="9" t="b">
        <f t="shared" si="21"/>
        <v>1</v>
      </c>
      <c r="H355" s="9" t="str">
        <f>VLOOKUP(B355,[1]RXNS!$B:$D,3,FALSE)</f>
        <v>H2O[e] &lt;=&gt; H2O[c]</v>
      </c>
      <c r="I355" s="9" t="s">
        <v>1645</v>
      </c>
      <c r="J355" s="9" t="s">
        <v>1646</v>
      </c>
      <c r="K355" s="9" t="s">
        <v>1645</v>
      </c>
      <c r="L355" s="9" t="b">
        <f t="shared" si="22"/>
        <v>1</v>
      </c>
      <c r="M355" s="9" t="b">
        <f t="shared" si="23"/>
        <v>1</v>
      </c>
      <c r="N355" s="13"/>
      <c r="O355" s="9">
        <v>-1000</v>
      </c>
      <c r="P355" s="9">
        <v>1000</v>
      </c>
      <c r="Q355" s="13"/>
      <c r="R355" s="13"/>
      <c r="S355" s="13"/>
      <c r="T355" s="9" t="s">
        <v>146</v>
      </c>
      <c r="U355" s="13"/>
      <c r="V355" s="9" t="s">
        <v>35</v>
      </c>
      <c r="W355" s="13"/>
      <c r="X355" s="9">
        <v>2</v>
      </c>
    </row>
    <row r="356" spans="1:24">
      <c r="A356" s="13"/>
      <c r="B356" s="9" t="s">
        <v>1647</v>
      </c>
      <c r="C356" s="9" t="str">
        <f>VLOOKUP(B356,[1]RXNS!$B:$C,1,)</f>
        <v>HACD1</v>
      </c>
      <c r="D356" s="9" t="b">
        <f t="shared" si="20"/>
        <v>1</v>
      </c>
      <c r="E356" s="9" t="s">
        <v>1648</v>
      </c>
      <c r="F356" s="9" t="s">
        <v>1648</v>
      </c>
      <c r="G356" s="9" t="b">
        <f t="shared" si="21"/>
        <v>1</v>
      </c>
      <c r="H356" s="9" t="str">
        <f>VLOOKUP(B356,[1]RXNS!$B:$D,3,FALSE)</f>
        <v>Acetoacetyl-CoA[c] + H+[c] + Nicotinamide adenine dinucleotide - reduced[c] &lt;=&gt; (S)-3-Hydroxybutyryl-CoA[c] + Nicotinamide adenine dinucleotide[c]</v>
      </c>
      <c r="I356" s="9" t="s">
        <v>1649</v>
      </c>
      <c r="J356" s="9" t="s">
        <v>1650</v>
      </c>
      <c r="K356" s="9" t="s">
        <v>1649</v>
      </c>
      <c r="L356" s="9" t="b">
        <f t="shared" si="22"/>
        <v>1</v>
      </c>
      <c r="M356" s="9" t="b">
        <f t="shared" si="23"/>
        <v>1</v>
      </c>
      <c r="N356" s="9" t="s">
        <v>1651</v>
      </c>
      <c r="O356" s="9">
        <v>-1000</v>
      </c>
      <c r="P356" s="9">
        <v>1000</v>
      </c>
      <c r="Q356" s="13"/>
      <c r="R356" s="13"/>
      <c r="S356" s="9" t="s">
        <v>1652</v>
      </c>
      <c r="T356" s="9" t="s">
        <v>114</v>
      </c>
      <c r="U356" s="13"/>
      <c r="V356" s="9" t="s">
        <v>30</v>
      </c>
      <c r="W356" s="13"/>
      <c r="X356" s="9">
        <v>2</v>
      </c>
    </row>
    <row r="357" spans="1:24">
      <c r="A357" s="13"/>
      <c r="B357" s="9" t="s">
        <v>1653</v>
      </c>
      <c r="C357" s="9" t="str">
        <f>VLOOKUP(B357,[1]RXNS!$B:$C,1,)</f>
        <v>HBUHL1</v>
      </c>
      <c r="D357" s="9" t="b">
        <f t="shared" si="20"/>
        <v>1</v>
      </c>
      <c r="E357" s="9" t="s">
        <v>1654</v>
      </c>
      <c r="F357" s="9" t="s">
        <v>1654</v>
      </c>
      <c r="G357" s="9" t="b">
        <f t="shared" si="21"/>
        <v>1</v>
      </c>
      <c r="H357" s="9" t="str">
        <f>VLOOKUP(B357,[1]RXNS!$B:$D,3,FALSE)</f>
        <v>(3R)-3-Hydroxybutanoyl-[acyl-carrier protein][c] =&gt; But-2-enoyl-[acyl-carrier protein][c] + H2O[c]</v>
      </c>
      <c r="I357" s="9" t="s">
        <v>1655</v>
      </c>
      <c r="J357" s="9" t="s">
        <v>1656</v>
      </c>
      <c r="K357" s="9" t="s">
        <v>1655</v>
      </c>
      <c r="L357" s="9" t="b">
        <f t="shared" si="22"/>
        <v>1</v>
      </c>
      <c r="M357" s="9" t="b">
        <f t="shared" si="23"/>
        <v>1</v>
      </c>
      <c r="N357" s="9" t="s">
        <v>1657</v>
      </c>
      <c r="O357" s="9">
        <v>0</v>
      </c>
      <c r="P357" s="9">
        <v>1000</v>
      </c>
      <c r="Q357" s="13"/>
      <c r="R357" s="13"/>
      <c r="S357" s="9" t="s">
        <v>1658</v>
      </c>
      <c r="T357" s="9" t="s">
        <v>34</v>
      </c>
      <c r="U357" s="13"/>
      <c r="V357" s="9" t="s">
        <v>30</v>
      </c>
      <c r="W357" s="13"/>
      <c r="X357" s="9">
        <v>2</v>
      </c>
    </row>
    <row r="358" spans="1:24">
      <c r="A358" s="13"/>
      <c r="B358" s="9" t="s">
        <v>1659</v>
      </c>
      <c r="C358" s="9" t="str">
        <f>VLOOKUP(B358,[1]RXNS!$B:$C,1,)</f>
        <v>HBUR1</v>
      </c>
      <c r="D358" s="9" t="b">
        <f t="shared" si="20"/>
        <v>1</v>
      </c>
      <c r="E358" s="9" t="s">
        <v>1660</v>
      </c>
      <c r="F358" s="9" t="s">
        <v>1660</v>
      </c>
      <c r="G358" s="9" t="b">
        <f t="shared" si="21"/>
        <v>1</v>
      </c>
      <c r="H358" s="9" t="str">
        <f>VLOOKUP(B358,[1]RXNS!$B:$D,3,FALSE)</f>
        <v>Acetoacetyl-[acyl-carrier protein][c] + H+[c] + Nicotinamide adenine dinucleotide phosphate - reduced[c] =&gt; (3R)-3-Hydroxybutanoyl-[acyl-carrier protein][c] + Nicotinamide adenine dinucleotide phosphate[c]</v>
      </c>
      <c r="I358" s="9" t="s">
        <v>1661</v>
      </c>
      <c r="J358" s="9" t="s">
        <v>1662</v>
      </c>
      <c r="K358" s="9" t="s">
        <v>1661</v>
      </c>
      <c r="L358" s="9" t="b">
        <f t="shared" si="22"/>
        <v>1</v>
      </c>
      <c r="M358" s="9" t="b">
        <f t="shared" si="23"/>
        <v>1</v>
      </c>
      <c r="N358" s="9" t="s">
        <v>1663</v>
      </c>
      <c r="O358" s="9">
        <v>0</v>
      </c>
      <c r="P358" s="9">
        <v>1000</v>
      </c>
      <c r="Q358" s="13"/>
      <c r="R358" s="13"/>
      <c r="S358" s="9" t="s">
        <v>1664</v>
      </c>
      <c r="T358" s="9" t="s">
        <v>34</v>
      </c>
      <c r="U358" s="13"/>
      <c r="V358" s="9" t="s">
        <v>30</v>
      </c>
      <c r="W358" s="13"/>
      <c r="X358" s="9">
        <v>2</v>
      </c>
    </row>
    <row r="359" spans="1:24">
      <c r="A359" s="13"/>
      <c r="B359" s="9" t="s">
        <v>1665</v>
      </c>
      <c r="C359" s="9" t="str">
        <f>VLOOKUP(B359,[1]RXNS!$B:$C,1,)</f>
        <v>HCO3E</v>
      </c>
      <c r="D359" s="9" t="b">
        <f t="shared" si="20"/>
        <v>1</v>
      </c>
      <c r="E359" s="9" t="s">
        <v>1666</v>
      </c>
      <c r="F359" s="9" t="s">
        <v>1666</v>
      </c>
      <c r="G359" s="9" t="b">
        <f t="shared" si="21"/>
        <v>1</v>
      </c>
      <c r="H359" s="9" t="str">
        <f>VLOOKUP(B359,[1]RXNS!$B:$D,3,FALSE)</f>
        <v>CO2[c] + H2O[c] &lt;=&gt; H+[c] + Bicarbonate[c]</v>
      </c>
      <c r="I359" s="9" t="s">
        <v>1667</v>
      </c>
      <c r="J359" s="9" t="s">
        <v>1668</v>
      </c>
      <c r="K359" s="9" t="s">
        <v>1667</v>
      </c>
      <c r="L359" s="9" t="b">
        <f t="shared" si="22"/>
        <v>1</v>
      </c>
      <c r="M359" s="9" t="b">
        <f t="shared" si="23"/>
        <v>1</v>
      </c>
      <c r="N359" s="13"/>
      <c r="O359" s="9">
        <v>-1000</v>
      </c>
      <c r="P359" s="9">
        <v>1000</v>
      </c>
      <c r="Q359" s="13"/>
      <c r="R359" s="13"/>
      <c r="S359" s="13"/>
      <c r="T359" s="9" t="s">
        <v>1669</v>
      </c>
      <c r="U359" s="13"/>
      <c r="V359" s="9" t="s">
        <v>35</v>
      </c>
      <c r="W359" s="13"/>
      <c r="X359" s="9">
        <v>2</v>
      </c>
    </row>
    <row r="360" spans="1:24">
      <c r="A360" s="13"/>
      <c r="B360" s="9" t="s">
        <v>1670</v>
      </c>
      <c r="C360" s="9" t="str">
        <f>VLOOKUP(B360,[1]RXNS!$B:$C,1,)</f>
        <v>HCYSMT</v>
      </c>
      <c r="D360" s="9" t="b">
        <f t="shared" si="20"/>
        <v>1</v>
      </c>
      <c r="E360" s="9" t="s">
        <v>1671</v>
      </c>
      <c r="F360" s="9" t="s">
        <v>1671</v>
      </c>
      <c r="G360" s="9" t="b">
        <f t="shared" si="21"/>
        <v>1</v>
      </c>
      <c r="H360" s="9" t="str">
        <f>VLOOKUP(B360,[1]RXNS!$B:$D,3,FALSE)</f>
        <v>S-Adenosyl-L-methionine[c] + L-Homocysteine[c] =&gt; S-Adenosyl-L-homocysteine[c] + H+[c] + L-Methionine[c]</v>
      </c>
      <c r="I360" s="9" t="s">
        <v>1672</v>
      </c>
      <c r="J360" s="9" t="s">
        <v>1673</v>
      </c>
      <c r="K360" s="9" t="s">
        <v>1672</v>
      </c>
      <c r="L360" s="9" t="b">
        <f t="shared" si="22"/>
        <v>1</v>
      </c>
      <c r="M360" s="9" t="b">
        <f t="shared" si="23"/>
        <v>1</v>
      </c>
      <c r="N360" s="13"/>
      <c r="O360" s="9">
        <v>0</v>
      </c>
      <c r="P360" s="9">
        <v>1000</v>
      </c>
      <c r="Q360" s="13"/>
      <c r="R360" s="13"/>
      <c r="S360" s="13"/>
      <c r="T360" s="9" t="s">
        <v>239</v>
      </c>
      <c r="U360" s="13"/>
      <c r="V360" s="9" t="s">
        <v>35</v>
      </c>
      <c r="W360" s="13"/>
      <c r="X360" s="9">
        <v>2</v>
      </c>
    </row>
    <row r="361" spans="1:24">
      <c r="A361" s="13"/>
      <c r="B361" s="9" t="s">
        <v>1674</v>
      </c>
      <c r="C361" s="9" t="str">
        <f>VLOOKUP(B361,[1]RXNS!$B:$C,1,)</f>
        <v>HDDHL5</v>
      </c>
      <c r="D361" s="9" t="b">
        <f t="shared" si="20"/>
        <v>1</v>
      </c>
      <c r="E361" s="9" t="s">
        <v>1654</v>
      </c>
      <c r="F361" s="9" t="s">
        <v>1654</v>
      </c>
      <c r="G361" s="9" t="b">
        <f t="shared" si="21"/>
        <v>1</v>
      </c>
      <c r="H361" s="9" t="str">
        <f>VLOOKUP(B361,[1]RXNS!$B:$D,3,FALSE)</f>
        <v>(R)-3-Hydroxydodecanoyl-[acyl-carrier protein][c] =&gt; trans-Dodec-2-enoyl-[acyl-carrier protein][c] + H2O[c]</v>
      </c>
      <c r="I361" s="9" t="s">
        <v>1655</v>
      </c>
      <c r="J361" s="9" t="s">
        <v>1675</v>
      </c>
      <c r="K361" s="9" t="s">
        <v>1655</v>
      </c>
      <c r="L361" s="9" t="b">
        <f t="shared" si="22"/>
        <v>1</v>
      </c>
      <c r="M361" s="9" t="b">
        <f t="shared" si="23"/>
        <v>1</v>
      </c>
      <c r="N361" s="9" t="s">
        <v>1657</v>
      </c>
      <c r="O361" s="9">
        <v>0</v>
      </c>
      <c r="P361" s="9">
        <v>1000</v>
      </c>
      <c r="Q361" s="13"/>
      <c r="R361" s="13"/>
      <c r="S361" s="9" t="s">
        <v>1676</v>
      </c>
      <c r="T361" s="9" t="s">
        <v>34</v>
      </c>
      <c r="U361" s="13"/>
      <c r="V361" s="9" t="s">
        <v>30</v>
      </c>
      <c r="W361" s="13"/>
      <c r="X361" s="9">
        <v>2</v>
      </c>
    </row>
    <row r="362" spans="1:24">
      <c r="A362" s="13"/>
      <c r="B362" s="9" t="s">
        <v>1677</v>
      </c>
      <c r="C362" s="9" t="str">
        <f>VLOOKUP(B362,[1]RXNS!$B:$C,1,)</f>
        <v>HDDR5</v>
      </c>
      <c r="D362" s="9" t="b">
        <f t="shared" si="20"/>
        <v>1</v>
      </c>
      <c r="E362" s="9" t="s">
        <v>1678</v>
      </c>
      <c r="F362" s="9" t="s">
        <v>1678</v>
      </c>
      <c r="G362" s="9" t="b">
        <f t="shared" si="21"/>
        <v>1</v>
      </c>
      <c r="H362" s="9" t="str">
        <f>VLOOKUP(B362,[1]RXNS!$B:$D,3,FALSE)</f>
        <v>3-Oxododecanoyl-[acyl-carrier protein][c] + H+[c] + Nicotinamide adenine dinucleotide phosphate - reduced[c] =&gt; (R)-3-Hydroxydodecanoyl-[acyl-carrier protein][c] + Nicotinamide adenine dinucleotide phosphate[c]</v>
      </c>
      <c r="I362" s="9" t="s">
        <v>1661</v>
      </c>
      <c r="J362" s="9" t="s">
        <v>1679</v>
      </c>
      <c r="K362" s="9" t="s">
        <v>1661</v>
      </c>
      <c r="L362" s="9" t="b">
        <f t="shared" si="22"/>
        <v>1</v>
      </c>
      <c r="M362" s="9" t="b">
        <f t="shared" si="23"/>
        <v>1</v>
      </c>
      <c r="N362" s="9" t="s">
        <v>1663</v>
      </c>
      <c r="O362" s="9">
        <v>0</v>
      </c>
      <c r="P362" s="9">
        <v>1000</v>
      </c>
      <c r="Q362" s="13"/>
      <c r="R362" s="13"/>
      <c r="S362" s="9" t="s">
        <v>1680</v>
      </c>
      <c r="T362" s="9" t="s">
        <v>34</v>
      </c>
      <c r="U362" s="13"/>
      <c r="V362" s="9" t="s">
        <v>30</v>
      </c>
      <c r="W362" s="13"/>
      <c r="X362" s="9">
        <v>2</v>
      </c>
    </row>
    <row r="363" spans="1:24">
      <c r="A363" s="13"/>
      <c r="B363" s="9" t="s">
        <v>1681</v>
      </c>
      <c r="C363" s="9" t="str">
        <f>VLOOKUP(B363,[1]RXNS!$B:$C,1,)</f>
        <v>HDEHL4</v>
      </c>
      <c r="D363" s="9" t="b">
        <f t="shared" si="20"/>
        <v>1</v>
      </c>
      <c r="E363" s="9" t="s">
        <v>1654</v>
      </c>
      <c r="F363" s="9" t="s">
        <v>1654</v>
      </c>
      <c r="G363" s="9" t="b">
        <f t="shared" si="21"/>
        <v>1</v>
      </c>
      <c r="H363" s="9" t="str">
        <f>VLOOKUP(B363,[1]RXNS!$B:$D,3,FALSE)</f>
        <v>(3R)-3-Hydroxydecanoyl-[acyl-carrier protein][c] =&gt; trans-Dec-2-enoyl-[acyl-carrier protein][c] + H2O[c]</v>
      </c>
      <c r="I363" s="9" t="s">
        <v>1655</v>
      </c>
      <c r="J363" s="9" t="s">
        <v>1682</v>
      </c>
      <c r="K363" s="9" t="s">
        <v>1655</v>
      </c>
      <c r="L363" s="9" t="b">
        <f t="shared" si="22"/>
        <v>1</v>
      </c>
      <c r="M363" s="9" t="b">
        <f t="shared" si="23"/>
        <v>1</v>
      </c>
      <c r="N363" s="9" t="s">
        <v>1657</v>
      </c>
      <c r="O363" s="9">
        <v>0</v>
      </c>
      <c r="P363" s="9">
        <v>1000</v>
      </c>
      <c r="Q363" s="13"/>
      <c r="R363" s="13"/>
      <c r="S363" s="9" t="s">
        <v>1683</v>
      </c>
      <c r="T363" s="9" t="s">
        <v>34</v>
      </c>
      <c r="U363" s="13"/>
      <c r="V363" s="9" t="s">
        <v>30</v>
      </c>
      <c r="W363" s="13"/>
      <c r="X363" s="9">
        <v>2</v>
      </c>
    </row>
    <row r="364" spans="1:24">
      <c r="A364" s="13"/>
      <c r="B364" s="9" t="s">
        <v>1684</v>
      </c>
      <c r="C364" s="9" t="str">
        <f>VLOOKUP(B364,[1]RXNS!$B:$C,1,)</f>
        <v>HDER4</v>
      </c>
      <c r="D364" s="9" t="b">
        <f t="shared" si="20"/>
        <v>1</v>
      </c>
      <c r="E364" s="9" t="s">
        <v>1685</v>
      </c>
      <c r="F364" s="9" t="s">
        <v>1685</v>
      </c>
      <c r="G364" s="9" t="b">
        <f t="shared" si="21"/>
        <v>1</v>
      </c>
      <c r="H364" s="9" t="str">
        <f>VLOOKUP(B364,[1]RXNS!$B:$D,3,FALSE)</f>
        <v>3-Oxodecanoyl-[acyl-carrier protein][c] + H+[c] + Nicotinamide adenine dinucleotide phosphate - reduced[c] =&gt; (3R)-3-Hydroxydecanoyl-[acyl-carrier protein][c] + Nicotinamide adenine dinucleotide phosphate[c]</v>
      </c>
      <c r="I364" s="9" t="s">
        <v>1661</v>
      </c>
      <c r="J364" s="9" t="s">
        <v>1686</v>
      </c>
      <c r="K364" s="9" t="s">
        <v>1661</v>
      </c>
      <c r="L364" s="9" t="b">
        <f t="shared" si="22"/>
        <v>1</v>
      </c>
      <c r="M364" s="9" t="b">
        <f t="shared" si="23"/>
        <v>1</v>
      </c>
      <c r="N364" s="9" t="s">
        <v>1663</v>
      </c>
      <c r="O364" s="9">
        <v>0</v>
      </c>
      <c r="P364" s="9">
        <v>1000</v>
      </c>
      <c r="Q364" s="13"/>
      <c r="R364" s="13"/>
      <c r="S364" s="9" t="s">
        <v>1687</v>
      </c>
      <c r="T364" s="9" t="s">
        <v>34</v>
      </c>
      <c r="U364" s="13"/>
      <c r="V364" s="9" t="s">
        <v>30</v>
      </c>
      <c r="W364" s="13"/>
      <c r="X364" s="9">
        <v>2</v>
      </c>
    </row>
    <row r="365" spans="1:24">
      <c r="A365" s="13"/>
      <c r="B365" s="9" t="s">
        <v>1688</v>
      </c>
      <c r="C365" s="9" t="str">
        <f>VLOOKUP(B365,[1]RXNS!$B:$C,1,)</f>
        <v>HDMAT7</v>
      </c>
      <c r="D365" s="9" t="b">
        <f t="shared" si="20"/>
        <v>1</v>
      </c>
      <c r="E365" s="9" t="s">
        <v>1689</v>
      </c>
      <c r="F365" s="9" t="s">
        <v>1689</v>
      </c>
      <c r="G365" s="9" t="b">
        <f t="shared" si="21"/>
        <v>1</v>
      </c>
      <c r="H365" s="9" t="str">
        <f>VLOOKUP(B365,[1]RXNS!$B:$D,3,FALSE)</f>
        <v>trans-Hexadec-2-enoyl-[acyl-carrier protein][c] + H+[c] + Nicotinamide adenine dinucleotide - reduced[c] =&gt; Nicotinamide adenine dinucleotide[c] + Palmitoyl-ACP (n-C16:0ACP)[c]</v>
      </c>
      <c r="I365" s="9" t="s">
        <v>798</v>
      </c>
      <c r="J365" s="9" t="s">
        <v>1690</v>
      </c>
      <c r="K365" s="9" t="s">
        <v>798</v>
      </c>
      <c r="L365" s="9" t="b">
        <f t="shared" si="22"/>
        <v>1</v>
      </c>
      <c r="M365" s="9" t="b">
        <f t="shared" si="23"/>
        <v>1</v>
      </c>
      <c r="N365" s="9" t="s">
        <v>539</v>
      </c>
      <c r="O365" s="9">
        <v>0</v>
      </c>
      <c r="P365" s="9">
        <v>1000</v>
      </c>
      <c r="Q365" s="13"/>
      <c r="R365" s="13"/>
      <c r="S365" s="9" t="s">
        <v>1691</v>
      </c>
      <c r="T365" s="9" t="s">
        <v>34</v>
      </c>
      <c r="U365" s="13"/>
      <c r="V365" s="9" t="s">
        <v>30</v>
      </c>
      <c r="W365" s="13"/>
      <c r="X365" s="9">
        <v>2</v>
      </c>
    </row>
    <row r="366" spans="1:24">
      <c r="A366" s="13"/>
      <c r="B366" s="9" t="s">
        <v>1692</v>
      </c>
      <c r="C366" s="9" t="str">
        <f>VLOOKUP(B366,[1]RXNS!$B:$C,1,)</f>
        <v>HEMAT2</v>
      </c>
      <c r="D366" s="9" t="b">
        <f t="shared" si="20"/>
        <v>1</v>
      </c>
      <c r="E366" s="9" t="s">
        <v>1693</v>
      </c>
      <c r="F366" s="9" t="s">
        <v>1693</v>
      </c>
      <c r="G366" s="9" t="b">
        <f t="shared" si="21"/>
        <v>1</v>
      </c>
      <c r="H366" s="9" t="str">
        <f>VLOOKUP(B366,[1]RXNS!$B:$D,3,FALSE)</f>
        <v>trans-Hex-2-enoyl-[acp][c] + H+[c] + Nicotinamide adenine dinucleotide - reduced[c] =&gt; Hexanoyl-[acyl-carrier protein][c] + Nicotinamide adenine dinucleotide[c]</v>
      </c>
      <c r="I366" s="9" t="s">
        <v>798</v>
      </c>
      <c r="J366" s="9" t="s">
        <v>1694</v>
      </c>
      <c r="K366" s="9" t="s">
        <v>798</v>
      </c>
      <c r="L366" s="9" t="b">
        <f t="shared" si="22"/>
        <v>1</v>
      </c>
      <c r="M366" s="9" t="b">
        <f t="shared" si="23"/>
        <v>1</v>
      </c>
      <c r="N366" s="9" t="s">
        <v>539</v>
      </c>
      <c r="O366" s="9">
        <v>0</v>
      </c>
      <c r="P366" s="9">
        <v>1000</v>
      </c>
      <c r="Q366" s="13"/>
      <c r="R366" s="13"/>
      <c r="S366" s="9" t="s">
        <v>1695</v>
      </c>
      <c r="T366" s="9" t="s">
        <v>34</v>
      </c>
      <c r="U366" s="13"/>
      <c r="V366" s="9" t="s">
        <v>30</v>
      </c>
      <c r="W366" s="13"/>
      <c r="X366" s="9">
        <v>2</v>
      </c>
    </row>
    <row r="367" spans="1:24">
      <c r="A367" s="13"/>
      <c r="B367" s="9" t="s">
        <v>1696</v>
      </c>
      <c r="C367" s="9" t="str">
        <f>VLOOKUP(B367,[1]RXNS!$B:$C,1,)</f>
        <v>HETZK</v>
      </c>
      <c r="D367" s="9" t="b">
        <f t="shared" si="20"/>
        <v>1</v>
      </c>
      <c r="E367" s="9" t="s">
        <v>1697</v>
      </c>
      <c r="F367" s="9" t="s">
        <v>1697</v>
      </c>
      <c r="G367" s="9" t="b">
        <f t="shared" si="21"/>
        <v>1</v>
      </c>
      <c r="H367" s="9" t="str">
        <f>VLOOKUP(B367,[1]RXNS!$B:$D,3,FALSE)</f>
        <v>4-Methyl-5-(2-hydroxyethyl)-thiazole[c] + ATP[c] =&gt; 4-Methyl-5-(2-phosphoethyl)-thiazole[c] + ADP[c] + H+[c]</v>
      </c>
      <c r="I367" s="9" t="s">
        <v>1698</v>
      </c>
      <c r="J367" s="9" t="s">
        <v>1699</v>
      </c>
      <c r="K367" s="9" t="s">
        <v>1698</v>
      </c>
      <c r="L367" s="9" t="b">
        <f t="shared" si="22"/>
        <v>1</v>
      </c>
      <c r="M367" s="9" t="b">
        <f t="shared" si="23"/>
        <v>1</v>
      </c>
      <c r="N367" s="9" t="s">
        <v>1700</v>
      </c>
      <c r="O367" s="9">
        <v>0</v>
      </c>
      <c r="P367" s="9">
        <v>1000</v>
      </c>
      <c r="Q367" s="13"/>
      <c r="R367" s="13"/>
      <c r="S367" s="9" t="s">
        <v>1701</v>
      </c>
      <c r="T367" s="9" t="s">
        <v>244</v>
      </c>
      <c r="U367" s="13"/>
      <c r="V367" s="9" t="s">
        <v>30</v>
      </c>
      <c r="W367" s="13"/>
      <c r="X367" s="9">
        <v>2</v>
      </c>
    </row>
    <row r="368" spans="1:24">
      <c r="A368" s="13"/>
      <c r="B368" s="9" t="s">
        <v>1702</v>
      </c>
      <c r="C368" s="9" t="str">
        <f>VLOOKUP(B368,[1]RXNS!$B:$C,1,)</f>
        <v>HEXTT</v>
      </c>
      <c r="D368" s="9" t="b">
        <f t="shared" si="20"/>
        <v>1</v>
      </c>
      <c r="E368" s="9" t="s">
        <v>1703</v>
      </c>
      <c r="F368" s="9" t="s">
        <v>1703</v>
      </c>
      <c r="G368" s="9" t="b">
        <f t="shared" si="21"/>
        <v>1</v>
      </c>
      <c r="H368" s="9" t="str">
        <f>VLOOKUP(B368,[1]RXNS!$B:$D,3,FALSE)</f>
        <v>all-trans-Hexaprenyl diphosphate[c] + Isopentenyl diphosphate[c] =&gt; all-trans-Heptaprenyl diphosphate[c] + Diphosphate[c]</v>
      </c>
      <c r="I368" s="9" t="s">
        <v>1704</v>
      </c>
      <c r="J368" s="9" t="s">
        <v>1705</v>
      </c>
      <c r="K368" s="9" t="s">
        <v>1704</v>
      </c>
      <c r="L368" s="9" t="b">
        <f t="shared" si="22"/>
        <v>1</v>
      </c>
      <c r="M368" s="9" t="b">
        <f t="shared" si="23"/>
        <v>1</v>
      </c>
      <c r="N368" s="9" t="s">
        <v>1706</v>
      </c>
      <c r="O368" s="9">
        <v>0</v>
      </c>
      <c r="P368" s="9">
        <v>1000</v>
      </c>
      <c r="Q368" s="13"/>
      <c r="R368" s="13"/>
      <c r="S368" s="9" t="s">
        <v>1707</v>
      </c>
      <c r="T368" s="9" t="s">
        <v>573</v>
      </c>
      <c r="U368" s="13"/>
      <c r="V368" s="9" t="s">
        <v>30</v>
      </c>
      <c r="W368" s="13"/>
      <c r="X368" s="9">
        <v>2</v>
      </c>
    </row>
    <row r="369" spans="1:24">
      <c r="A369" s="13"/>
      <c r="B369" s="9" t="s">
        <v>1708</v>
      </c>
      <c r="C369" s="9" t="str">
        <f>VLOOKUP(B369,[1]RXNS!$B:$C,1,)</f>
        <v>HHDHL7</v>
      </c>
      <c r="D369" s="9" t="b">
        <f t="shared" si="20"/>
        <v>1</v>
      </c>
      <c r="E369" s="9" t="s">
        <v>1709</v>
      </c>
      <c r="F369" s="9" t="s">
        <v>1709</v>
      </c>
      <c r="G369" s="9" t="b">
        <f t="shared" si="21"/>
        <v>1</v>
      </c>
      <c r="H369" s="9" t="str">
        <f>VLOOKUP(B369,[1]RXNS!$B:$D,3,FALSE)</f>
        <v>(3R)-3-Hydroxypalmitoyl-[acyl-carrier protein][c] =&gt; trans-Hexadec-2-enoyl-[acyl-carrier protein][c] + H2O[c]</v>
      </c>
      <c r="I369" s="9" t="s">
        <v>1655</v>
      </c>
      <c r="J369" s="9" t="s">
        <v>1710</v>
      </c>
      <c r="K369" s="9" t="s">
        <v>1655</v>
      </c>
      <c r="L369" s="9" t="b">
        <f t="shared" si="22"/>
        <v>1</v>
      </c>
      <c r="M369" s="9" t="b">
        <f t="shared" si="23"/>
        <v>1</v>
      </c>
      <c r="N369" s="9" t="s">
        <v>1657</v>
      </c>
      <c r="O369" s="9">
        <v>0</v>
      </c>
      <c r="P369" s="9">
        <v>1000</v>
      </c>
      <c r="Q369" s="13"/>
      <c r="R369" s="13"/>
      <c r="S369" s="9" t="s">
        <v>1711</v>
      </c>
      <c r="T369" s="9" t="s">
        <v>34</v>
      </c>
      <c r="U369" s="13"/>
      <c r="V369" s="9" t="s">
        <v>30</v>
      </c>
      <c r="W369" s="13"/>
      <c r="X369" s="9">
        <v>2</v>
      </c>
    </row>
    <row r="370" spans="1:24">
      <c r="A370" s="13"/>
      <c r="B370" s="9" t="s">
        <v>1712</v>
      </c>
      <c r="C370" s="9" t="str">
        <f>VLOOKUP(B370,[1]RXNS!$B:$C,1,)</f>
        <v>HHDR7</v>
      </c>
      <c r="D370" s="9" t="b">
        <f t="shared" si="20"/>
        <v>1</v>
      </c>
      <c r="E370" s="9" t="s">
        <v>1713</v>
      </c>
      <c r="F370" s="9" t="s">
        <v>1713</v>
      </c>
      <c r="G370" s="9" t="b">
        <f t="shared" si="21"/>
        <v>1</v>
      </c>
      <c r="H370" s="9" t="str">
        <f>VLOOKUP(B370,[1]RXNS!$B:$D,3,FALSE)</f>
        <v>3-Oxohexadecanoyl-[acp][c] + H+[c] + Nicotinamide adenine dinucleotide phosphate - reduced[c] =&gt; (3R)-3-Hydroxypalmitoyl-[acyl-carrier protein][c] + Nicotinamide adenine dinucleotide phosphate[c]</v>
      </c>
      <c r="I370" s="9" t="s">
        <v>1661</v>
      </c>
      <c r="J370" s="9" t="s">
        <v>1714</v>
      </c>
      <c r="K370" s="9" t="s">
        <v>1661</v>
      </c>
      <c r="L370" s="9" t="b">
        <f t="shared" si="22"/>
        <v>1</v>
      </c>
      <c r="M370" s="9" t="b">
        <f t="shared" si="23"/>
        <v>1</v>
      </c>
      <c r="N370" s="9" t="s">
        <v>1663</v>
      </c>
      <c r="O370" s="9">
        <v>0</v>
      </c>
      <c r="P370" s="9">
        <v>1000</v>
      </c>
      <c r="Q370" s="13"/>
      <c r="R370" s="13"/>
      <c r="S370" s="9" t="s">
        <v>1715</v>
      </c>
      <c r="T370" s="9" t="s">
        <v>34</v>
      </c>
      <c r="U370" s="13"/>
      <c r="V370" s="9" t="s">
        <v>30</v>
      </c>
      <c r="W370" s="13"/>
      <c r="X370" s="9">
        <v>2</v>
      </c>
    </row>
    <row r="371" spans="1:24">
      <c r="A371" s="13"/>
      <c r="B371" s="9" t="s">
        <v>1716</v>
      </c>
      <c r="C371" s="9" t="str">
        <f>VLOOKUP(B371,[1]RXNS!$B:$C,1,)</f>
        <v>HHYHL2</v>
      </c>
      <c r="D371" s="9" t="b">
        <f t="shared" si="20"/>
        <v>1</v>
      </c>
      <c r="E371" s="9" t="s">
        <v>1654</v>
      </c>
      <c r="F371" s="9" t="s">
        <v>1654</v>
      </c>
      <c r="G371" s="9" t="b">
        <f t="shared" si="21"/>
        <v>1</v>
      </c>
      <c r="H371" s="9" t="str">
        <f>VLOOKUP(B371,[1]RXNS!$B:$D,3,FALSE)</f>
        <v>(R)-3-Hydroxyhexanoyl-[acp][c] =&gt; trans-Hex-2-enoyl-[acp][c] + H2O[c]</v>
      </c>
      <c r="I371" s="9" t="s">
        <v>1655</v>
      </c>
      <c r="J371" s="9" t="s">
        <v>1717</v>
      </c>
      <c r="K371" s="9" t="s">
        <v>1655</v>
      </c>
      <c r="L371" s="9" t="b">
        <f t="shared" si="22"/>
        <v>1</v>
      </c>
      <c r="M371" s="9" t="b">
        <f t="shared" si="23"/>
        <v>1</v>
      </c>
      <c r="N371" s="9" t="s">
        <v>1657</v>
      </c>
      <c r="O371" s="9">
        <v>0</v>
      </c>
      <c r="P371" s="9">
        <v>1000</v>
      </c>
      <c r="Q371" s="13"/>
      <c r="R371" s="13"/>
      <c r="S371" s="9" t="s">
        <v>1718</v>
      </c>
      <c r="T371" s="9" t="s">
        <v>34</v>
      </c>
      <c r="U371" s="13"/>
      <c r="V371" s="9" t="s">
        <v>30</v>
      </c>
      <c r="W371" s="13"/>
      <c r="X371" s="9">
        <v>2</v>
      </c>
    </row>
    <row r="372" spans="1:24">
      <c r="A372" s="13"/>
      <c r="B372" s="9" t="s">
        <v>1719</v>
      </c>
      <c r="C372" s="9" t="str">
        <f>VLOOKUP(B372,[1]RXNS!$B:$C,1,)</f>
        <v>HHYR2</v>
      </c>
      <c r="D372" s="9" t="b">
        <f t="shared" si="20"/>
        <v>1</v>
      </c>
      <c r="E372" s="9" t="s">
        <v>1720</v>
      </c>
      <c r="F372" s="9" t="s">
        <v>1720</v>
      </c>
      <c r="G372" s="9" t="b">
        <f t="shared" si="21"/>
        <v>1</v>
      </c>
      <c r="H372" s="9" t="str">
        <f>VLOOKUP(B372,[1]RXNS!$B:$D,3,FALSE)</f>
        <v>3-Oxohexanoyl-[acyl-carrier protein][c] + H+[c] + Nicotinamide adenine dinucleotide phosphate - reduced[c] =&gt; (R)-3-Hydroxyhexanoyl-[acp][c] + Nicotinamide adenine dinucleotide phosphate[c]</v>
      </c>
      <c r="I372" s="9" t="s">
        <v>1661</v>
      </c>
      <c r="J372" s="9" t="s">
        <v>1721</v>
      </c>
      <c r="K372" s="9" t="s">
        <v>1661</v>
      </c>
      <c r="L372" s="9" t="b">
        <f t="shared" si="22"/>
        <v>1</v>
      </c>
      <c r="M372" s="9" t="b">
        <f t="shared" si="23"/>
        <v>1</v>
      </c>
      <c r="N372" s="9" t="s">
        <v>1663</v>
      </c>
      <c r="O372" s="9">
        <v>0</v>
      </c>
      <c r="P372" s="9">
        <v>1000</v>
      </c>
      <c r="Q372" s="13"/>
      <c r="R372" s="13"/>
      <c r="S372" s="9" t="s">
        <v>1722</v>
      </c>
      <c r="T372" s="9" t="s">
        <v>34</v>
      </c>
      <c r="U372" s="13"/>
      <c r="V372" s="9" t="s">
        <v>30</v>
      </c>
      <c r="W372" s="13"/>
      <c r="X372" s="9">
        <v>2</v>
      </c>
    </row>
    <row r="373" spans="1:24">
      <c r="A373" s="13"/>
      <c r="B373" s="9" t="s">
        <v>1723</v>
      </c>
      <c r="C373" s="9" t="str">
        <f>VLOOKUP(B373,[1]RXNS!$B:$C,1,)</f>
        <v>HISDC</v>
      </c>
      <c r="D373" s="9" t="b">
        <f t="shared" si="20"/>
        <v>1</v>
      </c>
      <c r="E373" s="9" t="s">
        <v>1724</v>
      </c>
      <c r="F373" s="9" t="s">
        <v>1724</v>
      </c>
      <c r="G373" s="9" t="b">
        <f t="shared" si="21"/>
        <v>1</v>
      </c>
      <c r="H373" s="9" t="str">
        <f>VLOOKUP(B373,[1]RXNS!$B:$D,3,FALSE)</f>
        <v>H+[c] + L-Histidine[c] =&gt; CO2[c] + Histamine[c]</v>
      </c>
      <c r="I373" s="9" t="s">
        <v>1725</v>
      </c>
      <c r="J373" s="9" t="s">
        <v>1726</v>
      </c>
      <c r="K373" s="9" t="s">
        <v>1725</v>
      </c>
      <c r="L373" s="9" t="b">
        <f t="shared" si="22"/>
        <v>1</v>
      </c>
      <c r="M373" s="9" t="b">
        <f t="shared" si="23"/>
        <v>1</v>
      </c>
      <c r="N373" s="13"/>
      <c r="O373" s="9">
        <v>0</v>
      </c>
      <c r="P373" s="9">
        <v>1000</v>
      </c>
      <c r="Q373" s="13"/>
      <c r="R373" s="13"/>
      <c r="S373" s="13"/>
      <c r="T373" s="9" t="s">
        <v>1727</v>
      </c>
      <c r="U373" s="13"/>
      <c r="V373" s="9" t="s">
        <v>35</v>
      </c>
      <c r="W373" s="13"/>
      <c r="X373" s="9">
        <v>2</v>
      </c>
    </row>
    <row r="374" spans="1:24">
      <c r="A374" s="13"/>
      <c r="B374" s="9" t="s">
        <v>1728</v>
      </c>
      <c r="C374" s="9" t="str">
        <f>VLOOKUP(B374,[1]RXNS!$B:$C,1,)</f>
        <v>HISTRS</v>
      </c>
      <c r="D374" s="9" t="b">
        <f t="shared" si="20"/>
        <v>1</v>
      </c>
      <c r="E374" s="9" t="s">
        <v>1729</v>
      </c>
      <c r="F374" s="9" t="s">
        <v>1729</v>
      </c>
      <c r="G374" s="9" t="b">
        <f t="shared" si="21"/>
        <v>1</v>
      </c>
      <c r="H374" s="9" t="str">
        <f>VLOOKUP(B374,[1]RXNS!$B:$D,3,FALSE)</f>
        <v>ATP[c] + L-Histidine[c] + tRNA(His)[c] =&gt; AMP[c] + L-Histidyl-tRNA(His)[c] + Diphosphate[c]</v>
      </c>
      <c r="I374" s="9" t="s">
        <v>1730</v>
      </c>
      <c r="J374" s="9" t="s">
        <v>1731</v>
      </c>
      <c r="K374" s="9" t="s">
        <v>1730</v>
      </c>
      <c r="L374" s="9" t="b">
        <f t="shared" si="22"/>
        <v>1</v>
      </c>
      <c r="M374" s="9" t="b">
        <f t="shared" si="23"/>
        <v>1</v>
      </c>
      <c r="N374" s="9" t="s">
        <v>1732</v>
      </c>
      <c r="O374" s="9">
        <v>0</v>
      </c>
      <c r="P374" s="9">
        <v>1000</v>
      </c>
      <c r="Q374" s="13"/>
      <c r="R374" s="13"/>
      <c r="S374" s="13"/>
      <c r="T374" s="9" t="s">
        <v>278</v>
      </c>
      <c r="U374" s="13"/>
      <c r="V374" s="9" t="s">
        <v>30</v>
      </c>
      <c r="W374" s="13"/>
      <c r="X374" s="9">
        <v>2</v>
      </c>
    </row>
    <row r="375" spans="1:24">
      <c r="A375" s="13"/>
      <c r="B375" s="9" t="s">
        <v>1733</v>
      </c>
      <c r="C375" s="9" t="str">
        <f>VLOOKUP(B375,[1]RXNS!$B:$C,1,)</f>
        <v>HISabc</v>
      </c>
      <c r="D375" s="9" t="b">
        <f t="shared" si="20"/>
        <v>1</v>
      </c>
      <c r="E375" s="9" t="s">
        <v>1734</v>
      </c>
      <c r="F375" s="9" t="s">
        <v>1734</v>
      </c>
      <c r="G375" s="9" t="b">
        <f t="shared" si="21"/>
        <v>1</v>
      </c>
      <c r="H375" s="9" t="str">
        <f>VLOOKUP(B375,[1]RXNS!$B:$D,3,FALSE)</f>
        <v>ATP[c] + H2O[c] + L-Histidine[e] =&gt; ADP[c] + H+[c] + L-Histidine[c] + Phosphate[c]</v>
      </c>
      <c r="I375" s="9">
        <f>VLOOKUP(B375,[1]RXNS!$B:$E,4,FALSE)</f>
        <v>0</v>
      </c>
      <c r="J375" s="9" t="s">
        <v>1735</v>
      </c>
      <c r="K375" s="13"/>
      <c r="L375" s="9" t="b">
        <f t="shared" si="22"/>
        <v>1</v>
      </c>
      <c r="M375" s="9" t="b">
        <f t="shared" si="23"/>
        <v>0</v>
      </c>
      <c r="N375" s="9" t="s">
        <v>1736</v>
      </c>
      <c r="O375" s="9">
        <v>0</v>
      </c>
      <c r="P375" s="9">
        <v>1000</v>
      </c>
      <c r="Q375" s="13"/>
      <c r="R375" s="13"/>
      <c r="S375" s="13"/>
      <c r="T375" s="9" t="s">
        <v>146</v>
      </c>
      <c r="U375" s="13"/>
      <c r="V375" s="9" t="s">
        <v>30</v>
      </c>
      <c r="W375" s="13"/>
      <c r="X375" s="9">
        <v>2</v>
      </c>
    </row>
    <row r="376" spans="1:24">
      <c r="A376" s="13"/>
      <c r="B376" s="9" t="s">
        <v>1737</v>
      </c>
      <c r="C376" s="9" t="e">
        <f>VLOOKUP(B376,[1]RXNS!$B:$C,1,)</f>
        <v>#N/A</v>
      </c>
      <c r="D376" s="9" t="e">
        <f t="shared" si="20"/>
        <v>#N/A</v>
      </c>
      <c r="E376" s="9" t="e">
        <v>#N/A</v>
      </c>
      <c r="F376" s="9" t="s">
        <v>1738</v>
      </c>
      <c r="G376" s="9" t="e">
        <f t="shared" si="21"/>
        <v>#N/A</v>
      </c>
      <c r="H376" s="9" t="e">
        <f>VLOOKUP(B376,[1]RXNS!$B:$D,3,FALSE)</f>
        <v>#N/A</v>
      </c>
      <c r="I376" s="9" t="e">
        <f>VLOOKUP(B376,[1]RXNS!$B:$E,4,FALSE)</f>
        <v>#N/A</v>
      </c>
      <c r="J376" s="9" t="s">
        <v>1739</v>
      </c>
      <c r="K376" s="13"/>
      <c r="L376" s="9" t="e">
        <f t="shared" si="22"/>
        <v>#N/A</v>
      </c>
      <c r="M376" s="9" t="e">
        <f t="shared" si="23"/>
        <v>#N/A</v>
      </c>
      <c r="N376" s="9" t="s">
        <v>919</v>
      </c>
      <c r="O376" s="9">
        <v>-1000</v>
      </c>
      <c r="P376" s="9">
        <v>1000</v>
      </c>
      <c r="Q376" s="13"/>
      <c r="R376" s="13"/>
      <c r="S376" s="13"/>
      <c r="T376" s="9" t="s">
        <v>131</v>
      </c>
      <c r="U376" s="13"/>
      <c r="V376" s="9" t="s">
        <v>30</v>
      </c>
      <c r="W376" s="13"/>
      <c r="X376" s="9">
        <v>2</v>
      </c>
    </row>
    <row r="377" spans="1:24">
      <c r="A377" s="13"/>
      <c r="B377" s="9" t="s">
        <v>1740</v>
      </c>
      <c r="C377" s="9" t="e">
        <f>VLOOKUP(B377,[1]RXNS!$B:$C,1,)</f>
        <v>#N/A</v>
      </c>
      <c r="D377" s="9" t="e">
        <f t="shared" si="20"/>
        <v>#N/A</v>
      </c>
      <c r="E377" s="9" t="e">
        <v>#N/A</v>
      </c>
      <c r="F377" s="9" t="s">
        <v>1741</v>
      </c>
      <c r="G377" s="9" t="e">
        <f t="shared" si="21"/>
        <v>#N/A</v>
      </c>
      <c r="H377" s="9" t="e">
        <f>VLOOKUP(B377,[1]RXNS!$B:$D,3,FALSE)</f>
        <v>#N/A</v>
      </c>
      <c r="I377" s="9" t="s">
        <v>1742</v>
      </c>
      <c r="J377" s="9" t="s">
        <v>1743</v>
      </c>
      <c r="K377" s="9" t="s">
        <v>1742</v>
      </c>
      <c r="L377" s="9" t="e">
        <f t="shared" si="22"/>
        <v>#N/A</v>
      </c>
      <c r="M377" s="9" t="b">
        <f t="shared" si="23"/>
        <v>1</v>
      </c>
      <c r="N377" s="9" t="s">
        <v>1744</v>
      </c>
      <c r="O377" s="9">
        <v>0</v>
      </c>
      <c r="P377" s="9">
        <v>1000</v>
      </c>
      <c r="Q377" s="13"/>
      <c r="R377" s="13"/>
      <c r="S377" s="13"/>
      <c r="T377" s="9" t="s">
        <v>34</v>
      </c>
      <c r="U377" s="13"/>
      <c r="V377" s="9" t="s">
        <v>30</v>
      </c>
      <c r="W377" s="13"/>
      <c r="X377" s="9">
        <v>2</v>
      </c>
    </row>
    <row r="378" spans="1:24">
      <c r="A378" s="13"/>
      <c r="B378" s="9" t="s">
        <v>1745</v>
      </c>
      <c r="C378" s="9" t="e">
        <f>VLOOKUP(B378,[1]RXNS!$B:$C,1,)</f>
        <v>#N/A</v>
      </c>
      <c r="D378" s="9" t="e">
        <f t="shared" si="20"/>
        <v>#N/A</v>
      </c>
      <c r="E378" s="9" t="e">
        <v>#N/A</v>
      </c>
      <c r="F378" s="9" t="s">
        <v>1746</v>
      </c>
      <c r="G378" s="9" t="e">
        <f t="shared" si="21"/>
        <v>#N/A</v>
      </c>
      <c r="H378" s="9" t="e">
        <f>VLOOKUP(B378,[1]RXNS!$B:$D,3,FALSE)</f>
        <v>#N/A</v>
      </c>
      <c r="I378" s="9" t="s">
        <v>1742</v>
      </c>
      <c r="J378" s="9" t="s">
        <v>1747</v>
      </c>
      <c r="K378" s="9" t="s">
        <v>1742</v>
      </c>
      <c r="L378" s="9" t="e">
        <f t="shared" si="22"/>
        <v>#N/A</v>
      </c>
      <c r="M378" s="9" t="b">
        <f t="shared" si="23"/>
        <v>1</v>
      </c>
      <c r="N378" s="9" t="s">
        <v>1744</v>
      </c>
      <c r="O378" s="9">
        <v>0</v>
      </c>
      <c r="P378" s="9">
        <v>1000</v>
      </c>
      <c r="Q378" s="13"/>
      <c r="R378" s="13"/>
      <c r="S378" s="13"/>
      <c r="T378" s="9" t="s">
        <v>34</v>
      </c>
      <c r="U378" s="13"/>
      <c r="V378" s="9" t="s">
        <v>30</v>
      </c>
      <c r="W378" s="13"/>
      <c r="X378" s="9">
        <v>2</v>
      </c>
    </row>
    <row r="379" spans="1:24">
      <c r="A379" s="13"/>
      <c r="B379" s="9" t="s">
        <v>1748</v>
      </c>
      <c r="C379" s="9" t="e">
        <f>VLOOKUP(B379,[1]RXNS!$B:$C,1,)</f>
        <v>#N/A</v>
      </c>
      <c r="D379" s="9" t="e">
        <f t="shared" si="20"/>
        <v>#N/A</v>
      </c>
      <c r="E379" s="9" t="e">
        <v>#N/A</v>
      </c>
      <c r="F379" s="9" t="s">
        <v>1749</v>
      </c>
      <c r="G379" s="9" t="e">
        <f t="shared" si="21"/>
        <v>#N/A</v>
      </c>
      <c r="H379" s="9" t="e">
        <f>VLOOKUP(B379,[1]RXNS!$B:$D,3,FALSE)</f>
        <v>#N/A</v>
      </c>
      <c r="I379" s="9" t="s">
        <v>1750</v>
      </c>
      <c r="J379" s="9" t="s">
        <v>1751</v>
      </c>
      <c r="K379" s="9" t="s">
        <v>1750</v>
      </c>
      <c r="L379" s="9" t="e">
        <f t="shared" si="22"/>
        <v>#N/A</v>
      </c>
      <c r="M379" s="9" t="b">
        <f t="shared" si="23"/>
        <v>1</v>
      </c>
      <c r="N379" s="9" t="s">
        <v>1744</v>
      </c>
      <c r="O379" s="9">
        <v>0</v>
      </c>
      <c r="P379" s="9">
        <v>1000</v>
      </c>
      <c r="Q379" s="13"/>
      <c r="R379" s="13"/>
      <c r="S379" s="13"/>
      <c r="T379" s="9" t="s">
        <v>34</v>
      </c>
      <c r="U379" s="13"/>
      <c r="V379" s="9" t="s">
        <v>30</v>
      </c>
      <c r="W379" s="13"/>
      <c r="X379" s="9">
        <v>2</v>
      </c>
    </row>
    <row r="380" spans="1:24">
      <c r="A380" s="13"/>
      <c r="B380" s="9" t="s">
        <v>1752</v>
      </c>
      <c r="C380" s="9" t="e">
        <f>VLOOKUP(B380,[1]RXNS!$B:$C,1,)</f>
        <v>#N/A</v>
      </c>
      <c r="D380" s="9" t="e">
        <f t="shared" si="20"/>
        <v>#N/A</v>
      </c>
      <c r="E380" s="9" t="e">
        <v>#N/A</v>
      </c>
      <c r="F380" s="9" t="s">
        <v>1753</v>
      </c>
      <c r="G380" s="9" t="e">
        <f t="shared" si="21"/>
        <v>#N/A</v>
      </c>
      <c r="H380" s="9" t="e">
        <f>VLOOKUP(B380,[1]RXNS!$B:$D,3,FALSE)</f>
        <v>#N/A</v>
      </c>
      <c r="I380" s="9" t="s">
        <v>1754</v>
      </c>
      <c r="J380" s="9" t="s">
        <v>1755</v>
      </c>
      <c r="K380" s="9" t="s">
        <v>1754</v>
      </c>
      <c r="L380" s="9" t="e">
        <f t="shared" si="22"/>
        <v>#N/A</v>
      </c>
      <c r="M380" s="9" t="b">
        <f t="shared" si="23"/>
        <v>1</v>
      </c>
      <c r="N380" s="9" t="s">
        <v>1744</v>
      </c>
      <c r="O380" s="9">
        <v>0</v>
      </c>
      <c r="P380" s="9">
        <v>1000</v>
      </c>
      <c r="Q380" s="13"/>
      <c r="R380" s="13"/>
      <c r="S380" s="13"/>
      <c r="T380" s="9" t="s">
        <v>34</v>
      </c>
      <c r="U380" s="13"/>
      <c r="V380" s="9" t="s">
        <v>30</v>
      </c>
      <c r="W380" s="13"/>
      <c r="X380" s="9">
        <v>2</v>
      </c>
    </row>
    <row r="381" spans="1:24">
      <c r="A381" s="13"/>
      <c r="B381" s="9" t="s">
        <v>1756</v>
      </c>
      <c r="C381" s="9" t="e">
        <f>VLOOKUP(B381,[1]RXNS!$B:$C,1,)</f>
        <v>#N/A</v>
      </c>
      <c r="D381" s="9" t="e">
        <f t="shared" si="20"/>
        <v>#N/A</v>
      </c>
      <c r="E381" s="9" t="e">
        <v>#N/A</v>
      </c>
      <c r="F381" s="9" t="s">
        <v>1757</v>
      </c>
      <c r="G381" s="9" t="e">
        <f t="shared" si="21"/>
        <v>#N/A</v>
      </c>
      <c r="H381" s="9" t="e">
        <f>VLOOKUP(B381,[1]RXNS!$B:$D,3,FALSE)</f>
        <v>#N/A</v>
      </c>
      <c r="I381" s="9" t="s">
        <v>1750</v>
      </c>
      <c r="J381" s="9" t="s">
        <v>1758</v>
      </c>
      <c r="K381" s="9" t="s">
        <v>1750</v>
      </c>
      <c r="L381" s="9" t="e">
        <f t="shared" si="22"/>
        <v>#N/A</v>
      </c>
      <c r="M381" s="9" t="b">
        <f t="shared" si="23"/>
        <v>1</v>
      </c>
      <c r="N381" s="9" t="s">
        <v>1744</v>
      </c>
      <c r="O381" s="9">
        <v>0</v>
      </c>
      <c r="P381" s="9">
        <v>1000</v>
      </c>
      <c r="Q381" s="13"/>
      <c r="R381" s="13"/>
      <c r="S381" s="13"/>
      <c r="T381" s="9" t="s">
        <v>34</v>
      </c>
      <c r="U381" s="13"/>
      <c r="V381" s="9" t="s">
        <v>30</v>
      </c>
      <c r="W381" s="13"/>
      <c r="X381" s="9">
        <v>2</v>
      </c>
    </row>
    <row r="382" spans="1:24">
      <c r="A382" s="13"/>
      <c r="B382" s="9" t="s">
        <v>1759</v>
      </c>
      <c r="C382" s="9" t="e">
        <f>VLOOKUP(B382,[1]RXNS!$B:$C,1,)</f>
        <v>#N/A</v>
      </c>
      <c r="D382" s="9" t="e">
        <f t="shared" si="20"/>
        <v>#N/A</v>
      </c>
      <c r="E382" s="9" t="e">
        <v>#N/A</v>
      </c>
      <c r="F382" s="9" t="s">
        <v>1760</v>
      </c>
      <c r="G382" s="9" t="e">
        <f t="shared" si="21"/>
        <v>#N/A</v>
      </c>
      <c r="H382" s="9" t="e">
        <f>VLOOKUP(B382,[1]RXNS!$B:$D,3,FALSE)</f>
        <v>#N/A</v>
      </c>
      <c r="I382" s="9" t="s">
        <v>1754</v>
      </c>
      <c r="J382" s="9" t="s">
        <v>1761</v>
      </c>
      <c r="K382" s="9" t="s">
        <v>1754</v>
      </c>
      <c r="L382" s="9" t="e">
        <f t="shared" si="22"/>
        <v>#N/A</v>
      </c>
      <c r="M382" s="9" t="b">
        <f t="shared" si="23"/>
        <v>1</v>
      </c>
      <c r="N382" s="9" t="s">
        <v>1744</v>
      </c>
      <c r="O382" s="9">
        <v>0</v>
      </c>
      <c r="P382" s="9">
        <v>1000</v>
      </c>
      <c r="Q382" s="13"/>
      <c r="R382" s="13"/>
      <c r="S382" s="13"/>
      <c r="T382" s="9" t="s">
        <v>34</v>
      </c>
      <c r="U382" s="13"/>
      <c r="V382" s="9" t="s">
        <v>30</v>
      </c>
      <c r="W382" s="13"/>
      <c r="X382" s="9">
        <v>2</v>
      </c>
    </row>
    <row r="383" spans="1:24">
      <c r="A383" s="13"/>
      <c r="B383" s="9" t="s">
        <v>1762</v>
      </c>
      <c r="C383" s="9" t="e">
        <f>VLOOKUP(B383,[1]RXNS!$B:$C,1,)</f>
        <v>#N/A</v>
      </c>
      <c r="D383" s="9" t="e">
        <f t="shared" si="20"/>
        <v>#N/A</v>
      </c>
      <c r="E383" s="9" t="e">
        <v>#N/A</v>
      </c>
      <c r="F383" s="9" t="s">
        <v>1763</v>
      </c>
      <c r="G383" s="9" t="e">
        <f t="shared" si="21"/>
        <v>#N/A</v>
      </c>
      <c r="H383" s="9" t="e">
        <f>VLOOKUP(B383,[1]RXNS!$B:$D,3,FALSE)</f>
        <v>#N/A</v>
      </c>
      <c r="I383" s="9" t="s">
        <v>1750</v>
      </c>
      <c r="J383" s="9" t="s">
        <v>1764</v>
      </c>
      <c r="K383" s="9" t="s">
        <v>1750</v>
      </c>
      <c r="L383" s="9" t="e">
        <f t="shared" si="22"/>
        <v>#N/A</v>
      </c>
      <c r="M383" s="9" t="b">
        <f t="shared" si="23"/>
        <v>1</v>
      </c>
      <c r="N383" s="9" t="s">
        <v>1744</v>
      </c>
      <c r="O383" s="9">
        <v>0</v>
      </c>
      <c r="P383" s="9">
        <v>1000</v>
      </c>
      <c r="Q383" s="13"/>
      <c r="R383" s="13"/>
      <c r="S383" s="13"/>
      <c r="T383" s="9" t="s">
        <v>34</v>
      </c>
      <c r="U383" s="13"/>
      <c r="V383" s="9" t="s">
        <v>30</v>
      </c>
      <c r="W383" s="13"/>
      <c r="X383" s="9">
        <v>2</v>
      </c>
    </row>
    <row r="384" spans="1:24">
      <c r="A384" s="13"/>
      <c r="B384" s="9" t="s">
        <v>1765</v>
      </c>
      <c r="C384" s="9" t="e">
        <f>VLOOKUP(B384,[1]RXNS!$B:$C,1,)</f>
        <v>#N/A</v>
      </c>
      <c r="D384" s="9" t="e">
        <f t="shared" si="20"/>
        <v>#N/A</v>
      </c>
      <c r="E384" s="9" t="e">
        <v>#N/A</v>
      </c>
      <c r="F384" s="9" t="s">
        <v>1766</v>
      </c>
      <c r="G384" s="9" t="e">
        <f t="shared" si="21"/>
        <v>#N/A</v>
      </c>
      <c r="H384" s="9" t="e">
        <f>VLOOKUP(B384,[1]RXNS!$B:$D,3,FALSE)</f>
        <v>#N/A</v>
      </c>
      <c r="I384" s="9" t="s">
        <v>1767</v>
      </c>
      <c r="J384" s="9" t="s">
        <v>1768</v>
      </c>
      <c r="K384" s="9" t="s">
        <v>1767</v>
      </c>
      <c r="L384" s="9" t="e">
        <f t="shared" si="22"/>
        <v>#N/A</v>
      </c>
      <c r="M384" s="9" t="b">
        <f t="shared" si="23"/>
        <v>1</v>
      </c>
      <c r="N384" s="9" t="s">
        <v>1744</v>
      </c>
      <c r="O384" s="9">
        <v>0</v>
      </c>
      <c r="P384" s="9">
        <v>1000</v>
      </c>
      <c r="Q384" s="13"/>
      <c r="R384" s="13"/>
      <c r="S384" s="13"/>
      <c r="T384" s="9" t="s">
        <v>34</v>
      </c>
      <c r="U384" s="13"/>
      <c r="V384" s="9" t="s">
        <v>30</v>
      </c>
      <c r="W384" s="13"/>
      <c r="X384" s="9">
        <v>2</v>
      </c>
    </row>
    <row r="385" spans="1:24">
      <c r="A385" s="13"/>
      <c r="B385" s="9" t="s">
        <v>1769</v>
      </c>
      <c r="C385" s="9" t="e">
        <f>VLOOKUP(B385,[1]RXNS!$B:$C,1,)</f>
        <v>#N/A</v>
      </c>
      <c r="D385" s="9" t="e">
        <f t="shared" si="20"/>
        <v>#N/A</v>
      </c>
      <c r="E385" s="9" t="e">
        <v>#N/A</v>
      </c>
      <c r="F385" s="9" t="s">
        <v>1770</v>
      </c>
      <c r="G385" s="9" t="e">
        <f t="shared" si="21"/>
        <v>#N/A</v>
      </c>
      <c r="H385" s="9" t="e">
        <f>VLOOKUP(B385,[1]RXNS!$B:$D,3,FALSE)</f>
        <v>#N/A</v>
      </c>
      <c r="I385" s="9" t="s">
        <v>1750</v>
      </c>
      <c r="J385" s="9" t="s">
        <v>1771</v>
      </c>
      <c r="K385" s="9" t="s">
        <v>1750</v>
      </c>
      <c r="L385" s="9" t="e">
        <f t="shared" si="22"/>
        <v>#N/A</v>
      </c>
      <c r="M385" s="9" t="b">
        <f t="shared" si="23"/>
        <v>1</v>
      </c>
      <c r="N385" s="9" t="s">
        <v>1744</v>
      </c>
      <c r="O385" s="9">
        <v>0</v>
      </c>
      <c r="P385" s="9">
        <v>1000</v>
      </c>
      <c r="Q385" s="13"/>
      <c r="R385" s="13"/>
      <c r="S385" s="13"/>
      <c r="T385" s="9" t="s">
        <v>34</v>
      </c>
      <c r="U385" s="13"/>
      <c r="V385" s="9" t="s">
        <v>30</v>
      </c>
      <c r="W385" s="13"/>
      <c r="X385" s="9">
        <v>2</v>
      </c>
    </row>
    <row r="386" spans="1:24">
      <c r="A386" s="13"/>
      <c r="B386" s="9" t="s">
        <v>1772</v>
      </c>
      <c r="C386" s="9" t="e">
        <f>VLOOKUP(B386,[1]RXNS!$B:$C,1,)</f>
        <v>#N/A</v>
      </c>
      <c r="D386" s="9" t="e">
        <f t="shared" ref="D386:D449" si="24">EXACT(B386,C386)</f>
        <v>#N/A</v>
      </c>
      <c r="E386" s="9" t="e">
        <v>#N/A</v>
      </c>
      <c r="F386" s="9" t="s">
        <v>1773</v>
      </c>
      <c r="G386" s="9" t="e">
        <f t="shared" ref="G386:G449" si="25">EXACT(E386,F386)</f>
        <v>#N/A</v>
      </c>
      <c r="H386" s="9" t="e">
        <f>VLOOKUP(B386,[1]RXNS!$B:$D,3,FALSE)</f>
        <v>#N/A</v>
      </c>
      <c r="I386" s="9" t="s">
        <v>1774</v>
      </c>
      <c r="J386" s="9" t="s">
        <v>1775</v>
      </c>
      <c r="K386" s="9" t="s">
        <v>1774</v>
      </c>
      <c r="L386" s="9" t="e">
        <f t="shared" ref="L386:L449" si="26">EXACT(H386,J386)</f>
        <v>#N/A</v>
      </c>
      <c r="M386" s="9" t="b">
        <f t="shared" ref="M386:M449" si="27">EXACT(I386,K386)</f>
        <v>1</v>
      </c>
      <c r="N386" s="9" t="s">
        <v>1744</v>
      </c>
      <c r="O386" s="9">
        <v>0</v>
      </c>
      <c r="P386" s="9">
        <v>1000</v>
      </c>
      <c r="Q386" s="13"/>
      <c r="R386" s="13"/>
      <c r="S386" s="13"/>
      <c r="T386" s="9" t="s">
        <v>34</v>
      </c>
      <c r="U386" s="13"/>
      <c r="V386" s="9" t="s">
        <v>30</v>
      </c>
      <c r="W386" s="13"/>
      <c r="X386" s="9">
        <v>2</v>
      </c>
    </row>
    <row r="387" spans="1:24">
      <c r="A387" s="13"/>
      <c r="B387" s="9" t="s">
        <v>1776</v>
      </c>
      <c r="C387" s="9" t="e">
        <f>VLOOKUP(B387,[1]RXNS!$B:$C,1,)</f>
        <v>#N/A</v>
      </c>
      <c r="D387" s="9" t="e">
        <f t="shared" si="24"/>
        <v>#N/A</v>
      </c>
      <c r="E387" s="9" t="e">
        <v>#N/A</v>
      </c>
      <c r="F387" s="9" t="s">
        <v>1777</v>
      </c>
      <c r="G387" s="9" t="e">
        <f t="shared" si="25"/>
        <v>#N/A</v>
      </c>
      <c r="H387" s="9" t="e">
        <f>VLOOKUP(B387,[1]RXNS!$B:$D,3,FALSE)</f>
        <v>#N/A</v>
      </c>
      <c r="I387" s="9" t="s">
        <v>1778</v>
      </c>
      <c r="J387" s="9" t="s">
        <v>1779</v>
      </c>
      <c r="K387" s="9" t="s">
        <v>1778</v>
      </c>
      <c r="L387" s="9" t="e">
        <f t="shared" si="26"/>
        <v>#N/A</v>
      </c>
      <c r="M387" s="9" t="b">
        <f t="shared" si="27"/>
        <v>1</v>
      </c>
      <c r="N387" s="9" t="s">
        <v>1744</v>
      </c>
      <c r="O387" s="9">
        <v>0</v>
      </c>
      <c r="P387" s="9">
        <v>1000</v>
      </c>
      <c r="Q387" s="13"/>
      <c r="R387" s="13"/>
      <c r="S387" s="13"/>
      <c r="T387" s="9" t="s">
        <v>34</v>
      </c>
      <c r="U387" s="13"/>
      <c r="V387" s="9" t="s">
        <v>30</v>
      </c>
      <c r="W387" s="13"/>
      <c r="X387" s="9">
        <v>2</v>
      </c>
    </row>
    <row r="388" spans="1:24">
      <c r="A388" s="13"/>
      <c r="B388" s="9" t="s">
        <v>1780</v>
      </c>
      <c r="C388" s="9" t="e">
        <f>VLOOKUP(B388,[1]RXNS!$B:$C,1,)</f>
        <v>#N/A</v>
      </c>
      <c r="D388" s="9" t="e">
        <f t="shared" si="24"/>
        <v>#N/A</v>
      </c>
      <c r="E388" s="9" t="e">
        <v>#N/A</v>
      </c>
      <c r="F388" s="9" t="s">
        <v>1781</v>
      </c>
      <c r="G388" s="9" t="e">
        <f t="shared" si="25"/>
        <v>#N/A</v>
      </c>
      <c r="H388" s="9" t="e">
        <f>VLOOKUP(B388,[1]RXNS!$B:$D,3,FALSE)</f>
        <v>#N/A</v>
      </c>
      <c r="I388" s="9" t="s">
        <v>1782</v>
      </c>
      <c r="J388" s="9" t="s">
        <v>1783</v>
      </c>
      <c r="K388" s="9" t="s">
        <v>1782</v>
      </c>
      <c r="L388" s="9" t="e">
        <f t="shared" si="26"/>
        <v>#N/A</v>
      </c>
      <c r="M388" s="9" t="b">
        <f t="shared" si="27"/>
        <v>1</v>
      </c>
      <c r="N388" s="9" t="s">
        <v>1744</v>
      </c>
      <c r="O388" s="9">
        <v>0</v>
      </c>
      <c r="P388" s="9">
        <v>1000</v>
      </c>
      <c r="Q388" s="13"/>
      <c r="R388" s="13"/>
      <c r="S388" s="13"/>
      <c r="T388" s="9" t="s">
        <v>34</v>
      </c>
      <c r="U388" s="13"/>
      <c r="V388" s="9" t="s">
        <v>30</v>
      </c>
      <c r="W388" s="13"/>
      <c r="X388" s="9">
        <v>2</v>
      </c>
    </row>
    <row r="389" spans="1:24">
      <c r="A389" s="13"/>
      <c r="B389" s="9" t="s">
        <v>1784</v>
      </c>
      <c r="C389" s="9" t="e">
        <f>VLOOKUP(B389,[1]RXNS!$B:$C,1,)</f>
        <v>#N/A</v>
      </c>
      <c r="D389" s="9" t="e">
        <f t="shared" si="24"/>
        <v>#N/A</v>
      </c>
      <c r="E389" s="9" t="e">
        <v>#N/A</v>
      </c>
      <c r="F389" s="9" t="s">
        <v>1785</v>
      </c>
      <c r="G389" s="9" t="e">
        <f t="shared" si="25"/>
        <v>#N/A</v>
      </c>
      <c r="H389" s="9" t="e">
        <f>VLOOKUP(B389,[1]RXNS!$B:$D,3,FALSE)</f>
        <v>#N/A</v>
      </c>
      <c r="I389" s="9" t="s">
        <v>1786</v>
      </c>
      <c r="J389" s="9" t="s">
        <v>1787</v>
      </c>
      <c r="K389" s="9" t="s">
        <v>1786</v>
      </c>
      <c r="L389" s="9" t="e">
        <f t="shared" si="26"/>
        <v>#N/A</v>
      </c>
      <c r="M389" s="9" t="b">
        <f t="shared" si="27"/>
        <v>1</v>
      </c>
      <c r="N389" s="9" t="s">
        <v>1788</v>
      </c>
      <c r="O389" s="9">
        <v>-1000</v>
      </c>
      <c r="P389" s="9">
        <v>1000</v>
      </c>
      <c r="Q389" s="13"/>
      <c r="R389" s="13"/>
      <c r="S389" s="13"/>
      <c r="T389" s="9" t="s">
        <v>34</v>
      </c>
      <c r="U389" s="13"/>
      <c r="V389" s="9" t="s">
        <v>30</v>
      </c>
      <c r="W389" s="13"/>
      <c r="X389" s="9">
        <v>2</v>
      </c>
    </row>
    <row r="390" spans="1:24">
      <c r="A390" s="13"/>
      <c r="B390" s="9" t="s">
        <v>1789</v>
      </c>
      <c r="C390" s="9" t="e">
        <f>VLOOKUP(B390,[1]RXNS!$B:$C,1,)</f>
        <v>#N/A</v>
      </c>
      <c r="D390" s="9" t="e">
        <f t="shared" si="24"/>
        <v>#N/A</v>
      </c>
      <c r="E390" s="9" t="e">
        <v>#N/A</v>
      </c>
      <c r="F390" s="9" t="s">
        <v>1790</v>
      </c>
      <c r="G390" s="9" t="e">
        <f t="shared" si="25"/>
        <v>#N/A</v>
      </c>
      <c r="H390" s="9" t="e">
        <f>VLOOKUP(B390,[1]RXNS!$B:$D,3,FALSE)</f>
        <v>#N/A</v>
      </c>
      <c r="I390" s="9" t="s">
        <v>1786</v>
      </c>
      <c r="J390" s="9" t="s">
        <v>1791</v>
      </c>
      <c r="K390" s="9" t="s">
        <v>1786</v>
      </c>
      <c r="L390" s="9" t="e">
        <f t="shared" si="26"/>
        <v>#N/A</v>
      </c>
      <c r="M390" s="9" t="b">
        <f t="shared" si="27"/>
        <v>1</v>
      </c>
      <c r="N390" s="9" t="s">
        <v>1788</v>
      </c>
      <c r="O390" s="9">
        <v>-1000</v>
      </c>
      <c r="P390" s="9">
        <v>1000</v>
      </c>
      <c r="Q390" s="13"/>
      <c r="R390" s="13"/>
      <c r="S390" s="13"/>
      <c r="T390" s="9" t="s">
        <v>34</v>
      </c>
      <c r="U390" s="13"/>
      <c r="V390" s="9" t="s">
        <v>30</v>
      </c>
      <c r="W390" s="13"/>
      <c r="X390" s="9">
        <v>2</v>
      </c>
    </row>
    <row r="391" spans="1:24">
      <c r="A391" s="13"/>
      <c r="B391" s="9" t="s">
        <v>1792</v>
      </c>
      <c r="C391" s="9" t="e">
        <f>VLOOKUP(B391,[1]RXNS!$B:$C,1,)</f>
        <v>#N/A</v>
      </c>
      <c r="D391" s="9" t="e">
        <f t="shared" si="24"/>
        <v>#N/A</v>
      </c>
      <c r="E391" s="9" t="e">
        <v>#N/A</v>
      </c>
      <c r="F391" s="9" t="s">
        <v>1793</v>
      </c>
      <c r="G391" s="9" t="e">
        <f t="shared" si="25"/>
        <v>#N/A</v>
      </c>
      <c r="H391" s="9" t="e">
        <f>VLOOKUP(B391,[1]RXNS!$B:$D,3,FALSE)</f>
        <v>#N/A</v>
      </c>
      <c r="I391" s="9" t="s">
        <v>1786</v>
      </c>
      <c r="J391" s="9" t="s">
        <v>1794</v>
      </c>
      <c r="K391" s="9" t="s">
        <v>1786</v>
      </c>
      <c r="L391" s="9" t="e">
        <f t="shared" si="26"/>
        <v>#N/A</v>
      </c>
      <c r="M391" s="9" t="b">
        <f t="shared" si="27"/>
        <v>1</v>
      </c>
      <c r="N391" s="9" t="s">
        <v>1788</v>
      </c>
      <c r="O391" s="9">
        <v>-1000</v>
      </c>
      <c r="P391" s="9">
        <v>1000</v>
      </c>
      <c r="Q391" s="13"/>
      <c r="R391" s="13"/>
      <c r="S391" s="13"/>
      <c r="T391" s="9" t="s">
        <v>34</v>
      </c>
      <c r="U391" s="13"/>
      <c r="V391" s="9" t="s">
        <v>30</v>
      </c>
      <c r="W391" s="13"/>
      <c r="X391" s="9">
        <v>2</v>
      </c>
    </row>
    <row r="392" spans="1:24">
      <c r="A392" s="13"/>
      <c r="B392" s="9" t="s">
        <v>1795</v>
      </c>
      <c r="C392" s="9" t="e">
        <f>VLOOKUP(B392,[1]RXNS!$B:$C,1,)</f>
        <v>#N/A</v>
      </c>
      <c r="D392" s="9" t="e">
        <f t="shared" si="24"/>
        <v>#N/A</v>
      </c>
      <c r="E392" s="9" t="e">
        <v>#N/A</v>
      </c>
      <c r="F392" s="9" t="s">
        <v>1796</v>
      </c>
      <c r="G392" s="9" t="e">
        <f t="shared" si="25"/>
        <v>#N/A</v>
      </c>
      <c r="H392" s="9" t="e">
        <f>VLOOKUP(B392,[1]RXNS!$B:$D,3,FALSE)</f>
        <v>#N/A</v>
      </c>
      <c r="I392" s="9" t="s">
        <v>1786</v>
      </c>
      <c r="J392" s="9" t="s">
        <v>1797</v>
      </c>
      <c r="K392" s="9" t="s">
        <v>1786</v>
      </c>
      <c r="L392" s="9" t="e">
        <f t="shared" si="26"/>
        <v>#N/A</v>
      </c>
      <c r="M392" s="9" t="b">
        <f t="shared" si="27"/>
        <v>1</v>
      </c>
      <c r="N392" s="9" t="s">
        <v>1788</v>
      </c>
      <c r="O392" s="9">
        <v>-1000</v>
      </c>
      <c r="P392" s="9">
        <v>1000</v>
      </c>
      <c r="Q392" s="13"/>
      <c r="R392" s="13"/>
      <c r="S392" s="13"/>
      <c r="T392" s="9" t="s">
        <v>34</v>
      </c>
      <c r="U392" s="13"/>
      <c r="V392" s="9" t="s">
        <v>30</v>
      </c>
      <c r="W392" s="13"/>
      <c r="X392" s="9">
        <v>2</v>
      </c>
    </row>
    <row r="393" spans="1:24">
      <c r="A393" s="13"/>
      <c r="B393" s="9" t="s">
        <v>1798</v>
      </c>
      <c r="C393" s="9" t="e">
        <f>VLOOKUP(B393,[1]RXNS!$B:$C,1,)</f>
        <v>#N/A</v>
      </c>
      <c r="D393" s="9" t="e">
        <f t="shared" si="24"/>
        <v>#N/A</v>
      </c>
      <c r="E393" s="9" t="e">
        <v>#N/A</v>
      </c>
      <c r="F393" s="9" t="s">
        <v>1799</v>
      </c>
      <c r="G393" s="9" t="e">
        <f t="shared" si="25"/>
        <v>#N/A</v>
      </c>
      <c r="H393" s="9" t="e">
        <f>VLOOKUP(B393,[1]RXNS!$B:$D,3,FALSE)</f>
        <v>#N/A</v>
      </c>
      <c r="I393" s="9" t="s">
        <v>1661</v>
      </c>
      <c r="J393" s="9" t="s">
        <v>1800</v>
      </c>
      <c r="K393" s="9" t="s">
        <v>1661</v>
      </c>
      <c r="L393" s="9" t="e">
        <f t="shared" si="26"/>
        <v>#N/A</v>
      </c>
      <c r="M393" s="9" t="b">
        <f t="shared" si="27"/>
        <v>1</v>
      </c>
      <c r="N393" s="9" t="s">
        <v>1788</v>
      </c>
      <c r="O393" s="9">
        <v>-1000</v>
      </c>
      <c r="P393" s="9">
        <v>1000</v>
      </c>
      <c r="Q393" s="13"/>
      <c r="R393" s="13"/>
      <c r="S393" s="13"/>
      <c r="T393" s="9" t="s">
        <v>34</v>
      </c>
      <c r="U393" s="13"/>
      <c r="V393" s="9" t="s">
        <v>30</v>
      </c>
      <c r="W393" s="13"/>
      <c r="X393" s="9">
        <v>2</v>
      </c>
    </row>
    <row r="394" spans="1:24">
      <c r="A394" s="13"/>
      <c r="B394" s="9" t="s">
        <v>1801</v>
      </c>
      <c r="C394" s="9" t="e">
        <f>VLOOKUP(B394,[1]RXNS!$B:$C,1,)</f>
        <v>#N/A</v>
      </c>
      <c r="D394" s="9" t="e">
        <f t="shared" si="24"/>
        <v>#N/A</v>
      </c>
      <c r="E394" s="9" t="e">
        <v>#N/A</v>
      </c>
      <c r="F394" s="9" t="s">
        <v>1802</v>
      </c>
      <c r="G394" s="9" t="e">
        <f t="shared" si="25"/>
        <v>#N/A</v>
      </c>
      <c r="H394" s="9" t="e">
        <f>VLOOKUP(B394,[1]RXNS!$B:$D,3,FALSE)</f>
        <v>#N/A</v>
      </c>
      <c r="I394" s="9" t="s">
        <v>1661</v>
      </c>
      <c r="J394" s="9" t="s">
        <v>1803</v>
      </c>
      <c r="K394" s="9" t="s">
        <v>1661</v>
      </c>
      <c r="L394" s="9" t="e">
        <f t="shared" si="26"/>
        <v>#N/A</v>
      </c>
      <c r="M394" s="9" t="b">
        <f t="shared" si="27"/>
        <v>1</v>
      </c>
      <c r="N394" s="9" t="s">
        <v>1788</v>
      </c>
      <c r="O394" s="9">
        <v>0</v>
      </c>
      <c r="P394" s="9">
        <v>1000</v>
      </c>
      <c r="Q394" s="13"/>
      <c r="R394" s="13"/>
      <c r="S394" s="13"/>
      <c r="T394" s="9" t="s">
        <v>34</v>
      </c>
      <c r="U394" s="13"/>
      <c r="V394" s="9" t="s">
        <v>30</v>
      </c>
      <c r="W394" s="13"/>
      <c r="X394" s="9">
        <v>2</v>
      </c>
    </row>
    <row r="395" spans="1:24">
      <c r="A395" s="13"/>
      <c r="B395" s="9" t="s">
        <v>1804</v>
      </c>
      <c r="C395" s="9" t="e">
        <f>VLOOKUP(B395,[1]RXNS!$B:$C,1,)</f>
        <v>#N/A</v>
      </c>
      <c r="D395" s="9" t="e">
        <f t="shared" si="24"/>
        <v>#N/A</v>
      </c>
      <c r="E395" s="9" t="e">
        <v>#N/A</v>
      </c>
      <c r="F395" s="9" t="s">
        <v>1805</v>
      </c>
      <c r="G395" s="9" t="e">
        <f t="shared" si="25"/>
        <v>#N/A</v>
      </c>
      <c r="H395" s="9" t="e">
        <f>VLOOKUP(B395,[1]RXNS!$B:$D,3,FALSE)</f>
        <v>#N/A</v>
      </c>
      <c r="I395" s="9" t="s">
        <v>1661</v>
      </c>
      <c r="J395" s="9" t="s">
        <v>1806</v>
      </c>
      <c r="K395" s="9" t="s">
        <v>1661</v>
      </c>
      <c r="L395" s="9" t="e">
        <f t="shared" si="26"/>
        <v>#N/A</v>
      </c>
      <c r="M395" s="9" t="b">
        <f t="shared" si="27"/>
        <v>1</v>
      </c>
      <c r="N395" s="9" t="s">
        <v>1788</v>
      </c>
      <c r="O395" s="9">
        <v>-1000</v>
      </c>
      <c r="P395" s="9">
        <v>1000</v>
      </c>
      <c r="Q395" s="13"/>
      <c r="R395" s="13"/>
      <c r="S395" s="13"/>
      <c r="T395" s="9" t="s">
        <v>34</v>
      </c>
      <c r="U395" s="13"/>
      <c r="V395" s="9" t="s">
        <v>30</v>
      </c>
      <c r="W395" s="13"/>
      <c r="X395" s="9">
        <v>2</v>
      </c>
    </row>
    <row r="396" spans="1:24">
      <c r="A396" s="13"/>
      <c r="B396" s="9" t="s">
        <v>1807</v>
      </c>
      <c r="C396" s="9" t="e">
        <f>VLOOKUP(B396,[1]RXNS!$B:$C,1,)</f>
        <v>#N/A</v>
      </c>
      <c r="D396" s="9" t="e">
        <f t="shared" si="24"/>
        <v>#N/A</v>
      </c>
      <c r="E396" s="9" t="e">
        <v>#N/A</v>
      </c>
      <c r="F396" s="9" t="s">
        <v>1808</v>
      </c>
      <c r="G396" s="9" t="e">
        <f t="shared" si="25"/>
        <v>#N/A</v>
      </c>
      <c r="H396" s="9" t="e">
        <f>VLOOKUP(B396,[1]RXNS!$B:$D,3,FALSE)</f>
        <v>#N/A</v>
      </c>
      <c r="I396" s="9" t="s">
        <v>1786</v>
      </c>
      <c r="J396" s="9" t="s">
        <v>1809</v>
      </c>
      <c r="K396" s="9" t="s">
        <v>1786</v>
      </c>
      <c r="L396" s="9" t="e">
        <f t="shared" si="26"/>
        <v>#N/A</v>
      </c>
      <c r="M396" s="9" t="b">
        <f t="shared" si="27"/>
        <v>1</v>
      </c>
      <c r="N396" s="9" t="s">
        <v>1788</v>
      </c>
      <c r="O396" s="9">
        <v>-1000</v>
      </c>
      <c r="P396" s="9">
        <v>1000</v>
      </c>
      <c r="Q396" s="13"/>
      <c r="R396" s="13"/>
      <c r="S396" s="13"/>
      <c r="T396" s="9" t="s">
        <v>34</v>
      </c>
      <c r="U396" s="13"/>
      <c r="V396" s="9" t="s">
        <v>30</v>
      </c>
      <c r="W396" s="13"/>
      <c r="X396" s="9">
        <v>2</v>
      </c>
    </row>
    <row r="397" spans="1:24">
      <c r="A397" s="13"/>
      <c r="B397" s="9" t="s">
        <v>1810</v>
      </c>
      <c r="C397" s="9" t="e">
        <f>VLOOKUP(B397,[1]RXNS!$B:$C,1,)</f>
        <v>#N/A</v>
      </c>
      <c r="D397" s="9" t="e">
        <f t="shared" si="24"/>
        <v>#N/A</v>
      </c>
      <c r="E397" s="9" t="e">
        <v>#N/A</v>
      </c>
      <c r="F397" s="9" t="s">
        <v>1811</v>
      </c>
      <c r="G397" s="9" t="e">
        <f t="shared" si="25"/>
        <v>#N/A</v>
      </c>
      <c r="H397" s="9" t="e">
        <f>VLOOKUP(B397,[1]RXNS!$B:$D,3,FALSE)</f>
        <v>#N/A</v>
      </c>
      <c r="I397" s="9" t="s">
        <v>1786</v>
      </c>
      <c r="J397" s="9" t="s">
        <v>1812</v>
      </c>
      <c r="K397" s="9" t="s">
        <v>1786</v>
      </c>
      <c r="L397" s="9" t="e">
        <f t="shared" si="26"/>
        <v>#N/A</v>
      </c>
      <c r="M397" s="9" t="b">
        <f t="shared" si="27"/>
        <v>1</v>
      </c>
      <c r="N397" s="9" t="s">
        <v>1788</v>
      </c>
      <c r="O397" s="9">
        <v>-1000</v>
      </c>
      <c r="P397" s="9">
        <v>1000</v>
      </c>
      <c r="Q397" s="13"/>
      <c r="R397" s="13"/>
      <c r="S397" s="13"/>
      <c r="T397" s="9" t="s">
        <v>34</v>
      </c>
      <c r="U397" s="13"/>
      <c r="V397" s="9" t="s">
        <v>30</v>
      </c>
      <c r="W397" s="13"/>
      <c r="X397" s="9">
        <v>2</v>
      </c>
    </row>
    <row r="398" spans="1:24">
      <c r="A398" s="13"/>
      <c r="B398" s="9" t="s">
        <v>1813</v>
      </c>
      <c r="C398" s="9" t="e">
        <f>VLOOKUP(B398,[1]RXNS!$B:$C,1,)</f>
        <v>#N/A</v>
      </c>
      <c r="D398" s="9" t="e">
        <f t="shared" si="24"/>
        <v>#N/A</v>
      </c>
      <c r="E398" s="9" t="e">
        <v>#N/A</v>
      </c>
      <c r="F398" s="9" t="s">
        <v>1814</v>
      </c>
      <c r="G398" s="9" t="e">
        <f t="shared" si="25"/>
        <v>#N/A</v>
      </c>
      <c r="H398" s="9" t="e">
        <f>VLOOKUP(B398,[1]RXNS!$B:$D,3,FALSE)</f>
        <v>#N/A</v>
      </c>
      <c r="I398" s="9" t="s">
        <v>1815</v>
      </c>
      <c r="J398" s="9" t="s">
        <v>1816</v>
      </c>
      <c r="K398" s="9" t="s">
        <v>1815</v>
      </c>
      <c r="L398" s="9" t="e">
        <f t="shared" si="26"/>
        <v>#N/A</v>
      </c>
      <c r="M398" s="9" t="b">
        <f t="shared" si="27"/>
        <v>1</v>
      </c>
      <c r="N398" s="9" t="s">
        <v>1817</v>
      </c>
      <c r="O398" s="9">
        <v>0</v>
      </c>
      <c r="P398" s="9">
        <v>1000</v>
      </c>
      <c r="Q398" s="13"/>
      <c r="R398" s="13"/>
      <c r="S398" s="13"/>
      <c r="T398" s="9" t="s">
        <v>34</v>
      </c>
      <c r="U398" s="13"/>
      <c r="V398" s="9" t="s">
        <v>30</v>
      </c>
      <c r="W398" s="13"/>
      <c r="X398" s="9">
        <v>2</v>
      </c>
    </row>
    <row r="399" spans="1:24">
      <c r="A399" s="13"/>
      <c r="B399" s="9" t="s">
        <v>1818</v>
      </c>
      <c r="C399" s="9" t="e">
        <f>VLOOKUP(B399,[1]RXNS!$B:$C,1,)</f>
        <v>#N/A</v>
      </c>
      <c r="D399" s="9" t="e">
        <f t="shared" si="24"/>
        <v>#N/A</v>
      </c>
      <c r="E399" s="9" t="e">
        <v>#N/A</v>
      </c>
      <c r="F399" s="9" t="s">
        <v>1819</v>
      </c>
      <c r="G399" s="9" t="e">
        <f t="shared" si="25"/>
        <v>#N/A</v>
      </c>
      <c r="H399" s="9" t="e">
        <f>VLOOKUP(B399,[1]RXNS!$B:$D,3,FALSE)</f>
        <v>#N/A</v>
      </c>
      <c r="I399" s="9" t="s">
        <v>1815</v>
      </c>
      <c r="J399" s="9" t="s">
        <v>1820</v>
      </c>
      <c r="K399" s="9" t="s">
        <v>1815</v>
      </c>
      <c r="L399" s="9" t="e">
        <f t="shared" si="26"/>
        <v>#N/A</v>
      </c>
      <c r="M399" s="9" t="b">
        <f t="shared" si="27"/>
        <v>1</v>
      </c>
      <c r="N399" s="9" t="s">
        <v>1817</v>
      </c>
      <c r="O399" s="9">
        <v>0</v>
      </c>
      <c r="P399" s="9">
        <v>1000</v>
      </c>
      <c r="Q399" s="13"/>
      <c r="R399" s="13"/>
      <c r="S399" s="13"/>
      <c r="T399" s="9" t="s">
        <v>34</v>
      </c>
      <c r="U399" s="13"/>
      <c r="V399" s="9" t="s">
        <v>30</v>
      </c>
      <c r="W399" s="13"/>
      <c r="X399" s="9">
        <v>2</v>
      </c>
    </row>
    <row r="400" spans="1:24">
      <c r="A400" s="13"/>
      <c r="B400" s="9" t="s">
        <v>1821</v>
      </c>
      <c r="C400" s="9" t="e">
        <f>VLOOKUP(B400,[1]RXNS!$B:$C,1,)</f>
        <v>#N/A</v>
      </c>
      <c r="D400" s="9" t="e">
        <f t="shared" si="24"/>
        <v>#N/A</v>
      </c>
      <c r="E400" s="9" t="e">
        <v>#N/A</v>
      </c>
      <c r="F400" s="9" t="s">
        <v>1822</v>
      </c>
      <c r="G400" s="9" t="e">
        <f t="shared" si="25"/>
        <v>#N/A</v>
      </c>
      <c r="H400" s="9" t="e">
        <f>VLOOKUP(B400,[1]RXNS!$B:$D,3,FALSE)</f>
        <v>#N/A</v>
      </c>
      <c r="I400" s="9" t="s">
        <v>1815</v>
      </c>
      <c r="J400" s="9" t="s">
        <v>1823</v>
      </c>
      <c r="K400" s="9" t="s">
        <v>1815</v>
      </c>
      <c r="L400" s="9" t="e">
        <f t="shared" si="26"/>
        <v>#N/A</v>
      </c>
      <c r="M400" s="9" t="b">
        <f t="shared" si="27"/>
        <v>1</v>
      </c>
      <c r="N400" s="9" t="s">
        <v>1817</v>
      </c>
      <c r="O400" s="9">
        <v>0</v>
      </c>
      <c r="P400" s="9">
        <v>1000</v>
      </c>
      <c r="Q400" s="13"/>
      <c r="R400" s="13"/>
      <c r="S400" s="13"/>
      <c r="T400" s="9" t="s">
        <v>34</v>
      </c>
      <c r="U400" s="13"/>
      <c r="V400" s="9" t="s">
        <v>30</v>
      </c>
      <c r="W400" s="13"/>
      <c r="X400" s="9">
        <v>2</v>
      </c>
    </row>
    <row r="401" spans="1:24">
      <c r="A401" s="13"/>
      <c r="B401" s="9" t="s">
        <v>1824</v>
      </c>
      <c r="C401" s="9" t="e">
        <f>VLOOKUP(B401,[1]RXNS!$B:$C,1,)</f>
        <v>#N/A</v>
      </c>
      <c r="D401" s="9" t="e">
        <f t="shared" si="24"/>
        <v>#N/A</v>
      </c>
      <c r="E401" s="9" t="e">
        <v>#N/A</v>
      </c>
      <c r="F401" s="9" t="s">
        <v>1825</v>
      </c>
      <c r="G401" s="9" t="e">
        <f t="shared" si="25"/>
        <v>#N/A</v>
      </c>
      <c r="H401" s="9" t="e">
        <f>VLOOKUP(B401,[1]RXNS!$B:$D,3,FALSE)</f>
        <v>#N/A</v>
      </c>
      <c r="I401" s="9" t="s">
        <v>1826</v>
      </c>
      <c r="J401" s="9" t="s">
        <v>1827</v>
      </c>
      <c r="K401" s="9" t="s">
        <v>1826</v>
      </c>
      <c r="L401" s="9" t="e">
        <f t="shared" si="26"/>
        <v>#N/A</v>
      </c>
      <c r="M401" s="9" t="b">
        <f t="shared" si="27"/>
        <v>1</v>
      </c>
      <c r="N401" s="9" t="s">
        <v>1817</v>
      </c>
      <c r="O401" s="9">
        <v>0</v>
      </c>
      <c r="P401" s="9">
        <v>1000</v>
      </c>
      <c r="Q401" s="13"/>
      <c r="R401" s="13"/>
      <c r="S401" s="13"/>
      <c r="T401" s="9" t="s">
        <v>34</v>
      </c>
      <c r="U401" s="13"/>
      <c r="V401" s="9" t="s">
        <v>30</v>
      </c>
      <c r="W401" s="13"/>
      <c r="X401" s="9">
        <v>2</v>
      </c>
    </row>
    <row r="402" spans="1:24">
      <c r="A402" s="13"/>
      <c r="B402" s="9" t="s">
        <v>1828</v>
      </c>
      <c r="C402" s="9" t="e">
        <f>VLOOKUP(B402,[1]RXNS!$B:$C,1,)</f>
        <v>#N/A</v>
      </c>
      <c r="D402" s="9" t="e">
        <f t="shared" si="24"/>
        <v>#N/A</v>
      </c>
      <c r="E402" s="9" t="e">
        <v>#N/A</v>
      </c>
      <c r="F402" s="9" t="s">
        <v>1829</v>
      </c>
      <c r="G402" s="9" t="e">
        <f t="shared" si="25"/>
        <v>#N/A</v>
      </c>
      <c r="H402" s="9" t="e">
        <f>VLOOKUP(B402,[1]RXNS!$B:$D,3,FALSE)</f>
        <v>#N/A</v>
      </c>
      <c r="I402" s="9" t="s">
        <v>1830</v>
      </c>
      <c r="J402" s="9" t="s">
        <v>1831</v>
      </c>
      <c r="K402" s="9" t="s">
        <v>1830</v>
      </c>
      <c r="L402" s="9" t="e">
        <f t="shared" si="26"/>
        <v>#N/A</v>
      </c>
      <c r="M402" s="9" t="b">
        <f t="shared" si="27"/>
        <v>1</v>
      </c>
      <c r="N402" s="9" t="s">
        <v>1817</v>
      </c>
      <c r="O402" s="9">
        <v>0</v>
      </c>
      <c r="P402" s="9">
        <v>1000</v>
      </c>
      <c r="Q402" s="13"/>
      <c r="R402" s="13"/>
      <c r="S402" s="13"/>
      <c r="T402" s="9" t="s">
        <v>34</v>
      </c>
      <c r="U402" s="13"/>
      <c r="V402" s="9" t="s">
        <v>30</v>
      </c>
      <c r="W402" s="13"/>
      <c r="X402" s="9">
        <v>2</v>
      </c>
    </row>
    <row r="403" spans="1:24">
      <c r="A403" s="13"/>
      <c r="B403" s="9" t="s">
        <v>1832</v>
      </c>
      <c r="C403" s="9" t="e">
        <f>VLOOKUP(B403,[1]RXNS!$B:$C,1,)</f>
        <v>#N/A</v>
      </c>
      <c r="D403" s="9" t="e">
        <f t="shared" si="24"/>
        <v>#N/A</v>
      </c>
      <c r="E403" s="9" t="e">
        <v>#N/A</v>
      </c>
      <c r="F403" s="9" t="s">
        <v>1833</v>
      </c>
      <c r="G403" s="9" t="e">
        <f t="shared" si="25"/>
        <v>#N/A</v>
      </c>
      <c r="H403" s="9" t="e">
        <f>VLOOKUP(B403,[1]RXNS!$B:$D,3,FALSE)</f>
        <v>#N/A</v>
      </c>
      <c r="I403" s="9" t="s">
        <v>1834</v>
      </c>
      <c r="J403" s="9" t="s">
        <v>1835</v>
      </c>
      <c r="K403" s="9" t="s">
        <v>1834</v>
      </c>
      <c r="L403" s="9" t="e">
        <f t="shared" si="26"/>
        <v>#N/A</v>
      </c>
      <c r="M403" s="9" t="b">
        <f t="shared" si="27"/>
        <v>1</v>
      </c>
      <c r="N403" s="9" t="s">
        <v>1836</v>
      </c>
      <c r="O403" s="9">
        <v>0</v>
      </c>
      <c r="P403" s="9">
        <v>1000</v>
      </c>
      <c r="Q403" s="13"/>
      <c r="R403" s="13"/>
      <c r="S403" s="13"/>
      <c r="T403" s="9" t="s">
        <v>387</v>
      </c>
      <c r="U403" s="13"/>
      <c r="V403" s="9" t="s">
        <v>30</v>
      </c>
      <c r="W403" s="13"/>
      <c r="X403" s="9">
        <v>2</v>
      </c>
    </row>
    <row r="404" spans="1:24">
      <c r="A404" s="13"/>
      <c r="B404" s="9" t="s">
        <v>1837</v>
      </c>
      <c r="C404" s="9" t="e">
        <f>VLOOKUP(B404,[1]RXNS!$B:$C,1,)</f>
        <v>#N/A</v>
      </c>
      <c r="D404" s="9" t="e">
        <f t="shared" si="24"/>
        <v>#N/A</v>
      </c>
      <c r="E404" s="9" t="e">
        <v>#N/A</v>
      </c>
      <c r="F404" s="9" t="s">
        <v>1838</v>
      </c>
      <c r="G404" s="9" t="e">
        <f t="shared" si="25"/>
        <v>#N/A</v>
      </c>
      <c r="H404" s="9" t="e">
        <f>VLOOKUP(B404,[1]RXNS!$B:$D,3,FALSE)</f>
        <v>#N/A</v>
      </c>
      <c r="I404" s="9" t="s">
        <v>1839</v>
      </c>
      <c r="J404" s="9" t="s">
        <v>1840</v>
      </c>
      <c r="K404" s="9" t="s">
        <v>1839</v>
      </c>
      <c r="L404" s="9" t="e">
        <f t="shared" si="26"/>
        <v>#N/A</v>
      </c>
      <c r="M404" s="9" t="b">
        <f t="shared" si="27"/>
        <v>1</v>
      </c>
      <c r="N404" s="9" t="s">
        <v>713</v>
      </c>
      <c r="O404" s="9">
        <v>0</v>
      </c>
      <c r="P404" s="9">
        <v>1000</v>
      </c>
      <c r="Q404" s="13"/>
      <c r="R404" s="13"/>
      <c r="S404" s="13"/>
      <c r="T404" s="9" t="s">
        <v>648</v>
      </c>
      <c r="U404" s="13"/>
      <c r="V404" s="9" t="s">
        <v>30</v>
      </c>
      <c r="W404" s="13"/>
      <c r="X404" s="9">
        <v>2</v>
      </c>
    </row>
    <row r="405" spans="1:24">
      <c r="A405" s="13"/>
      <c r="B405" s="9" t="s">
        <v>1841</v>
      </c>
      <c r="C405" s="9" t="e">
        <f>VLOOKUP(B405,[1]RXNS!$B:$C,1,)</f>
        <v>#N/A</v>
      </c>
      <c r="D405" s="9" t="e">
        <f t="shared" si="24"/>
        <v>#N/A</v>
      </c>
      <c r="E405" s="9" t="e">
        <v>#N/A</v>
      </c>
      <c r="F405" s="9" t="s">
        <v>1842</v>
      </c>
      <c r="G405" s="9" t="e">
        <f t="shared" si="25"/>
        <v>#N/A</v>
      </c>
      <c r="H405" s="9" t="e">
        <f>VLOOKUP(B405,[1]RXNS!$B:$D,3,FALSE)</f>
        <v>#N/A</v>
      </c>
      <c r="I405" s="9" t="s">
        <v>174</v>
      </c>
      <c r="J405" s="9" t="s">
        <v>1843</v>
      </c>
      <c r="K405" s="9" t="s">
        <v>174</v>
      </c>
      <c r="L405" s="9" t="e">
        <f t="shared" si="26"/>
        <v>#N/A</v>
      </c>
      <c r="M405" s="9" t="b">
        <f t="shared" si="27"/>
        <v>1</v>
      </c>
      <c r="N405" s="9" t="s">
        <v>176</v>
      </c>
      <c r="O405" s="9">
        <v>-1000</v>
      </c>
      <c r="P405" s="9">
        <v>1000</v>
      </c>
      <c r="Q405" s="13"/>
      <c r="R405" s="13"/>
      <c r="S405" s="13"/>
      <c r="T405" s="9" t="s">
        <v>153</v>
      </c>
      <c r="U405" s="13"/>
      <c r="V405" s="9" t="s">
        <v>30</v>
      </c>
      <c r="W405" s="13"/>
      <c r="X405" s="9">
        <v>2</v>
      </c>
    </row>
    <row r="406" spans="1:24">
      <c r="A406" s="13"/>
      <c r="B406" s="9" t="s">
        <v>1844</v>
      </c>
      <c r="C406" s="9" t="e">
        <f>VLOOKUP(B406,[1]RXNS!$B:$C,1,)</f>
        <v>#N/A</v>
      </c>
      <c r="D406" s="9" t="e">
        <f t="shared" si="24"/>
        <v>#N/A</v>
      </c>
      <c r="E406" s="9" t="e">
        <v>#N/A</v>
      </c>
      <c r="F406" s="9" t="s">
        <v>1845</v>
      </c>
      <c r="G406" s="9" t="e">
        <f t="shared" si="25"/>
        <v>#N/A</v>
      </c>
      <c r="H406" s="9" t="e">
        <f>VLOOKUP(B406,[1]RXNS!$B:$D,3,FALSE)</f>
        <v>#N/A</v>
      </c>
      <c r="I406" s="9" t="s">
        <v>1846</v>
      </c>
      <c r="J406" s="9" t="s">
        <v>1847</v>
      </c>
      <c r="K406" s="9" t="s">
        <v>1846</v>
      </c>
      <c r="L406" s="9" t="e">
        <f t="shared" si="26"/>
        <v>#N/A</v>
      </c>
      <c r="M406" s="9" t="b">
        <f t="shared" si="27"/>
        <v>1</v>
      </c>
      <c r="N406" s="9" t="s">
        <v>176</v>
      </c>
      <c r="O406" s="9">
        <v>-1000</v>
      </c>
      <c r="P406" s="9">
        <v>1000</v>
      </c>
      <c r="Q406" s="13"/>
      <c r="R406" s="13"/>
      <c r="S406" s="13"/>
      <c r="T406" s="9" t="s">
        <v>153</v>
      </c>
      <c r="U406" s="13"/>
      <c r="V406" s="9" t="s">
        <v>30</v>
      </c>
      <c r="W406" s="13"/>
      <c r="X406" s="9">
        <v>2</v>
      </c>
    </row>
    <row r="407" spans="1:24">
      <c r="A407" s="13"/>
      <c r="B407" s="9" t="s">
        <v>1848</v>
      </c>
      <c r="C407" s="9" t="e">
        <f>VLOOKUP(B407,[1]RXNS!$B:$C,1,)</f>
        <v>#N/A</v>
      </c>
      <c r="D407" s="9" t="e">
        <f t="shared" si="24"/>
        <v>#N/A</v>
      </c>
      <c r="E407" s="9" t="e">
        <v>#N/A</v>
      </c>
      <c r="F407" s="9" t="s">
        <v>1849</v>
      </c>
      <c r="G407" s="9" t="e">
        <f t="shared" si="25"/>
        <v>#N/A</v>
      </c>
      <c r="H407" s="9" t="e">
        <f>VLOOKUP(B407,[1]RXNS!$B:$D,3,FALSE)</f>
        <v>#N/A</v>
      </c>
      <c r="I407" s="9" t="e">
        <f>VLOOKUP(B407,[1]RXNS!$B:$E,4,FALSE)</f>
        <v>#N/A</v>
      </c>
      <c r="J407" s="9" t="s">
        <v>1850</v>
      </c>
      <c r="K407" s="13"/>
      <c r="L407" s="9" t="e">
        <f t="shared" si="26"/>
        <v>#N/A</v>
      </c>
      <c r="M407" s="9" t="e">
        <f t="shared" si="27"/>
        <v>#N/A</v>
      </c>
      <c r="N407" s="9" t="s">
        <v>176</v>
      </c>
      <c r="O407" s="9">
        <v>0</v>
      </c>
      <c r="P407" s="9">
        <v>1000</v>
      </c>
      <c r="Q407" s="13"/>
      <c r="R407" s="13"/>
      <c r="S407" s="13"/>
      <c r="T407" s="9" t="s">
        <v>153</v>
      </c>
      <c r="U407" s="13"/>
      <c r="V407" s="9" t="s">
        <v>30</v>
      </c>
      <c r="W407" s="13"/>
      <c r="X407" s="9">
        <v>2</v>
      </c>
    </row>
    <row r="408" spans="1:24">
      <c r="A408" s="13"/>
      <c r="B408" s="9" t="s">
        <v>1851</v>
      </c>
      <c r="C408" s="9" t="e">
        <f>VLOOKUP(B408,[1]RXNS!$B:$C,1,)</f>
        <v>#N/A</v>
      </c>
      <c r="D408" s="9" t="e">
        <f t="shared" si="24"/>
        <v>#N/A</v>
      </c>
      <c r="E408" s="9" t="e">
        <v>#N/A</v>
      </c>
      <c r="F408" s="9" t="s">
        <v>1852</v>
      </c>
      <c r="G408" s="9" t="e">
        <f t="shared" si="25"/>
        <v>#N/A</v>
      </c>
      <c r="H408" s="9" t="e">
        <f>VLOOKUP(B408,[1]RXNS!$B:$D,3,FALSE)</f>
        <v>#N/A</v>
      </c>
      <c r="I408" s="9" t="s">
        <v>1853</v>
      </c>
      <c r="J408" s="9" t="s">
        <v>1854</v>
      </c>
      <c r="K408" s="9" t="s">
        <v>1853</v>
      </c>
      <c r="L408" s="9" t="e">
        <f t="shared" si="26"/>
        <v>#N/A</v>
      </c>
      <c r="M408" s="9" t="b">
        <f t="shared" si="27"/>
        <v>1</v>
      </c>
      <c r="N408" s="9" t="s">
        <v>176</v>
      </c>
      <c r="O408" s="9">
        <v>0</v>
      </c>
      <c r="P408" s="9">
        <v>1000</v>
      </c>
      <c r="Q408" s="13"/>
      <c r="R408" s="13"/>
      <c r="S408" s="13"/>
      <c r="T408" s="9" t="s">
        <v>153</v>
      </c>
      <c r="U408" s="13"/>
      <c r="V408" s="9" t="s">
        <v>30</v>
      </c>
      <c r="W408" s="13"/>
      <c r="X408" s="9">
        <v>2</v>
      </c>
    </row>
    <row r="409" spans="1:24">
      <c r="A409" s="13"/>
      <c r="B409" s="9" t="s">
        <v>1855</v>
      </c>
      <c r="C409" s="9" t="e">
        <f>VLOOKUP(B409,[1]RXNS!$B:$C,1,)</f>
        <v>#N/A</v>
      </c>
      <c r="D409" s="9" t="e">
        <f t="shared" si="24"/>
        <v>#N/A</v>
      </c>
      <c r="E409" s="9" t="e">
        <v>#N/A</v>
      </c>
      <c r="F409" s="9" t="s">
        <v>1856</v>
      </c>
      <c r="G409" s="9" t="e">
        <f t="shared" si="25"/>
        <v>#N/A</v>
      </c>
      <c r="H409" s="9" t="e">
        <f>VLOOKUP(B409,[1]RXNS!$B:$D,3,FALSE)</f>
        <v>#N/A</v>
      </c>
      <c r="I409" s="9" t="s">
        <v>1857</v>
      </c>
      <c r="J409" s="9" t="s">
        <v>1858</v>
      </c>
      <c r="K409" s="9" t="s">
        <v>1857</v>
      </c>
      <c r="L409" s="9" t="e">
        <f t="shared" si="26"/>
        <v>#N/A</v>
      </c>
      <c r="M409" s="9" t="b">
        <f t="shared" si="27"/>
        <v>1</v>
      </c>
      <c r="N409" s="9" t="s">
        <v>713</v>
      </c>
      <c r="O409" s="9">
        <v>0</v>
      </c>
      <c r="P409" s="9">
        <v>1000</v>
      </c>
      <c r="Q409" s="13"/>
      <c r="R409" s="13"/>
      <c r="S409" s="13"/>
      <c r="T409" s="9" t="s">
        <v>648</v>
      </c>
      <c r="U409" s="13"/>
      <c r="V409" s="9" t="s">
        <v>30</v>
      </c>
      <c r="W409" s="13"/>
      <c r="X409" s="9">
        <v>2</v>
      </c>
    </row>
    <row r="410" spans="1:24">
      <c r="A410" s="13"/>
      <c r="B410" s="9" t="s">
        <v>1859</v>
      </c>
      <c r="C410" s="9" t="e">
        <f>VLOOKUP(B410,[1]RXNS!$B:$C,1,)</f>
        <v>#N/A</v>
      </c>
      <c r="D410" s="9" t="e">
        <f t="shared" si="24"/>
        <v>#N/A</v>
      </c>
      <c r="E410" s="9" t="e">
        <v>#N/A</v>
      </c>
      <c r="F410" s="9" t="s">
        <v>1860</v>
      </c>
      <c r="G410" s="9" t="e">
        <f t="shared" si="25"/>
        <v>#N/A</v>
      </c>
      <c r="H410" s="9" t="e">
        <f>VLOOKUP(B410,[1]RXNS!$B:$D,3,FALSE)</f>
        <v>#N/A</v>
      </c>
      <c r="I410" s="9" t="s">
        <v>1861</v>
      </c>
      <c r="J410" s="9" t="s">
        <v>1862</v>
      </c>
      <c r="K410" s="9" t="s">
        <v>1861</v>
      </c>
      <c r="L410" s="9" t="e">
        <f t="shared" si="26"/>
        <v>#N/A</v>
      </c>
      <c r="M410" s="9" t="b">
        <f t="shared" si="27"/>
        <v>1</v>
      </c>
      <c r="N410" s="9" t="s">
        <v>1863</v>
      </c>
      <c r="O410" s="9">
        <v>0</v>
      </c>
      <c r="P410" s="9">
        <v>1000</v>
      </c>
      <c r="Q410" s="13"/>
      <c r="R410" s="13"/>
      <c r="S410" s="13"/>
      <c r="T410" s="9" t="s">
        <v>153</v>
      </c>
      <c r="U410" s="13"/>
      <c r="V410" s="9" t="s">
        <v>30</v>
      </c>
      <c r="W410" s="13"/>
      <c r="X410" s="9">
        <v>2</v>
      </c>
    </row>
    <row r="411" spans="1:24">
      <c r="A411" s="13"/>
      <c r="B411" s="9" t="s">
        <v>1864</v>
      </c>
      <c r="C411" s="9" t="e">
        <f>VLOOKUP(B411,[1]RXNS!$B:$C,1,)</f>
        <v>#N/A</v>
      </c>
      <c r="D411" s="9" t="e">
        <f t="shared" si="24"/>
        <v>#N/A</v>
      </c>
      <c r="E411" s="9" t="e">
        <v>#N/A</v>
      </c>
      <c r="F411" s="9" t="s">
        <v>1865</v>
      </c>
      <c r="G411" s="9" t="e">
        <f t="shared" si="25"/>
        <v>#N/A</v>
      </c>
      <c r="H411" s="9" t="e">
        <f>VLOOKUP(B411,[1]RXNS!$B:$D,3,FALSE)</f>
        <v>#N/A</v>
      </c>
      <c r="I411" s="9" t="s">
        <v>1866</v>
      </c>
      <c r="J411" s="9" t="s">
        <v>1867</v>
      </c>
      <c r="K411" s="9" t="s">
        <v>1866</v>
      </c>
      <c r="L411" s="9" t="e">
        <f t="shared" si="26"/>
        <v>#N/A</v>
      </c>
      <c r="M411" s="9" t="b">
        <f t="shared" si="27"/>
        <v>1</v>
      </c>
      <c r="N411" s="9" t="s">
        <v>1868</v>
      </c>
      <c r="O411" s="9">
        <v>-1000</v>
      </c>
      <c r="P411" s="9">
        <v>1000</v>
      </c>
      <c r="Q411" s="13"/>
      <c r="R411" s="13"/>
      <c r="S411" s="13"/>
      <c r="T411" s="9" t="s">
        <v>153</v>
      </c>
      <c r="U411" s="13"/>
      <c r="V411" s="9" t="s">
        <v>30</v>
      </c>
      <c r="W411" s="13"/>
      <c r="X411" s="9">
        <v>2</v>
      </c>
    </row>
    <row r="412" spans="1:24">
      <c r="A412" s="13"/>
      <c r="B412" s="9" t="s">
        <v>1869</v>
      </c>
      <c r="C412" s="9" t="e">
        <f>VLOOKUP(B412,[1]RXNS!$B:$C,1,)</f>
        <v>#N/A</v>
      </c>
      <c r="D412" s="9" t="e">
        <f t="shared" si="24"/>
        <v>#N/A</v>
      </c>
      <c r="E412" s="9" t="e">
        <v>#N/A</v>
      </c>
      <c r="F412" s="9" t="s">
        <v>1870</v>
      </c>
      <c r="G412" s="9" t="e">
        <f t="shared" si="25"/>
        <v>#N/A</v>
      </c>
      <c r="H412" s="9" t="e">
        <f>VLOOKUP(B412,[1]RXNS!$B:$D,3,FALSE)</f>
        <v>#N/A</v>
      </c>
      <c r="I412" s="9" t="e">
        <f>VLOOKUP(B412,[1]RXNS!$B:$E,4,FALSE)</f>
        <v>#N/A</v>
      </c>
      <c r="J412" s="9" t="s">
        <v>1871</v>
      </c>
      <c r="K412" s="13"/>
      <c r="L412" s="9" t="e">
        <f t="shared" si="26"/>
        <v>#N/A</v>
      </c>
      <c r="M412" s="9" t="e">
        <f t="shared" si="27"/>
        <v>#N/A</v>
      </c>
      <c r="N412" s="9" t="s">
        <v>1437</v>
      </c>
      <c r="O412" s="9">
        <v>0</v>
      </c>
      <c r="P412" s="9">
        <v>1000</v>
      </c>
      <c r="Q412" s="13"/>
      <c r="R412" s="13"/>
      <c r="S412" s="13"/>
      <c r="T412" s="9" t="s">
        <v>364</v>
      </c>
      <c r="U412" s="13"/>
      <c r="V412" s="9" t="s">
        <v>30</v>
      </c>
      <c r="W412" s="13"/>
      <c r="X412" s="9">
        <v>2</v>
      </c>
    </row>
    <row r="413" spans="1:24">
      <c r="A413" s="13"/>
      <c r="B413" s="9" t="s">
        <v>1872</v>
      </c>
      <c r="C413" s="9" t="e">
        <f>VLOOKUP(B413,[1]RXNS!$B:$C,1,)</f>
        <v>#N/A</v>
      </c>
      <c r="D413" s="9" t="e">
        <f t="shared" si="24"/>
        <v>#N/A</v>
      </c>
      <c r="E413" s="9" t="e">
        <v>#N/A</v>
      </c>
      <c r="F413" s="9" t="s">
        <v>1873</v>
      </c>
      <c r="G413" s="9" t="e">
        <f t="shared" si="25"/>
        <v>#N/A</v>
      </c>
      <c r="H413" s="9" t="e">
        <f>VLOOKUP(B413,[1]RXNS!$B:$D,3,FALSE)</f>
        <v>#N/A</v>
      </c>
      <c r="I413" s="9" t="e">
        <f>VLOOKUP(B413,[1]RXNS!$B:$E,4,FALSE)</f>
        <v>#N/A</v>
      </c>
      <c r="J413" s="9" t="s">
        <v>1874</v>
      </c>
      <c r="K413" s="13"/>
      <c r="L413" s="9" t="e">
        <f t="shared" si="26"/>
        <v>#N/A</v>
      </c>
      <c r="M413" s="9" t="e">
        <f t="shared" si="27"/>
        <v>#N/A</v>
      </c>
      <c r="N413" s="9" t="s">
        <v>1437</v>
      </c>
      <c r="O413" s="9">
        <v>0</v>
      </c>
      <c r="P413" s="9">
        <v>1000</v>
      </c>
      <c r="Q413" s="13"/>
      <c r="R413" s="13"/>
      <c r="S413" s="13"/>
      <c r="T413" s="9" t="s">
        <v>364</v>
      </c>
      <c r="U413" s="13"/>
      <c r="V413" s="9" t="s">
        <v>30</v>
      </c>
      <c r="W413" s="13"/>
      <c r="X413" s="9">
        <v>2</v>
      </c>
    </row>
    <row r="414" spans="1:24">
      <c r="A414" s="13"/>
      <c r="B414" s="9" t="s">
        <v>1875</v>
      </c>
      <c r="C414" s="9" t="e">
        <f>VLOOKUP(B414,[1]RXNS!$B:$C,1,)</f>
        <v>#N/A</v>
      </c>
      <c r="D414" s="9" t="e">
        <f t="shared" si="24"/>
        <v>#N/A</v>
      </c>
      <c r="E414" s="9" t="e">
        <v>#N/A</v>
      </c>
      <c r="F414" s="9" t="s">
        <v>1876</v>
      </c>
      <c r="G414" s="9" t="e">
        <f t="shared" si="25"/>
        <v>#N/A</v>
      </c>
      <c r="H414" s="9" t="e">
        <f>VLOOKUP(B414,[1]RXNS!$B:$D,3,FALSE)</f>
        <v>#N/A</v>
      </c>
      <c r="I414" s="9" t="s">
        <v>351</v>
      </c>
      <c r="J414" s="9" t="s">
        <v>1877</v>
      </c>
      <c r="K414" s="9" t="s">
        <v>351</v>
      </c>
      <c r="L414" s="9" t="e">
        <f t="shared" si="26"/>
        <v>#N/A</v>
      </c>
      <c r="M414" s="9" t="b">
        <f t="shared" si="27"/>
        <v>1</v>
      </c>
      <c r="N414" s="9" t="s">
        <v>353</v>
      </c>
      <c r="O414" s="9">
        <v>0</v>
      </c>
      <c r="P414" s="9">
        <v>1000</v>
      </c>
      <c r="Q414" s="13"/>
      <c r="R414" s="13"/>
      <c r="S414" s="13"/>
      <c r="T414" s="9" t="s">
        <v>355</v>
      </c>
      <c r="U414" s="13"/>
      <c r="V414" s="9" t="s">
        <v>30</v>
      </c>
      <c r="W414" s="13"/>
      <c r="X414" s="9">
        <v>2</v>
      </c>
    </row>
    <row r="415" spans="1:24">
      <c r="A415" s="13"/>
      <c r="B415" s="9" t="s">
        <v>1878</v>
      </c>
      <c r="C415" s="9" t="e">
        <f>VLOOKUP(B415,[1]RXNS!$B:$C,1,)</f>
        <v>#N/A</v>
      </c>
      <c r="D415" s="9" t="e">
        <f t="shared" si="24"/>
        <v>#N/A</v>
      </c>
      <c r="E415" s="9" t="e">
        <v>#N/A</v>
      </c>
      <c r="F415" s="9" t="s">
        <v>1879</v>
      </c>
      <c r="G415" s="9" t="e">
        <f t="shared" si="25"/>
        <v>#N/A</v>
      </c>
      <c r="H415" s="9" t="e">
        <f>VLOOKUP(B415,[1]RXNS!$B:$D,3,FALSE)</f>
        <v>#N/A</v>
      </c>
      <c r="I415" s="9" t="s">
        <v>1880</v>
      </c>
      <c r="J415" s="9" t="s">
        <v>1881</v>
      </c>
      <c r="K415" s="9" t="s">
        <v>1880</v>
      </c>
      <c r="L415" s="9" t="e">
        <f t="shared" si="26"/>
        <v>#N/A</v>
      </c>
      <c r="M415" s="9" t="b">
        <f t="shared" si="27"/>
        <v>1</v>
      </c>
      <c r="N415" s="9" t="s">
        <v>1882</v>
      </c>
      <c r="O415" s="9">
        <v>0</v>
      </c>
      <c r="P415" s="9">
        <v>1000</v>
      </c>
      <c r="Q415" s="13"/>
      <c r="R415" s="13"/>
      <c r="S415" s="13"/>
      <c r="T415" s="9" t="s">
        <v>278</v>
      </c>
      <c r="U415" s="13"/>
      <c r="V415" s="9" t="s">
        <v>30</v>
      </c>
      <c r="W415" s="13"/>
      <c r="X415" s="9">
        <v>2</v>
      </c>
    </row>
    <row r="416" spans="1:24">
      <c r="A416" s="13"/>
      <c r="B416" s="9" t="s">
        <v>1883</v>
      </c>
      <c r="C416" s="9" t="e">
        <f>VLOOKUP(B416,[1]RXNS!$B:$C,1,)</f>
        <v>#N/A</v>
      </c>
      <c r="D416" s="9" t="e">
        <f t="shared" si="24"/>
        <v>#N/A</v>
      </c>
      <c r="E416" s="9" t="e">
        <v>#N/A</v>
      </c>
      <c r="F416" s="9" t="s">
        <v>1884</v>
      </c>
      <c r="G416" s="9" t="e">
        <f t="shared" si="25"/>
        <v>#N/A</v>
      </c>
      <c r="H416" s="9" t="e">
        <f>VLOOKUP(B416,[1]RXNS!$B:$D,3,FALSE)</f>
        <v>#N/A</v>
      </c>
      <c r="I416" s="9" t="e">
        <f>VLOOKUP(B416,[1]RXNS!$B:$E,4,FALSE)</f>
        <v>#N/A</v>
      </c>
      <c r="J416" s="9" t="s">
        <v>1885</v>
      </c>
      <c r="K416" s="13"/>
      <c r="L416" s="9" t="e">
        <f t="shared" si="26"/>
        <v>#N/A</v>
      </c>
      <c r="M416" s="9" t="e">
        <f t="shared" si="27"/>
        <v>#N/A</v>
      </c>
      <c r="N416" s="9" t="s">
        <v>406</v>
      </c>
      <c r="O416" s="9">
        <v>0</v>
      </c>
      <c r="P416" s="9">
        <v>1000</v>
      </c>
      <c r="Q416" s="13"/>
      <c r="R416" s="13"/>
      <c r="S416" s="13"/>
      <c r="T416" s="9" t="s">
        <v>96</v>
      </c>
      <c r="U416" s="13"/>
      <c r="V416" s="9" t="s">
        <v>30</v>
      </c>
      <c r="W416" s="13"/>
      <c r="X416" s="9">
        <v>2</v>
      </c>
    </row>
    <row r="417" spans="1:24">
      <c r="A417" s="13"/>
      <c r="B417" s="9" t="s">
        <v>1886</v>
      </c>
      <c r="C417" s="9" t="e">
        <f>VLOOKUP(B417,[1]RXNS!$B:$C,1,)</f>
        <v>#N/A</v>
      </c>
      <c r="D417" s="9" t="e">
        <f t="shared" si="24"/>
        <v>#N/A</v>
      </c>
      <c r="E417" s="9" t="e">
        <v>#N/A</v>
      </c>
      <c r="F417" s="9" t="s">
        <v>1887</v>
      </c>
      <c r="G417" s="9" t="e">
        <f t="shared" si="25"/>
        <v>#N/A</v>
      </c>
      <c r="H417" s="9" t="e">
        <f>VLOOKUP(B417,[1]RXNS!$B:$D,3,FALSE)</f>
        <v>#N/A</v>
      </c>
      <c r="I417" s="9" t="s">
        <v>362</v>
      </c>
      <c r="J417" s="9" t="s">
        <v>1888</v>
      </c>
      <c r="K417" s="9" t="s">
        <v>362</v>
      </c>
      <c r="L417" s="9" t="e">
        <f t="shared" si="26"/>
        <v>#N/A</v>
      </c>
      <c r="M417" s="9" t="b">
        <f t="shared" si="27"/>
        <v>1</v>
      </c>
      <c r="N417" s="9" t="s">
        <v>1889</v>
      </c>
      <c r="O417" s="9">
        <v>-1000</v>
      </c>
      <c r="P417" s="9">
        <v>1000</v>
      </c>
      <c r="Q417" s="13"/>
      <c r="R417" s="13"/>
      <c r="S417" s="13"/>
      <c r="T417" s="9" t="s">
        <v>364</v>
      </c>
      <c r="U417" s="13"/>
      <c r="V417" s="9" t="s">
        <v>30</v>
      </c>
      <c r="W417" s="13"/>
      <c r="X417" s="9">
        <v>2</v>
      </c>
    </row>
    <row r="418" spans="1:24">
      <c r="A418" s="13"/>
      <c r="B418" s="9" t="s">
        <v>1890</v>
      </c>
      <c r="C418" s="9" t="e">
        <f>VLOOKUP(B418,[1]RXNS!$B:$C,1,)</f>
        <v>#N/A</v>
      </c>
      <c r="D418" s="9" t="e">
        <f t="shared" si="24"/>
        <v>#N/A</v>
      </c>
      <c r="E418" s="9" t="e">
        <v>#N/A</v>
      </c>
      <c r="F418" s="9" t="s">
        <v>1891</v>
      </c>
      <c r="G418" s="9" t="e">
        <f t="shared" si="25"/>
        <v>#N/A</v>
      </c>
      <c r="H418" s="9" t="e">
        <f>VLOOKUP(B418,[1]RXNS!$B:$D,3,FALSE)</f>
        <v>#N/A</v>
      </c>
      <c r="I418" s="9" t="s">
        <v>1892</v>
      </c>
      <c r="J418" s="9" t="s">
        <v>1893</v>
      </c>
      <c r="K418" s="9" t="s">
        <v>1892</v>
      </c>
      <c r="L418" s="9" t="e">
        <f t="shared" si="26"/>
        <v>#N/A</v>
      </c>
      <c r="M418" s="9" t="b">
        <f t="shared" si="27"/>
        <v>1</v>
      </c>
      <c r="N418" s="9" t="s">
        <v>1894</v>
      </c>
      <c r="O418" s="9">
        <v>0</v>
      </c>
      <c r="P418" s="9">
        <v>1000</v>
      </c>
      <c r="Q418" s="13"/>
      <c r="R418" s="13"/>
      <c r="S418" s="13"/>
      <c r="T418" s="9" t="s">
        <v>153</v>
      </c>
      <c r="U418" s="13"/>
      <c r="V418" s="9" t="s">
        <v>30</v>
      </c>
      <c r="W418" s="13"/>
      <c r="X418" s="9">
        <v>2</v>
      </c>
    </row>
    <row r="419" spans="1:24">
      <c r="A419" s="13"/>
      <c r="B419" s="9" t="s">
        <v>1895</v>
      </c>
      <c r="C419" s="9" t="e">
        <f>VLOOKUP(B419,[1]RXNS!$B:$C,1,)</f>
        <v>#N/A</v>
      </c>
      <c r="D419" s="9" t="e">
        <f t="shared" si="24"/>
        <v>#N/A</v>
      </c>
      <c r="E419" s="9" t="e">
        <v>#N/A</v>
      </c>
      <c r="F419" s="9" t="s">
        <v>1896</v>
      </c>
      <c r="G419" s="9" t="e">
        <f t="shared" si="25"/>
        <v>#N/A</v>
      </c>
      <c r="H419" s="9" t="e">
        <f>VLOOKUP(B419,[1]RXNS!$B:$D,3,FALSE)</f>
        <v>#N/A</v>
      </c>
      <c r="I419" s="9" t="s">
        <v>1897</v>
      </c>
      <c r="J419" s="9" t="s">
        <v>1898</v>
      </c>
      <c r="K419" s="9" t="s">
        <v>1897</v>
      </c>
      <c r="L419" s="9" t="e">
        <f t="shared" si="26"/>
        <v>#N/A</v>
      </c>
      <c r="M419" s="9" t="b">
        <f t="shared" si="27"/>
        <v>1</v>
      </c>
      <c r="N419" s="9" t="s">
        <v>673</v>
      </c>
      <c r="O419" s="9">
        <v>0</v>
      </c>
      <c r="P419" s="9">
        <v>1000</v>
      </c>
      <c r="Q419" s="13"/>
      <c r="R419" s="13"/>
      <c r="S419" s="13"/>
      <c r="T419" s="9" t="s">
        <v>239</v>
      </c>
      <c r="U419" s="13"/>
      <c r="V419" s="9" t="s">
        <v>30</v>
      </c>
      <c r="W419" s="13"/>
      <c r="X419" s="9">
        <v>2</v>
      </c>
    </row>
    <row r="420" spans="1:24">
      <c r="A420" s="13"/>
      <c r="B420" s="9" t="s">
        <v>1899</v>
      </c>
      <c r="C420" s="9" t="e">
        <f>VLOOKUP(B420,[1]RXNS!$B:$C,1,)</f>
        <v>#N/A</v>
      </c>
      <c r="D420" s="9" t="e">
        <f t="shared" si="24"/>
        <v>#N/A</v>
      </c>
      <c r="E420" s="9" t="e">
        <v>#N/A</v>
      </c>
      <c r="F420" s="9" t="s">
        <v>1900</v>
      </c>
      <c r="G420" s="9" t="e">
        <f t="shared" si="25"/>
        <v>#N/A</v>
      </c>
      <c r="H420" s="9" t="e">
        <f>VLOOKUP(B420,[1]RXNS!$B:$D,3,FALSE)</f>
        <v>#N/A</v>
      </c>
      <c r="I420" s="9" t="s">
        <v>1901</v>
      </c>
      <c r="J420" s="9" t="s">
        <v>1902</v>
      </c>
      <c r="K420" s="9" t="s">
        <v>1901</v>
      </c>
      <c r="L420" s="9" t="e">
        <f t="shared" si="26"/>
        <v>#N/A</v>
      </c>
      <c r="M420" s="9" t="b">
        <f t="shared" si="27"/>
        <v>1</v>
      </c>
      <c r="N420" s="9" t="s">
        <v>1903</v>
      </c>
      <c r="O420" s="9">
        <v>0</v>
      </c>
      <c r="P420" s="9">
        <v>1000</v>
      </c>
      <c r="Q420" s="13"/>
      <c r="R420" s="13"/>
      <c r="S420" s="13"/>
      <c r="T420" s="9" t="s">
        <v>648</v>
      </c>
      <c r="U420" s="13"/>
      <c r="V420" s="9" t="s">
        <v>30</v>
      </c>
      <c r="W420" s="13"/>
      <c r="X420" s="9">
        <v>2</v>
      </c>
    </row>
    <row r="421" spans="1:24">
      <c r="A421" s="13"/>
      <c r="B421" s="9" t="s">
        <v>1904</v>
      </c>
      <c r="C421" s="9" t="e">
        <f>VLOOKUP(B421,[1]RXNS!$B:$C,1,)</f>
        <v>#N/A</v>
      </c>
      <c r="D421" s="9" t="e">
        <f t="shared" si="24"/>
        <v>#N/A</v>
      </c>
      <c r="E421" s="9" t="e">
        <v>#N/A</v>
      </c>
      <c r="F421" s="9" t="s">
        <v>1905</v>
      </c>
      <c r="G421" s="9" t="e">
        <f t="shared" si="25"/>
        <v>#N/A</v>
      </c>
      <c r="H421" s="9" t="e">
        <f>VLOOKUP(B421,[1]RXNS!$B:$D,3,FALSE)</f>
        <v>#N/A</v>
      </c>
      <c r="I421" s="9" t="e">
        <f>VLOOKUP(B421,[1]RXNS!$B:$E,4,FALSE)</f>
        <v>#N/A</v>
      </c>
      <c r="J421" s="9" t="s">
        <v>1906</v>
      </c>
      <c r="K421" s="13"/>
      <c r="L421" s="9" t="e">
        <f t="shared" si="26"/>
        <v>#N/A</v>
      </c>
      <c r="M421" s="9" t="e">
        <f t="shared" si="27"/>
        <v>#N/A</v>
      </c>
      <c r="N421" s="9" t="s">
        <v>1907</v>
      </c>
      <c r="O421" s="9">
        <v>-1000</v>
      </c>
      <c r="P421" s="9">
        <v>1000</v>
      </c>
      <c r="Q421" s="13"/>
      <c r="R421" s="13"/>
      <c r="S421" s="13"/>
      <c r="T421" s="9" t="s">
        <v>1276</v>
      </c>
      <c r="U421" s="13"/>
      <c r="V421" s="9" t="s">
        <v>30</v>
      </c>
      <c r="W421" s="13"/>
      <c r="X421" s="9">
        <v>2</v>
      </c>
    </row>
    <row r="422" spans="1:24">
      <c r="A422" s="13"/>
      <c r="B422" s="9" t="s">
        <v>1908</v>
      </c>
      <c r="C422" s="9" t="e">
        <f>VLOOKUP(B422,[1]RXNS!$B:$C,1,)</f>
        <v>#N/A</v>
      </c>
      <c r="D422" s="9" t="e">
        <f t="shared" si="24"/>
        <v>#N/A</v>
      </c>
      <c r="E422" s="9" t="e">
        <v>#N/A</v>
      </c>
      <c r="F422" s="9" t="s">
        <v>1909</v>
      </c>
      <c r="G422" s="9" t="e">
        <f t="shared" si="25"/>
        <v>#N/A</v>
      </c>
      <c r="H422" s="9" t="e">
        <f>VLOOKUP(B422,[1]RXNS!$B:$D,3,FALSE)</f>
        <v>#N/A</v>
      </c>
      <c r="I422" s="9" t="e">
        <f>VLOOKUP(B422,[1]RXNS!$B:$E,4,FALSE)</f>
        <v>#N/A</v>
      </c>
      <c r="J422" s="9" t="s">
        <v>1910</v>
      </c>
      <c r="K422" s="13"/>
      <c r="L422" s="9" t="e">
        <f t="shared" si="26"/>
        <v>#N/A</v>
      </c>
      <c r="M422" s="9" t="e">
        <f t="shared" si="27"/>
        <v>#N/A</v>
      </c>
      <c r="N422" s="9" t="s">
        <v>707</v>
      </c>
      <c r="O422" s="9">
        <v>0</v>
      </c>
      <c r="P422" s="9">
        <v>1000</v>
      </c>
      <c r="Q422" s="13"/>
      <c r="R422" s="13"/>
      <c r="S422" s="13"/>
      <c r="T422" s="9" t="s">
        <v>648</v>
      </c>
      <c r="U422" s="13"/>
      <c r="V422" s="9" t="s">
        <v>30</v>
      </c>
      <c r="W422" s="13"/>
      <c r="X422" s="9">
        <v>2</v>
      </c>
    </row>
    <row r="423" spans="1:24">
      <c r="A423" s="13"/>
      <c r="B423" s="9" t="s">
        <v>1911</v>
      </c>
      <c r="C423" s="9" t="e">
        <f>VLOOKUP(B423,[1]RXNS!$B:$C,1,)</f>
        <v>#N/A</v>
      </c>
      <c r="D423" s="9" t="e">
        <f t="shared" si="24"/>
        <v>#N/A</v>
      </c>
      <c r="E423" s="9" t="e">
        <v>#N/A</v>
      </c>
      <c r="F423" s="9" t="s">
        <v>1912</v>
      </c>
      <c r="G423" s="9" t="e">
        <f t="shared" si="25"/>
        <v>#N/A</v>
      </c>
      <c r="H423" s="9" t="e">
        <f>VLOOKUP(B423,[1]RXNS!$B:$D,3,FALSE)</f>
        <v>#N/A</v>
      </c>
      <c r="I423" s="9" t="e">
        <f>VLOOKUP(B423,[1]RXNS!$B:$E,4,FALSE)</f>
        <v>#N/A</v>
      </c>
      <c r="J423" s="9" t="s">
        <v>1913</v>
      </c>
      <c r="K423" s="13"/>
      <c r="L423" s="9" t="e">
        <f t="shared" si="26"/>
        <v>#N/A</v>
      </c>
      <c r="M423" s="9" t="e">
        <f t="shared" si="27"/>
        <v>#N/A</v>
      </c>
      <c r="N423" s="9" t="s">
        <v>1914</v>
      </c>
      <c r="O423" s="9">
        <v>0</v>
      </c>
      <c r="P423" s="9">
        <v>1000</v>
      </c>
      <c r="Q423" s="13"/>
      <c r="R423" s="13"/>
      <c r="S423" s="13"/>
      <c r="T423" s="9" t="s">
        <v>34</v>
      </c>
      <c r="U423" s="13"/>
      <c r="V423" s="9" t="s">
        <v>30</v>
      </c>
      <c r="W423" s="13"/>
      <c r="X423" s="9">
        <v>2</v>
      </c>
    </row>
    <row r="424" spans="1:24">
      <c r="A424" s="13"/>
      <c r="B424" s="9" t="s">
        <v>1915</v>
      </c>
      <c r="C424" s="9" t="e">
        <f>VLOOKUP(B424,[1]RXNS!$B:$C,1,)</f>
        <v>#N/A</v>
      </c>
      <c r="D424" s="9" t="e">
        <f t="shared" si="24"/>
        <v>#N/A</v>
      </c>
      <c r="E424" s="9" t="e">
        <v>#N/A</v>
      </c>
      <c r="F424" s="9" t="s">
        <v>1916</v>
      </c>
      <c r="G424" s="9" t="e">
        <f t="shared" si="25"/>
        <v>#N/A</v>
      </c>
      <c r="H424" s="9" t="e">
        <f>VLOOKUP(B424,[1]RXNS!$B:$D,3,FALSE)</f>
        <v>#N/A</v>
      </c>
      <c r="I424" s="9" t="s">
        <v>1917</v>
      </c>
      <c r="J424" s="9" t="s">
        <v>1918</v>
      </c>
      <c r="K424" s="9" t="s">
        <v>1917</v>
      </c>
      <c r="L424" s="9" t="e">
        <f t="shared" si="26"/>
        <v>#N/A</v>
      </c>
      <c r="M424" s="9" t="b">
        <f t="shared" si="27"/>
        <v>1</v>
      </c>
      <c r="N424" s="9" t="s">
        <v>849</v>
      </c>
      <c r="O424" s="9">
        <v>-1000</v>
      </c>
      <c r="P424" s="9">
        <v>1000</v>
      </c>
      <c r="Q424" s="13"/>
      <c r="R424" s="13"/>
      <c r="S424" s="13"/>
      <c r="T424" s="9" t="s">
        <v>648</v>
      </c>
      <c r="U424" s="13"/>
      <c r="V424" s="9" t="s">
        <v>30</v>
      </c>
      <c r="W424" s="13"/>
      <c r="X424" s="9">
        <v>2</v>
      </c>
    </row>
    <row r="425" spans="1:24">
      <c r="A425" s="13"/>
      <c r="B425" s="9" t="s">
        <v>1919</v>
      </c>
      <c r="C425" s="9" t="e">
        <f>VLOOKUP(B425,[1]RXNS!$B:$C,1,)</f>
        <v>#N/A</v>
      </c>
      <c r="D425" s="9" t="e">
        <f t="shared" si="24"/>
        <v>#N/A</v>
      </c>
      <c r="E425" s="9" t="e">
        <v>#N/A</v>
      </c>
      <c r="F425" s="9" t="s">
        <v>1920</v>
      </c>
      <c r="G425" s="9" t="e">
        <f t="shared" si="25"/>
        <v>#N/A</v>
      </c>
      <c r="H425" s="9" t="e">
        <f>VLOOKUP(B425,[1]RXNS!$B:$D,3,FALSE)</f>
        <v>#N/A</v>
      </c>
      <c r="I425" s="9" t="s">
        <v>1921</v>
      </c>
      <c r="J425" s="9" t="s">
        <v>1922</v>
      </c>
      <c r="K425" s="9" t="s">
        <v>1921</v>
      </c>
      <c r="L425" s="9" t="e">
        <f t="shared" si="26"/>
        <v>#N/A</v>
      </c>
      <c r="M425" s="9" t="b">
        <f t="shared" si="27"/>
        <v>1</v>
      </c>
      <c r="N425" s="9" t="s">
        <v>385</v>
      </c>
      <c r="O425" s="9">
        <v>0</v>
      </c>
      <c r="P425" s="9">
        <v>1000</v>
      </c>
      <c r="Q425" s="13"/>
      <c r="R425" s="13"/>
      <c r="S425" s="13"/>
      <c r="T425" s="9" t="s">
        <v>387</v>
      </c>
      <c r="U425" s="13"/>
      <c r="V425" s="9" t="s">
        <v>30</v>
      </c>
      <c r="W425" s="13"/>
      <c r="X425" s="9">
        <v>2</v>
      </c>
    </row>
    <row r="426" spans="1:24">
      <c r="A426" s="13"/>
      <c r="B426" s="9" t="s">
        <v>1923</v>
      </c>
      <c r="C426" s="9" t="e">
        <f>VLOOKUP(B426,[1]RXNS!$B:$C,1,)</f>
        <v>#N/A</v>
      </c>
      <c r="D426" s="9" t="e">
        <f t="shared" si="24"/>
        <v>#N/A</v>
      </c>
      <c r="E426" s="9" t="e">
        <v>#N/A</v>
      </c>
      <c r="F426" s="9" t="s">
        <v>1924</v>
      </c>
      <c r="G426" s="9" t="e">
        <f t="shared" si="25"/>
        <v>#N/A</v>
      </c>
      <c r="H426" s="9" t="e">
        <f>VLOOKUP(B426,[1]RXNS!$B:$D,3,FALSE)</f>
        <v>#N/A</v>
      </c>
      <c r="I426" s="9" t="s">
        <v>863</v>
      </c>
      <c r="J426" s="9" t="s">
        <v>1925</v>
      </c>
      <c r="K426" s="9" t="s">
        <v>863</v>
      </c>
      <c r="L426" s="9" t="e">
        <f t="shared" si="26"/>
        <v>#N/A</v>
      </c>
      <c r="M426" s="9" t="b">
        <f t="shared" si="27"/>
        <v>1</v>
      </c>
      <c r="N426" s="9" t="s">
        <v>865</v>
      </c>
      <c r="O426" s="9">
        <v>0</v>
      </c>
      <c r="P426" s="9">
        <v>1000</v>
      </c>
      <c r="Q426" s="13"/>
      <c r="R426" s="13"/>
      <c r="S426" s="13"/>
      <c r="T426" s="9" t="s">
        <v>648</v>
      </c>
      <c r="U426" s="13"/>
      <c r="V426" s="9" t="s">
        <v>30</v>
      </c>
      <c r="W426" s="13"/>
      <c r="X426" s="9">
        <v>2</v>
      </c>
    </row>
    <row r="427" spans="1:24">
      <c r="A427" s="13"/>
      <c r="B427" s="9" t="s">
        <v>1926</v>
      </c>
      <c r="C427" s="9" t="e">
        <f>VLOOKUP(B427,[1]RXNS!$B:$C,1,)</f>
        <v>#N/A</v>
      </c>
      <c r="D427" s="9" t="e">
        <f t="shared" si="24"/>
        <v>#N/A</v>
      </c>
      <c r="E427" s="9" t="e">
        <v>#N/A</v>
      </c>
      <c r="F427" s="9" t="s">
        <v>1927</v>
      </c>
      <c r="G427" s="9" t="e">
        <f t="shared" si="25"/>
        <v>#N/A</v>
      </c>
      <c r="H427" s="9" t="e">
        <f>VLOOKUP(B427,[1]RXNS!$B:$D,3,FALSE)</f>
        <v>#N/A</v>
      </c>
      <c r="I427" s="9" t="e">
        <f>VLOOKUP(B427,[1]RXNS!$B:$E,4,FALSE)</f>
        <v>#N/A</v>
      </c>
      <c r="J427" s="9" t="s">
        <v>1928</v>
      </c>
      <c r="K427" s="13"/>
      <c r="L427" s="9" t="e">
        <f t="shared" si="26"/>
        <v>#N/A</v>
      </c>
      <c r="M427" s="9" t="e">
        <f t="shared" si="27"/>
        <v>#N/A</v>
      </c>
      <c r="N427" s="9" t="s">
        <v>1889</v>
      </c>
      <c r="O427" s="9">
        <v>-1000</v>
      </c>
      <c r="P427" s="9">
        <v>1000</v>
      </c>
      <c r="Q427" s="13"/>
      <c r="R427" s="13"/>
      <c r="S427" s="13"/>
      <c r="T427" s="9" t="s">
        <v>648</v>
      </c>
      <c r="U427" s="13"/>
      <c r="V427" s="9" t="s">
        <v>30</v>
      </c>
      <c r="W427" s="13"/>
      <c r="X427" s="9">
        <v>2</v>
      </c>
    </row>
    <row r="428" spans="1:24">
      <c r="A428" s="13"/>
      <c r="B428" s="9" t="s">
        <v>1929</v>
      </c>
      <c r="C428" s="9" t="e">
        <f>VLOOKUP(B428,[1]RXNS!$B:$C,1,)</f>
        <v>#N/A</v>
      </c>
      <c r="D428" s="9" t="e">
        <f t="shared" si="24"/>
        <v>#N/A</v>
      </c>
      <c r="E428" s="9" t="e">
        <v>#N/A</v>
      </c>
      <c r="F428" s="9" t="s">
        <v>1930</v>
      </c>
      <c r="G428" s="9" t="e">
        <f t="shared" si="25"/>
        <v>#N/A</v>
      </c>
      <c r="H428" s="9" t="e">
        <f>VLOOKUP(B428,[1]RXNS!$B:$D,3,FALSE)</f>
        <v>#N/A</v>
      </c>
      <c r="I428" s="9" t="e">
        <f>VLOOKUP(B428,[1]RXNS!$B:$E,4,FALSE)</f>
        <v>#N/A</v>
      </c>
      <c r="J428" s="9" t="s">
        <v>1931</v>
      </c>
      <c r="K428" s="13"/>
      <c r="L428" s="9" t="e">
        <f t="shared" si="26"/>
        <v>#N/A</v>
      </c>
      <c r="M428" s="9" t="e">
        <f t="shared" si="27"/>
        <v>#N/A</v>
      </c>
      <c r="N428" s="9" t="s">
        <v>1932</v>
      </c>
      <c r="O428" s="9">
        <v>-1000</v>
      </c>
      <c r="P428" s="9">
        <v>1000</v>
      </c>
      <c r="Q428" s="13"/>
      <c r="R428" s="13"/>
      <c r="S428" s="13"/>
      <c r="T428" s="9" t="s">
        <v>1276</v>
      </c>
      <c r="U428" s="13"/>
      <c r="V428" s="9" t="s">
        <v>30</v>
      </c>
      <c r="W428" s="13"/>
      <c r="X428" s="9">
        <v>2</v>
      </c>
    </row>
    <row r="429" spans="1:24">
      <c r="A429" s="13"/>
      <c r="B429" s="9" t="s">
        <v>1933</v>
      </c>
      <c r="C429" s="9" t="e">
        <f>VLOOKUP(B429,[1]RXNS!$B:$C,1,)</f>
        <v>#N/A</v>
      </c>
      <c r="D429" s="9" t="e">
        <f t="shared" si="24"/>
        <v>#N/A</v>
      </c>
      <c r="E429" s="9" t="e">
        <v>#N/A</v>
      </c>
      <c r="F429" s="9" t="s">
        <v>1934</v>
      </c>
      <c r="G429" s="9" t="e">
        <f t="shared" si="25"/>
        <v>#N/A</v>
      </c>
      <c r="H429" s="9" t="e">
        <f>VLOOKUP(B429,[1]RXNS!$B:$D,3,FALSE)</f>
        <v>#N/A</v>
      </c>
      <c r="I429" s="9" t="s">
        <v>1935</v>
      </c>
      <c r="J429" s="9" t="s">
        <v>1936</v>
      </c>
      <c r="K429" s="9" t="s">
        <v>1935</v>
      </c>
      <c r="L429" s="9" t="e">
        <f t="shared" si="26"/>
        <v>#N/A</v>
      </c>
      <c r="M429" s="9" t="b">
        <f t="shared" si="27"/>
        <v>1</v>
      </c>
      <c r="N429" s="13"/>
      <c r="O429" s="9">
        <v>-1000</v>
      </c>
      <c r="P429" s="9">
        <v>1000</v>
      </c>
      <c r="Q429" s="13"/>
      <c r="R429" s="13"/>
      <c r="S429" s="13"/>
      <c r="T429" s="9" t="s">
        <v>648</v>
      </c>
      <c r="U429" s="13"/>
      <c r="V429" s="9" t="s">
        <v>35</v>
      </c>
      <c r="W429" s="13"/>
      <c r="X429" s="9">
        <v>2</v>
      </c>
    </row>
    <row r="430" spans="1:24">
      <c r="A430" s="13"/>
      <c r="B430" s="9" t="s">
        <v>1937</v>
      </c>
      <c r="C430" s="9" t="e">
        <f>VLOOKUP(B430,[1]RXNS!$B:$C,1,)</f>
        <v>#N/A</v>
      </c>
      <c r="D430" s="9" t="e">
        <f t="shared" si="24"/>
        <v>#N/A</v>
      </c>
      <c r="E430" s="9" t="e">
        <v>#N/A</v>
      </c>
      <c r="F430" s="9" t="s">
        <v>1938</v>
      </c>
      <c r="G430" s="9" t="e">
        <f t="shared" si="25"/>
        <v>#N/A</v>
      </c>
      <c r="H430" s="9" t="e">
        <f>VLOOKUP(B430,[1]RXNS!$B:$D,3,FALSE)</f>
        <v>#N/A</v>
      </c>
      <c r="I430" s="9" t="s">
        <v>1939</v>
      </c>
      <c r="J430" s="9" t="s">
        <v>1940</v>
      </c>
      <c r="K430" s="9" t="s">
        <v>1939</v>
      </c>
      <c r="L430" s="9" t="e">
        <f t="shared" si="26"/>
        <v>#N/A</v>
      </c>
      <c r="M430" s="9" t="b">
        <f t="shared" si="27"/>
        <v>1</v>
      </c>
      <c r="N430" s="9" t="s">
        <v>539</v>
      </c>
      <c r="O430" s="9">
        <v>0</v>
      </c>
      <c r="P430" s="9">
        <v>1000</v>
      </c>
      <c r="Q430" s="13"/>
      <c r="R430" s="13"/>
      <c r="S430" s="13"/>
      <c r="T430" s="9" t="s">
        <v>34</v>
      </c>
      <c r="U430" s="13"/>
      <c r="V430" s="9" t="s">
        <v>30</v>
      </c>
      <c r="W430" s="13"/>
      <c r="X430" s="9">
        <v>2</v>
      </c>
    </row>
    <row r="431" spans="1:24">
      <c r="A431" s="13"/>
      <c r="B431" s="9" t="s">
        <v>1941</v>
      </c>
      <c r="C431" s="9" t="e">
        <f>VLOOKUP(B431,[1]RXNS!$B:$C,1,)</f>
        <v>#N/A</v>
      </c>
      <c r="D431" s="9" t="e">
        <f t="shared" si="24"/>
        <v>#N/A</v>
      </c>
      <c r="E431" s="9" t="e">
        <v>#N/A</v>
      </c>
      <c r="F431" s="9" t="s">
        <v>1942</v>
      </c>
      <c r="G431" s="9" t="e">
        <f t="shared" si="25"/>
        <v>#N/A</v>
      </c>
      <c r="H431" s="9" t="e">
        <f>VLOOKUP(B431,[1]RXNS!$B:$D,3,FALSE)</f>
        <v>#N/A</v>
      </c>
      <c r="I431" s="9" t="s">
        <v>1815</v>
      </c>
      <c r="J431" s="9" t="s">
        <v>1943</v>
      </c>
      <c r="K431" s="9" t="s">
        <v>1815</v>
      </c>
      <c r="L431" s="9" t="e">
        <f t="shared" si="26"/>
        <v>#N/A</v>
      </c>
      <c r="M431" s="9" t="b">
        <f t="shared" si="27"/>
        <v>1</v>
      </c>
      <c r="N431" s="9" t="s">
        <v>539</v>
      </c>
      <c r="O431" s="9">
        <v>0</v>
      </c>
      <c r="P431" s="9">
        <v>1000</v>
      </c>
      <c r="Q431" s="13"/>
      <c r="R431" s="13"/>
      <c r="S431" s="13"/>
      <c r="T431" s="9" t="s">
        <v>34</v>
      </c>
      <c r="U431" s="13"/>
      <c r="V431" s="9" t="s">
        <v>30</v>
      </c>
      <c r="W431" s="13"/>
      <c r="X431" s="9">
        <v>2</v>
      </c>
    </row>
    <row r="432" spans="1:24">
      <c r="A432" s="13"/>
      <c r="B432" s="9" t="s">
        <v>1944</v>
      </c>
      <c r="C432" s="9" t="e">
        <f>VLOOKUP(B432,[1]RXNS!$B:$C,1,)</f>
        <v>#N/A</v>
      </c>
      <c r="D432" s="9" t="e">
        <f t="shared" si="24"/>
        <v>#N/A</v>
      </c>
      <c r="E432" s="9" t="e">
        <v>#N/A</v>
      </c>
      <c r="F432" s="9" t="s">
        <v>1945</v>
      </c>
      <c r="G432" s="9" t="e">
        <f t="shared" si="25"/>
        <v>#N/A</v>
      </c>
      <c r="H432" s="9" t="e">
        <f>VLOOKUP(B432,[1]RXNS!$B:$D,3,FALSE)</f>
        <v>#N/A</v>
      </c>
      <c r="I432" s="9" t="s">
        <v>1939</v>
      </c>
      <c r="J432" s="9" t="s">
        <v>1946</v>
      </c>
      <c r="K432" s="9" t="s">
        <v>1939</v>
      </c>
      <c r="L432" s="9" t="e">
        <f t="shared" si="26"/>
        <v>#N/A</v>
      </c>
      <c r="M432" s="9" t="b">
        <f t="shared" si="27"/>
        <v>1</v>
      </c>
      <c r="N432" s="9" t="s">
        <v>539</v>
      </c>
      <c r="O432" s="9">
        <v>0</v>
      </c>
      <c r="P432" s="9">
        <v>1000</v>
      </c>
      <c r="Q432" s="13"/>
      <c r="R432" s="13"/>
      <c r="S432" s="13"/>
      <c r="T432" s="9" t="s">
        <v>34</v>
      </c>
      <c r="U432" s="13"/>
      <c r="V432" s="9" t="s">
        <v>30</v>
      </c>
      <c r="W432" s="13"/>
      <c r="X432" s="9">
        <v>2</v>
      </c>
    </row>
    <row r="433" spans="1:24">
      <c r="A433" s="13"/>
      <c r="B433" s="9" t="s">
        <v>1947</v>
      </c>
      <c r="C433" s="9" t="e">
        <f>VLOOKUP(B433,[1]RXNS!$B:$C,1,)</f>
        <v>#N/A</v>
      </c>
      <c r="D433" s="9" t="e">
        <f t="shared" si="24"/>
        <v>#N/A</v>
      </c>
      <c r="E433" s="9" t="e">
        <v>#N/A</v>
      </c>
      <c r="F433" s="9" t="s">
        <v>1948</v>
      </c>
      <c r="G433" s="9" t="e">
        <f t="shared" si="25"/>
        <v>#N/A</v>
      </c>
      <c r="H433" s="9" t="e">
        <f>VLOOKUP(B433,[1]RXNS!$B:$D,3,FALSE)</f>
        <v>#N/A</v>
      </c>
      <c r="I433" s="9" t="s">
        <v>1815</v>
      </c>
      <c r="J433" s="9" t="s">
        <v>1949</v>
      </c>
      <c r="K433" s="9" t="s">
        <v>1815</v>
      </c>
      <c r="L433" s="9" t="e">
        <f t="shared" si="26"/>
        <v>#N/A</v>
      </c>
      <c r="M433" s="9" t="b">
        <f t="shared" si="27"/>
        <v>1</v>
      </c>
      <c r="N433" s="9" t="s">
        <v>539</v>
      </c>
      <c r="O433" s="9">
        <v>0</v>
      </c>
      <c r="P433" s="9">
        <v>1000</v>
      </c>
      <c r="Q433" s="13"/>
      <c r="R433" s="13"/>
      <c r="S433" s="13"/>
      <c r="T433" s="9" t="s">
        <v>34</v>
      </c>
      <c r="U433" s="13"/>
      <c r="V433" s="9" t="s">
        <v>30</v>
      </c>
      <c r="W433" s="13"/>
      <c r="X433" s="9">
        <v>2</v>
      </c>
    </row>
    <row r="434" spans="1:24">
      <c r="A434" s="13"/>
      <c r="B434" s="9" t="s">
        <v>1950</v>
      </c>
      <c r="C434" s="9" t="e">
        <f>VLOOKUP(B434,[1]RXNS!$B:$C,1,)</f>
        <v>#N/A</v>
      </c>
      <c r="D434" s="9" t="e">
        <f t="shared" si="24"/>
        <v>#N/A</v>
      </c>
      <c r="E434" s="9" t="e">
        <v>#N/A</v>
      </c>
      <c r="F434" s="9" t="s">
        <v>1951</v>
      </c>
      <c r="G434" s="9" t="e">
        <f t="shared" si="25"/>
        <v>#N/A</v>
      </c>
      <c r="H434" s="9" t="e">
        <f>VLOOKUP(B434,[1]RXNS!$B:$D,3,FALSE)</f>
        <v>#N/A</v>
      </c>
      <c r="I434" s="9" t="s">
        <v>1952</v>
      </c>
      <c r="J434" s="9" t="s">
        <v>1953</v>
      </c>
      <c r="K434" s="9" t="s">
        <v>1952</v>
      </c>
      <c r="L434" s="9" t="e">
        <f t="shared" si="26"/>
        <v>#N/A</v>
      </c>
      <c r="M434" s="9" t="b">
        <f t="shared" si="27"/>
        <v>1</v>
      </c>
      <c r="N434" s="9" t="s">
        <v>539</v>
      </c>
      <c r="O434" s="9">
        <v>0</v>
      </c>
      <c r="P434" s="9">
        <v>1000</v>
      </c>
      <c r="Q434" s="13"/>
      <c r="R434" s="13"/>
      <c r="S434" s="13"/>
      <c r="T434" s="9" t="s">
        <v>34</v>
      </c>
      <c r="U434" s="13"/>
      <c r="V434" s="9" t="s">
        <v>30</v>
      </c>
      <c r="W434" s="13"/>
      <c r="X434" s="9">
        <v>2</v>
      </c>
    </row>
    <row r="435" spans="1:24">
      <c r="A435" s="13"/>
      <c r="B435" s="9" t="s">
        <v>1954</v>
      </c>
      <c r="C435" s="9" t="e">
        <f>VLOOKUP(B435,[1]RXNS!$B:$C,1,)</f>
        <v>#N/A</v>
      </c>
      <c r="D435" s="9" t="e">
        <f t="shared" si="24"/>
        <v>#N/A</v>
      </c>
      <c r="E435" s="9" t="e">
        <v>#N/A</v>
      </c>
      <c r="F435" s="9" t="s">
        <v>1955</v>
      </c>
      <c r="G435" s="9" t="e">
        <f t="shared" si="25"/>
        <v>#N/A</v>
      </c>
      <c r="H435" s="9" t="e">
        <f>VLOOKUP(B435,[1]RXNS!$B:$D,3,FALSE)</f>
        <v>#N/A</v>
      </c>
      <c r="I435" s="9" t="s">
        <v>1956</v>
      </c>
      <c r="J435" s="9" t="s">
        <v>1957</v>
      </c>
      <c r="K435" s="9" t="s">
        <v>1956</v>
      </c>
      <c r="L435" s="9" t="e">
        <f t="shared" si="26"/>
        <v>#N/A</v>
      </c>
      <c r="M435" s="9" t="b">
        <f t="shared" si="27"/>
        <v>1</v>
      </c>
      <c r="N435" s="9" t="s">
        <v>539</v>
      </c>
      <c r="O435" s="9">
        <v>0</v>
      </c>
      <c r="P435" s="9">
        <v>1000</v>
      </c>
      <c r="Q435" s="13"/>
      <c r="R435" s="13"/>
      <c r="S435" s="13"/>
      <c r="T435" s="9" t="s">
        <v>34</v>
      </c>
      <c r="U435" s="13"/>
      <c r="V435" s="9" t="s">
        <v>30</v>
      </c>
      <c r="W435" s="13"/>
      <c r="X435" s="9">
        <v>2</v>
      </c>
    </row>
    <row r="436" spans="1:24">
      <c r="A436" s="13"/>
      <c r="B436" s="9" t="s">
        <v>1958</v>
      </c>
      <c r="C436" s="9" t="e">
        <f>VLOOKUP(B436,[1]RXNS!$B:$C,1,)</f>
        <v>#N/A</v>
      </c>
      <c r="D436" s="9" t="e">
        <f t="shared" si="24"/>
        <v>#N/A</v>
      </c>
      <c r="E436" s="9" t="e">
        <v>#N/A</v>
      </c>
      <c r="F436" s="9" t="s">
        <v>1959</v>
      </c>
      <c r="G436" s="9" t="e">
        <f t="shared" si="25"/>
        <v>#N/A</v>
      </c>
      <c r="H436" s="9" t="e">
        <f>VLOOKUP(B436,[1]RXNS!$B:$D,3,FALSE)</f>
        <v>#N/A</v>
      </c>
      <c r="I436" s="9" t="s">
        <v>1939</v>
      </c>
      <c r="J436" s="9" t="s">
        <v>1960</v>
      </c>
      <c r="K436" s="9" t="s">
        <v>1939</v>
      </c>
      <c r="L436" s="9" t="e">
        <f t="shared" si="26"/>
        <v>#N/A</v>
      </c>
      <c r="M436" s="9" t="b">
        <f t="shared" si="27"/>
        <v>1</v>
      </c>
      <c r="N436" s="9" t="s">
        <v>539</v>
      </c>
      <c r="O436" s="9">
        <v>0</v>
      </c>
      <c r="P436" s="9">
        <v>1000</v>
      </c>
      <c r="Q436" s="13"/>
      <c r="R436" s="13"/>
      <c r="S436" s="13"/>
      <c r="T436" s="9" t="s">
        <v>34</v>
      </c>
      <c r="U436" s="13"/>
      <c r="V436" s="9" t="s">
        <v>30</v>
      </c>
      <c r="W436" s="13"/>
      <c r="X436" s="9">
        <v>2</v>
      </c>
    </row>
    <row r="437" spans="1:24">
      <c r="A437" s="13"/>
      <c r="B437" s="9" t="s">
        <v>1961</v>
      </c>
      <c r="C437" s="9" t="e">
        <f>VLOOKUP(B437,[1]RXNS!$B:$C,1,)</f>
        <v>#N/A</v>
      </c>
      <c r="D437" s="9" t="e">
        <f t="shared" si="24"/>
        <v>#N/A</v>
      </c>
      <c r="E437" s="9" t="e">
        <v>#N/A</v>
      </c>
      <c r="F437" s="9" t="s">
        <v>1962</v>
      </c>
      <c r="G437" s="9" t="e">
        <f t="shared" si="25"/>
        <v>#N/A</v>
      </c>
      <c r="H437" s="9" t="e">
        <f>VLOOKUP(B437,[1]RXNS!$B:$D,3,FALSE)</f>
        <v>#N/A</v>
      </c>
      <c r="I437" s="9" t="s">
        <v>1815</v>
      </c>
      <c r="J437" s="9" t="s">
        <v>1963</v>
      </c>
      <c r="K437" s="9" t="s">
        <v>1815</v>
      </c>
      <c r="L437" s="9" t="e">
        <f t="shared" si="26"/>
        <v>#N/A</v>
      </c>
      <c r="M437" s="9" t="b">
        <f t="shared" si="27"/>
        <v>1</v>
      </c>
      <c r="N437" s="9" t="s">
        <v>539</v>
      </c>
      <c r="O437" s="9">
        <v>0</v>
      </c>
      <c r="P437" s="9">
        <v>1000</v>
      </c>
      <c r="Q437" s="13"/>
      <c r="R437" s="13"/>
      <c r="S437" s="13"/>
      <c r="T437" s="9" t="s">
        <v>34</v>
      </c>
      <c r="U437" s="13"/>
      <c r="V437" s="9" t="s">
        <v>30</v>
      </c>
      <c r="W437" s="13"/>
      <c r="X437" s="9">
        <v>2</v>
      </c>
    </row>
    <row r="438" spans="1:24">
      <c r="A438" s="13"/>
      <c r="B438" s="9" t="s">
        <v>1964</v>
      </c>
      <c r="C438" s="9" t="e">
        <f>VLOOKUP(B438,[1]RXNS!$B:$C,1,)</f>
        <v>#N/A</v>
      </c>
      <c r="D438" s="9" t="e">
        <f t="shared" si="24"/>
        <v>#N/A</v>
      </c>
      <c r="E438" s="9" t="e">
        <v>#N/A</v>
      </c>
      <c r="F438" s="9" t="s">
        <v>1965</v>
      </c>
      <c r="G438" s="9" t="e">
        <f t="shared" si="25"/>
        <v>#N/A</v>
      </c>
      <c r="H438" s="9" t="e">
        <f>VLOOKUP(B438,[1]RXNS!$B:$D,3,FALSE)</f>
        <v>#N/A</v>
      </c>
      <c r="I438" s="9" t="s">
        <v>1952</v>
      </c>
      <c r="J438" s="9" t="s">
        <v>1966</v>
      </c>
      <c r="K438" s="9" t="s">
        <v>1952</v>
      </c>
      <c r="L438" s="9" t="e">
        <f t="shared" si="26"/>
        <v>#N/A</v>
      </c>
      <c r="M438" s="9" t="b">
        <f t="shared" si="27"/>
        <v>1</v>
      </c>
      <c r="N438" s="9" t="s">
        <v>539</v>
      </c>
      <c r="O438" s="9">
        <v>0</v>
      </c>
      <c r="P438" s="9">
        <v>1000</v>
      </c>
      <c r="Q438" s="13"/>
      <c r="R438" s="13"/>
      <c r="S438" s="13"/>
      <c r="T438" s="9" t="s">
        <v>34</v>
      </c>
      <c r="U438" s="13"/>
      <c r="V438" s="9" t="s">
        <v>30</v>
      </c>
      <c r="W438" s="13"/>
      <c r="X438" s="9">
        <v>2</v>
      </c>
    </row>
    <row r="439" spans="1:24">
      <c r="A439" s="13"/>
      <c r="B439" s="9" t="s">
        <v>1967</v>
      </c>
      <c r="C439" s="9" t="e">
        <f>VLOOKUP(B439,[1]RXNS!$B:$C,1,)</f>
        <v>#N/A</v>
      </c>
      <c r="D439" s="9" t="e">
        <f t="shared" si="24"/>
        <v>#N/A</v>
      </c>
      <c r="E439" s="9" t="e">
        <v>#N/A</v>
      </c>
      <c r="F439" s="9" t="s">
        <v>1968</v>
      </c>
      <c r="G439" s="9" t="e">
        <f t="shared" si="25"/>
        <v>#N/A</v>
      </c>
      <c r="H439" s="9" t="e">
        <f>VLOOKUP(B439,[1]RXNS!$B:$D,3,FALSE)</f>
        <v>#N/A</v>
      </c>
      <c r="I439" s="9" t="s">
        <v>1956</v>
      </c>
      <c r="J439" s="9" t="s">
        <v>1969</v>
      </c>
      <c r="K439" s="9" t="s">
        <v>1956</v>
      </c>
      <c r="L439" s="9" t="e">
        <f t="shared" si="26"/>
        <v>#N/A</v>
      </c>
      <c r="M439" s="9" t="b">
        <f t="shared" si="27"/>
        <v>1</v>
      </c>
      <c r="N439" s="9" t="s">
        <v>539</v>
      </c>
      <c r="O439" s="9">
        <v>0</v>
      </c>
      <c r="P439" s="9">
        <v>1000</v>
      </c>
      <c r="Q439" s="13"/>
      <c r="R439" s="13"/>
      <c r="S439" s="13"/>
      <c r="T439" s="9" t="s">
        <v>34</v>
      </c>
      <c r="U439" s="13"/>
      <c r="V439" s="9" t="s">
        <v>30</v>
      </c>
      <c r="W439" s="13"/>
      <c r="X439" s="9">
        <v>2</v>
      </c>
    </row>
    <row r="440" spans="1:24">
      <c r="A440" s="13"/>
      <c r="B440" s="9" t="s">
        <v>1970</v>
      </c>
      <c r="C440" s="9" t="e">
        <f>VLOOKUP(B440,[1]RXNS!$B:$C,1,)</f>
        <v>#N/A</v>
      </c>
      <c r="D440" s="9" t="e">
        <f t="shared" si="24"/>
        <v>#N/A</v>
      </c>
      <c r="E440" s="9" t="e">
        <v>#N/A</v>
      </c>
      <c r="F440" s="9" t="s">
        <v>1971</v>
      </c>
      <c r="G440" s="9" t="e">
        <f t="shared" si="25"/>
        <v>#N/A</v>
      </c>
      <c r="H440" s="9" t="e">
        <f>VLOOKUP(B440,[1]RXNS!$B:$D,3,FALSE)</f>
        <v>#N/A</v>
      </c>
      <c r="I440" s="9" t="s">
        <v>1952</v>
      </c>
      <c r="J440" s="9" t="s">
        <v>1972</v>
      </c>
      <c r="K440" s="9" t="s">
        <v>1952</v>
      </c>
      <c r="L440" s="9" t="e">
        <f t="shared" si="26"/>
        <v>#N/A</v>
      </c>
      <c r="M440" s="9" t="b">
        <f t="shared" si="27"/>
        <v>1</v>
      </c>
      <c r="N440" s="9" t="s">
        <v>539</v>
      </c>
      <c r="O440" s="9">
        <v>0</v>
      </c>
      <c r="P440" s="9">
        <v>1000</v>
      </c>
      <c r="Q440" s="13"/>
      <c r="R440" s="13"/>
      <c r="S440" s="13"/>
      <c r="T440" s="9" t="s">
        <v>34</v>
      </c>
      <c r="U440" s="13"/>
      <c r="V440" s="9" t="s">
        <v>30</v>
      </c>
      <c r="W440" s="13"/>
      <c r="X440" s="9">
        <v>2</v>
      </c>
    </row>
    <row r="441" spans="1:24">
      <c r="A441" s="13"/>
      <c r="B441" s="9" t="s">
        <v>1973</v>
      </c>
      <c r="C441" s="9" t="e">
        <f>VLOOKUP(B441,[1]RXNS!$B:$C,1,)</f>
        <v>#N/A</v>
      </c>
      <c r="D441" s="9" t="e">
        <f t="shared" si="24"/>
        <v>#N/A</v>
      </c>
      <c r="E441" s="9" t="e">
        <v>#N/A</v>
      </c>
      <c r="F441" s="9" t="s">
        <v>1974</v>
      </c>
      <c r="G441" s="9" t="e">
        <f t="shared" si="25"/>
        <v>#N/A</v>
      </c>
      <c r="H441" s="9" t="e">
        <f>VLOOKUP(B441,[1]RXNS!$B:$D,3,FALSE)</f>
        <v>#N/A</v>
      </c>
      <c r="I441" s="9" t="s">
        <v>1956</v>
      </c>
      <c r="J441" s="9" t="s">
        <v>1975</v>
      </c>
      <c r="K441" s="9" t="s">
        <v>1956</v>
      </c>
      <c r="L441" s="9" t="e">
        <f t="shared" si="26"/>
        <v>#N/A</v>
      </c>
      <c r="M441" s="9" t="b">
        <f t="shared" si="27"/>
        <v>1</v>
      </c>
      <c r="N441" s="9" t="s">
        <v>539</v>
      </c>
      <c r="O441" s="9">
        <v>0</v>
      </c>
      <c r="P441" s="9">
        <v>1000</v>
      </c>
      <c r="Q441" s="13"/>
      <c r="R441" s="13"/>
      <c r="S441" s="13"/>
      <c r="T441" s="9" t="s">
        <v>34</v>
      </c>
      <c r="U441" s="13"/>
      <c r="V441" s="9" t="s">
        <v>30</v>
      </c>
      <c r="W441" s="13"/>
      <c r="X441" s="9">
        <v>2</v>
      </c>
    </row>
    <row r="442" spans="1:24">
      <c r="A442" s="13"/>
      <c r="B442" s="9" t="s">
        <v>1976</v>
      </c>
      <c r="C442" s="9" t="e">
        <f>VLOOKUP(B442,[1]RXNS!$B:$C,1,)</f>
        <v>#N/A</v>
      </c>
      <c r="D442" s="9" t="e">
        <f t="shared" si="24"/>
        <v>#N/A</v>
      </c>
      <c r="E442" s="9" t="e">
        <v>#N/A</v>
      </c>
      <c r="F442" s="9" t="s">
        <v>1977</v>
      </c>
      <c r="G442" s="9" t="e">
        <f t="shared" si="25"/>
        <v>#N/A</v>
      </c>
      <c r="H442" s="9" t="e">
        <f>VLOOKUP(B442,[1]RXNS!$B:$D,3,FALSE)</f>
        <v>#N/A</v>
      </c>
      <c r="I442" s="9" t="s">
        <v>1952</v>
      </c>
      <c r="J442" s="9" t="s">
        <v>1978</v>
      </c>
      <c r="K442" s="9" t="s">
        <v>1952</v>
      </c>
      <c r="L442" s="9" t="e">
        <f t="shared" si="26"/>
        <v>#N/A</v>
      </c>
      <c r="M442" s="9" t="b">
        <f t="shared" si="27"/>
        <v>1</v>
      </c>
      <c r="N442" s="9" t="s">
        <v>539</v>
      </c>
      <c r="O442" s="9">
        <v>0</v>
      </c>
      <c r="P442" s="9">
        <v>1000</v>
      </c>
      <c r="Q442" s="13"/>
      <c r="R442" s="13"/>
      <c r="S442" s="13"/>
      <c r="T442" s="9" t="s">
        <v>34</v>
      </c>
      <c r="U442" s="13"/>
      <c r="V442" s="9" t="s">
        <v>30</v>
      </c>
      <c r="W442" s="13"/>
      <c r="X442" s="9">
        <v>2</v>
      </c>
    </row>
    <row r="443" spans="1:24">
      <c r="A443" s="13"/>
      <c r="B443" s="9" t="s">
        <v>1979</v>
      </c>
      <c r="C443" s="9" t="e">
        <f>VLOOKUP(B443,[1]RXNS!$B:$C,1,)</f>
        <v>#N/A</v>
      </c>
      <c r="D443" s="9" t="e">
        <f t="shared" si="24"/>
        <v>#N/A</v>
      </c>
      <c r="E443" s="9" t="e">
        <v>#N/A</v>
      </c>
      <c r="F443" s="9" t="s">
        <v>1980</v>
      </c>
      <c r="G443" s="9" t="e">
        <f t="shared" si="25"/>
        <v>#N/A</v>
      </c>
      <c r="H443" s="9" t="e">
        <f>VLOOKUP(B443,[1]RXNS!$B:$D,3,FALSE)</f>
        <v>#N/A</v>
      </c>
      <c r="I443" s="9" t="s">
        <v>1956</v>
      </c>
      <c r="J443" s="9" t="s">
        <v>1981</v>
      </c>
      <c r="K443" s="9" t="s">
        <v>1956</v>
      </c>
      <c r="L443" s="9" t="e">
        <f t="shared" si="26"/>
        <v>#N/A</v>
      </c>
      <c r="M443" s="9" t="b">
        <f t="shared" si="27"/>
        <v>1</v>
      </c>
      <c r="N443" s="9" t="s">
        <v>539</v>
      </c>
      <c r="O443" s="9">
        <v>0</v>
      </c>
      <c r="P443" s="9">
        <v>1000</v>
      </c>
      <c r="Q443" s="13"/>
      <c r="R443" s="13"/>
      <c r="S443" s="13"/>
      <c r="T443" s="9" t="s">
        <v>34</v>
      </c>
      <c r="U443" s="13"/>
      <c r="V443" s="9" t="s">
        <v>30</v>
      </c>
      <c r="W443" s="13"/>
      <c r="X443" s="9">
        <v>2</v>
      </c>
    </row>
    <row r="444" spans="1:24">
      <c r="A444" s="13"/>
      <c r="B444" s="9" t="s">
        <v>1982</v>
      </c>
      <c r="C444" s="9" t="e">
        <f>VLOOKUP(B444,[1]RXNS!$B:$C,1,)</f>
        <v>#N/A</v>
      </c>
      <c r="D444" s="9" t="e">
        <f t="shared" si="24"/>
        <v>#N/A</v>
      </c>
      <c r="E444" s="9" t="e">
        <v>#N/A</v>
      </c>
      <c r="F444" s="9" t="s">
        <v>1983</v>
      </c>
      <c r="G444" s="9" t="e">
        <f t="shared" si="25"/>
        <v>#N/A</v>
      </c>
      <c r="H444" s="9" t="e">
        <f>VLOOKUP(B444,[1]RXNS!$B:$D,3,FALSE)</f>
        <v>#N/A</v>
      </c>
      <c r="I444" s="9" t="s">
        <v>1952</v>
      </c>
      <c r="J444" s="9" t="s">
        <v>1984</v>
      </c>
      <c r="K444" s="9" t="s">
        <v>1952</v>
      </c>
      <c r="L444" s="9" t="e">
        <f t="shared" si="26"/>
        <v>#N/A</v>
      </c>
      <c r="M444" s="9" t="b">
        <f t="shared" si="27"/>
        <v>1</v>
      </c>
      <c r="N444" s="9" t="s">
        <v>539</v>
      </c>
      <c r="O444" s="9">
        <v>0</v>
      </c>
      <c r="P444" s="9">
        <v>1000</v>
      </c>
      <c r="Q444" s="13"/>
      <c r="R444" s="13"/>
      <c r="S444" s="13"/>
      <c r="T444" s="9" t="s">
        <v>34</v>
      </c>
      <c r="U444" s="13"/>
      <c r="V444" s="9" t="s">
        <v>30</v>
      </c>
      <c r="W444" s="13"/>
      <c r="X444" s="9">
        <v>2</v>
      </c>
    </row>
    <row r="445" spans="1:24">
      <c r="A445" s="13"/>
      <c r="B445" s="9" t="s">
        <v>1985</v>
      </c>
      <c r="C445" s="9" t="e">
        <f>VLOOKUP(B445,[1]RXNS!$B:$C,1,)</f>
        <v>#N/A</v>
      </c>
      <c r="D445" s="9" t="e">
        <f t="shared" si="24"/>
        <v>#N/A</v>
      </c>
      <c r="E445" s="9" t="e">
        <v>#N/A</v>
      </c>
      <c r="F445" s="9" t="s">
        <v>1986</v>
      </c>
      <c r="G445" s="9" t="e">
        <f t="shared" si="25"/>
        <v>#N/A</v>
      </c>
      <c r="H445" s="9" t="e">
        <f>VLOOKUP(B445,[1]RXNS!$B:$D,3,FALSE)</f>
        <v>#N/A</v>
      </c>
      <c r="I445" s="9" t="s">
        <v>1956</v>
      </c>
      <c r="J445" s="9" t="s">
        <v>1987</v>
      </c>
      <c r="K445" s="9" t="s">
        <v>1956</v>
      </c>
      <c r="L445" s="9" t="e">
        <f t="shared" si="26"/>
        <v>#N/A</v>
      </c>
      <c r="M445" s="9" t="b">
        <f t="shared" si="27"/>
        <v>1</v>
      </c>
      <c r="N445" s="9" t="s">
        <v>539</v>
      </c>
      <c r="O445" s="9">
        <v>0</v>
      </c>
      <c r="P445" s="9">
        <v>1000</v>
      </c>
      <c r="Q445" s="13"/>
      <c r="R445" s="13"/>
      <c r="S445" s="13"/>
      <c r="T445" s="9" t="s">
        <v>34</v>
      </c>
      <c r="U445" s="13"/>
      <c r="V445" s="9" t="s">
        <v>30</v>
      </c>
      <c r="W445" s="13"/>
      <c r="X445" s="9">
        <v>2</v>
      </c>
    </row>
    <row r="446" spans="1:24">
      <c r="A446" s="13"/>
      <c r="B446" s="9" t="s">
        <v>1988</v>
      </c>
      <c r="C446" s="9" t="e">
        <f>VLOOKUP(B446,[1]RXNS!$B:$C,1,)</f>
        <v>#N/A</v>
      </c>
      <c r="D446" s="9" t="e">
        <f t="shared" si="24"/>
        <v>#N/A</v>
      </c>
      <c r="E446" s="9" t="e">
        <v>#N/A</v>
      </c>
      <c r="F446" s="9" t="s">
        <v>1989</v>
      </c>
      <c r="G446" s="9" t="e">
        <f t="shared" si="25"/>
        <v>#N/A</v>
      </c>
      <c r="H446" s="9" t="e">
        <f>VLOOKUP(B446,[1]RXNS!$B:$D,3,FALSE)</f>
        <v>#N/A</v>
      </c>
      <c r="I446" s="9" t="s">
        <v>1952</v>
      </c>
      <c r="J446" s="9" t="s">
        <v>1990</v>
      </c>
      <c r="K446" s="9" t="s">
        <v>1952</v>
      </c>
      <c r="L446" s="9" t="e">
        <f t="shared" si="26"/>
        <v>#N/A</v>
      </c>
      <c r="M446" s="9" t="b">
        <f t="shared" si="27"/>
        <v>1</v>
      </c>
      <c r="N446" s="9" t="s">
        <v>539</v>
      </c>
      <c r="O446" s="9">
        <v>0</v>
      </c>
      <c r="P446" s="9">
        <v>1000</v>
      </c>
      <c r="Q446" s="13"/>
      <c r="R446" s="13"/>
      <c r="S446" s="13"/>
      <c r="T446" s="9" t="s">
        <v>34</v>
      </c>
      <c r="U446" s="13"/>
      <c r="V446" s="9" t="s">
        <v>30</v>
      </c>
      <c r="W446" s="13"/>
      <c r="X446" s="9">
        <v>2</v>
      </c>
    </row>
    <row r="447" spans="1:24">
      <c r="A447" s="13"/>
      <c r="B447" s="9" t="s">
        <v>1991</v>
      </c>
      <c r="C447" s="9" t="e">
        <f>VLOOKUP(B447,[1]RXNS!$B:$C,1,)</f>
        <v>#N/A</v>
      </c>
      <c r="D447" s="9" t="e">
        <f t="shared" si="24"/>
        <v>#N/A</v>
      </c>
      <c r="E447" s="9" t="e">
        <v>#N/A</v>
      </c>
      <c r="F447" s="9" t="s">
        <v>1992</v>
      </c>
      <c r="G447" s="9" t="e">
        <f t="shared" si="25"/>
        <v>#N/A</v>
      </c>
      <c r="H447" s="9" t="e">
        <f>VLOOKUP(B447,[1]RXNS!$B:$D,3,FALSE)</f>
        <v>#N/A</v>
      </c>
      <c r="I447" s="9" t="s">
        <v>1956</v>
      </c>
      <c r="J447" s="9" t="s">
        <v>1993</v>
      </c>
      <c r="K447" s="9" t="s">
        <v>1956</v>
      </c>
      <c r="L447" s="9" t="e">
        <f t="shared" si="26"/>
        <v>#N/A</v>
      </c>
      <c r="M447" s="9" t="b">
        <f t="shared" si="27"/>
        <v>1</v>
      </c>
      <c r="N447" s="9" t="s">
        <v>539</v>
      </c>
      <c r="O447" s="9">
        <v>0</v>
      </c>
      <c r="P447" s="9">
        <v>1000</v>
      </c>
      <c r="Q447" s="13"/>
      <c r="R447" s="13"/>
      <c r="S447" s="13"/>
      <c r="T447" s="9" t="s">
        <v>34</v>
      </c>
      <c r="U447" s="13"/>
      <c r="V447" s="9" t="s">
        <v>30</v>
      </c>
      <c r="W447" s="13"/>
      <c r="X447" s="9">
        <v>2</v>
      </c>
    </row>
    <row r="448" spans="1:24">
      <c r="A448" s="13"/>
      <c r="B448" s="9" t="s">
        <v>1994</v>
      </c>
      <c r="C448" s="9" t="e">
        <f>VLOOKUP(B448,[1]RXNS!$B:$C,1,)</f>
        <v>#N/A</v>
      </c>
      <c r="D448" s="9" t="e">
        <f t="shared" si="24"/>
        <v>#N/A</v>
      </c>
      <c r="E448" s="9" t="e">
        <v>#N/A</v>
      </c>
      <c r="F448" s="9" t="s">
        <v>1995</v>
      </c>
      <c r="G448" s="9" t="e">
        <f t="shared" si="25"/>
        <v>#N/A</v>
      </c>
      <c r="H448" s="9" t="e">
        <f>VLOOKUP(B448,[1]RXNS!$B:$D,3,FALSE)</f>
        <v>#N/A</v>
      </c>
      <c r="I448" s="9" t="s">
        <v>1815</v>
      </c>
      <c r="J448" s="9" t="s">
        <v>1996</v>
      </c>
      <c r="K448" s="9" t="s">
        <v>1815</v>
      </c>
      <c r="L448" s="9" t="e">
        <f t="shared" si="26"/>
        <v>#N/A</v>
      </c>
      <c r="M448" s="9" t="b">
        <f t="shared" si="27"/>
        <v>1</v>
      </c>
      <c r="N448" s="9" t="s">
        <v>539</v>
      </c>
      <c r="O448" s="9">
        <v>0</v>
      </c>
      <c r="P448" s="9">
        <v>1000</v>
      </c>
      <c r="Q448" s="13"/>
      <c r="R448" s="13"/>
      <c r="S448" s="13"/>
      <c r="T448" s="9" t="s">
        <v>34</v>
      </c>
      <c r="U448" s="13"/>
      <c r="V448" s="9" t="s">
        <v>30</v>
      </c>
      <c r="W448" s="13"/>
      <c r="X448" s="9">
        <v>2</v>
      </c>
    </row>
    <row r="449" spans="1:24">
      <c r="A449" s="13"/>
      <c r="B449" s="9" t="s">
        <v>1997</v>
      </c>
      <c r="C449" s="9" t="e">
        <f>VLOOKUP(B449,[1]RXNS!$B:$C,1,)</f>
        <v>#N/A</v>
      </c>
      <c r="D449" s="9" t="e">
        <f t="shared" si="24"/>
        <v>#N/A</v>
      </c>
      <c r="E449" s="9" t="e">
        <v>#N/A</v>
      </c>
      <c r="F449" s="9" t="s">
        <v>1998</v>
      </c>
      <c r="G449" s="9" t="e">
        <f t="shared" si="25"/>
        <v>#N/A</v>
      </c>
      <c r="H449" s="9" t="e">
        <f>VLOOKUP(B449,[1]RXNS!$B:$D,3,FALSE)</f>
        <v>#N/A</v>
      </c>
      <c r="I449" s="9" t="s">
        <v>1939</v>
      </c>
      <c r="J449" s="9" t="s">
        <v>1999</v>
      </c>
      <c r="K449" s="9" t="s">
        <v>1939</v>
      </c>
      <c r="L449" s="9" t="e">
        <f t="shared" si="26"/>
        <v>#N/A</v>
      </c>
      <c r="M449" s="9" t="b">
        <f t="shared" si="27"/>
        <v>1</v>
      </c>
      <c r="N449" s="9" t="s">
        <v>539</v>
      </c>
      <c r="O449" s="9">
        <v>0</v>
      </c>
      <c r="P449" s="9">
        <v>1000</v>
      </c>
      <c r="Q449" s="13"/>
      <c r="R449" s="13"/>
      <c r="S449" s="13"/>
      <c r="T449" s="9" t="s">
        <v>34</v>
      </c>
      <c r="U449" s="13"/>
      <c r="V449" s="9" t="s">
        <v>30</v>
      </c>
      <c r="W449" s="13"/>
      <c r="X449" s="9">
        <v>2</v>
      </c>
    </row>
    <row r="450" spans="1:24">
      <c r="A450" s="13"/>
      <c r="B450" s="9" t="s">
        <v>2000</v>
      </c>
      <c r="C450" s="9" t="e">
        <f>VLOOKUP(B450,[1]RXNS!$B:$C,1,)</f>
        <v>#N/A</v>
      </c>
      <c r="D450" s="9" t="e">
        <f t="shared" ref="D450:D513" si="28">EXACT(B450,C450)</f>
        <v>#N/A</v>
      </c>
      <c r="E450" s="9" t="e">
        <v>#N/A</v>
      </c>
      <c r="F450" s="9" t="s">
        <v>2001</v>
      </c>
      <c r="G450" s="9" t="e">
        <f t="shared" ref="G450:G513" si="29">EXACT(E450,F450)</f>
        <v>#N/A</v>
      </c>
      <c r="H450" s="9" t="e">
        <f>VLOOKUP(B450,[1]RXNS!$B:$D,3,FALSE)</f>
        <v>#N/A</v>
      </c>
      <c r="I450" s="9" t="s">
        <v>1815</v>
      </c>
      <c r="J450" s="9" t="s">
        <v>2002</v>
      </c>
      <c r="K450" s="9" t="s">
        <v>1815</v>
      </c>
      <c r="L450" s="9" t="e">
        <f t="shared" ref="L450:L513" si="30">EXACT(H450,J450)</f>
        <v>#N/A</v>
      </c>
      <c r="M450" s="9" t="b">
        <f t="shared" ref="M450:M513" si="31">EXACT(I450,K450)</f>
        <v>1</v>
      </c>
      <c r="N450" s="9" t="s">
        <v>539</v>
      </c>
      <c r="O450" s="9">
        <v>0</v>
      </c>
      <c r="P450" s="9">
        <v>1000</v>
      </c>
      <c r="Q450" s="13"/>
      <c r="R450" s="13"/>
      <c r="S450" s="13"/>
      <c r="T450" s="9" t="s">
        <v>34</v>
      </c>
      <c r="U450" s="13"/>
      <c r="V450" s="9" t="s">
        <v>30</v>
      </c>
      <c r="W450" s="13"/>
      <c r="X450" s="9">
        <v>2</v>
      </c>
    </row>
    <row r="451" spans="1:24">
      <c r="A451" s="13"/>
      <c r="B451" s="9" t="s">
        <v>2003</v>
      </c>
      <c r="C451" s="9" t="e">
        <f>VLOOKUP(B451,[1]RXNS!$B:$C,1,)</f>
        <v>#N/A</v>
      </c>
      <c r="D451" s="9" t="e">
        <f t="shared" si="28"/>
        <v>#N/A</v>
      </c>
      <c r="E451" s="9" t="e">
        <v>#N/A</v>
      </c>
      <c r="F451" s="9" t="s">
        <v>2004</v>
      </c>
      <c r="G451" s="9" t="e">
        <f t="shared" si="29"/>
        <v>#N/A</v>
      </c>
      <c r="H451" s="9" t="e">
        <f>VLOOKUP(B451,[1]RXNS!$B:$D,3,FALSE)</f>
        <v>#N/A</v>
      </c>
      <c r="I451" s="9" t="s">
        <v>1939</v>
      </c>
      <c r="J451" s="9" t="s">
        <v>2005</v>
      </c>
      <c r="K451" s="9" t="s">
        <v>1939</v>
      </c>
      <c r="L451" s="9" t="e">
        <f t="shared" si="30"/>
        <v>#N/A</v>
      </c>
      <c r="M451" s="9" t="b">
        <f t="shared" si="31"/>
        <v>1</v>
      </c>
      <c r="N451" s="9" t="s">
        <v>539</v>
      </c>
      <c r="O451" s="9">
        <v>0</v>
      </c>
      <c r="P451" s="9">
        <v>1000</v>
      </c>
      <c r="Q451" s="13"/>
      <c r="R451" s="13"/>
      <c r="S451" s="13"/>
      <c r="T451" s="9" t="s">
        <v>34</v>
      </c>
      <c r="U451" s="13"/>
      <c r="V451" s="9" t="s">
        <v>30</v>
      </c>
      <c r="W451" s="13"/>
      <c r="X451" s="9">
        <v>2</v>
      </c>
    </row>
    <row r="452" spans="1:24">
      <c r="A452" s="13"/>
      <c r="B452" s="9" t="s">
        <v>2006</v>
      </c>
      <c r="C452" s="9" t="e">
        <f>VLOOKUP(B452,[1]RXNS!$B:$C,1,)</f>
        <v>#N/A</v>
      </c>
      <c r="D452" s="9" t="e">
        <f t="shared" si="28"/>
        <v>#N/A</v>
      </c>
      <c r="E452" s="9" t="e">
        <v>#N/A</v>
      </c>
      <c r="F452" s="9" t="s">
        <v>2007</v>
      </c>
      <c r="G452" s="9" t="e">
        <f t="shared" si="29"/>
        <v>#N/A</v>
      </c>
      <c r="H452" s="9" t="e">
        <f>VLOOKUP(B452,[1]RXNS!$B:$D,3,FALSE)</f>
        <v>#N/A</v>
      </c>
      <c r="I452" s="9" t="s">
        <v>1815</v>
      </c>
      <c r="J452" s="9" t="s">
        <v>2008</v>
      </c>
      <c r="K452" s="9" t="s">
        <v>1815</v>
      </c>
      <c r="L452" s="9" t="e">
        <f t="shared" si="30"/>
        <v>#N/A</v>
      </c>
      <c r="M452" s="9" t="b">
        <f t="shared" si="31"/>
        <v>1</v>
      </c>
      <c r="N452" s="9" t="s">
        <v>539</v>
      </c>
      <c r="O452" s="9">
        <v>0</v>
      </c>
      <c r="P452" s="9">
        <v>1000</v>
      </c>
      <c r="Q452" s="13"/>
      <c r="R452" s="13"/>
      <c r="S452" s="13"/>
      <c r="T452" s="9" t="s">
        <v>34</v>
      </c>
      <c r="U452" s="13"/>
      <c r="V452" s="9" t="s">
        <v>30</v>
      </c>
      <c r="W452" s="13"/>
      <c r="X452" s="9">
        <v>2</v>
      </c>
    </row>
    <row r="453" spans="1:24">
      <c r="A453" s="13"/>
      <c r="B453" s="9" t="s">
        <v>2009</v>
      </c>
      <c r="C453" s="9" t="e">
        <f>VLOOKUP(B453,[1]RXNS!$B:$C,1,)</f>
        <v>#N/A</v>
      </c>
      <c r="D453" s="9" t="e">
        <f t="shared" si="28"/>
        <v>#N/A</v>
      </c>
      <c r="E453" s="9" t="e">
        <v>#N/A</v>
      </c>
      <c r="F453" s="9" t="s">
        <v>2010</v>
      </c>
      <c r="G453" s="9" t="e">
        <f t="shared" si="29"/>
        <v>#N/A</v>
      </c>
      <c r="H453" s="9" t="e">
        <f>VLOOKUP(B453,[1]RXNS!$B:$D,3,FALSE)</f>
        <v>#N/A</v>
      </c>
      <c r="I453" s="9" t="s">
        <v>2011</v>
      </c>
      <c r="J453" s="9" t="s">
        <v>2012</v>
      </c>
      <c r="K453" s="9" t="s">
        <v>2011</v>
      </c>
      <c r="L453" s="9" t="e">
        <f t="shared" si="30"/>
        <v>#N/A</v>
      </c>
      <c r="M453" s="9" t="b">
        <f t="shared" si="31"/>
        <v>1</v>
      </c>
      <c r="N453" s="9" t="s">
        <v>1651</v>
      </c>
      <c r="O453" s="9">
        <v>-1000</v>
      </c>
      <c r="P453" s="9">
        <v>1000</v>
      </c>
      <c r="Q453" s="13"/>
      <c r="R453" s="13"/>
      <c r="S453" s="13"/>
      <c r="T453" s="9" t="s">
        <v>34</v>
      </c>
      <c r="U453" s="13"/>
      <c r="V453" s="9" t="s">
        <v>30</v>
      </c>
      <c r="W453" s="13"/>
      <c r="X453" s="9">
        <v>2</v>
      </c>
    </row>
    <row r="454" spans="1:24">
      <c r="A454" s="13"/>
      <c r="B454" s="9" t="s">
        <v>2013</v>
      </c>
      <c r="C454" s="9" t="e">
        <f>VLOOKUP(B454,[1]RXNS!$B:$C,1,)</f>
        <v>#N/A</v>
      </c>
      <c r="D454" s="9" t="e">
        <f t="shared" si="28"/>
        <v>#N/A</v>
      </c>
      <c r="E454" s="9" t="e">
        <v>#N/A</v>
      </c>
      <c r="F454" s="9" t="s">
        <v>2014</v>
      </c>
      <c r="G454" s="9" t="e">
        <f t="shared" si="29"/>
        <v>#N/A</v>
      </c>
      <c r="H454" s="9" t="e">
        <f>VLOOKUP(B454,[1]RXNS!$B:$D,3,FALSE)</f>
        <v>#N/A</v>
      </c>
      <c r="I454" s="9" t="s">
        <v>2011</v>
      </c>
      <c r="J454" s="9" t="s">
        <v>2015</v>
      </c>
      <c r="K454" s="9" t="s">
        <v>2011</v>
      </c>
      <c r="L454" s="9" t="e">
        <f t="shared" si="30"/>
        <v>#N/A</v>
      </c>
      <c r="M454" s="9" t="b">
        <f t="shared" si="31"/>
        <v>1</v>
      </c>
      <c r="N454" s="9" t="s">
        <v>1651</v>
      </c>
      <c r="O454" s="9">
        <v>-1000</v>
      </c>
      <c r="P454" s="9">
        <v>1000</v>
      </c>
      <c r="Q454" s="13"/>
      <c r="R454" s="13"/>
      <c r="S454" s="13"/>
      <c r="T454" s="9" t="s">
        <v>34</v>
      </c>
      <c r="U454" s="13"/>
      <c r="V454" s="9" t="s">
        <v>30</v>
      </c>
      <c r="W454" s="13"/>
      <c r="X454" s="9">
        <v>2</v>
      </c>
    </row>
    <row r="455" spans="1:24">
      <c r="A455" s="13"/>
      <c r="B455" s="9" t="s">
        <v>2016</v>
      </c>
      <c r="C455" s="9" t="e">
        <f>VLOOKUP(B455,[1]RXNS!$B:$C,1,)</f>
        <v>#N/A</v>
      </c>
      <c r="D455" s="9" t="e">
        <f t="shared" si="28"/>
        <v>#N/A</v>
      </c>
      <c r="E455" s="9" t="e">
        <v>#N/A</v>
      </c>
      <c r="F455" s="9" t="s">
        <v>2017</v>
      </c>
      <c r="G455" s="9" t="e">
        <f t="shared" si="29"/>
        <v>#N/A</v>
      </c>
      <c r="H455" s="9" t="e">
        <f>VLOOKUP(B455,[1]RXNS!$B:$D,3,FALSE)</f>
        <v>#N/A</v>
      </c>
      <c r="I455" s="9" t="s">
        <v>2018</v>
      </c>
      <c r="J455" s="9" t="s">
        <v>2019</v>
      </c>
      <c r="K455" s="9" t="s">
        <v>2018</v>
      </c>
      <c r="L455" s="9" t="e">
        <f t="shared" si="30"/>
        <v>#N/A</v>
      </c>
      <c r="M455" s="9" t="b">
        <f t="shared" si="31"/>
        <v>1</v>
      </c>
      <c r="N455" s="9" t="s">
        <v>1651</v>
      </c>
      <c r="O455" s="9">
        <v>-1000</v>
      </c>
      <c r="P455" s="9">
        <v>1000</v>
      </c>
      <c r="Q455" s="13"/>
      <c r="R455" s="13"/>
      <c r="S455" s="13"/>
      <c r="T455" s="9" t="s">
        <v>34</v>
      </c>
      <c r="U455" s="13"/>
      <c r="V455" s="9" t="s">
        <v>30</v>
      </c>
      <c r="W455" s="13"/>
      <c r="X455" s="9">
        <v>2</v>
      </c>
    </row>
    <row r="456" spans="1:24">
      <c r="A456" s="13"/>
      <c r="B456" s="9" t="s">
        <v>2020</v>
      </c>
      <c r="C456" s="9" t="e">
        <f>VLOOKUP(B456,[1]RXNS!$B:$C,1,)</f>
        <v>#N/A</v>
      </c>
      <c r="D456" s="9" t="e">
        <f t="shared" si="28"/>
        <v>#N/A</v>
      </c>
      <c r="E456" s="9" t="e">
        <v>#N/A</v>
      </c>
      <c r="F456" s="9" t="s">
        <v>2021</v>
      </c>
      <c r="G456" s="9" t="e">
        <f t="shared" si="29"/>
        <v>#N/A</v>
      </c>
      <c r="H456" s="9" t="e">
        <f>VLOOKUP(B456,[1]RXNS!$B:$D,3,FALSE)</f>
        <v>#N/A</v>
      </c>
      <c r="I456" s="9" t="e">
        <f>VLOOKUP(B456,[1]RXNS!$B:$E,4,FALSE)</f>
        <v>#N/A</v>
      </c>
      <c r="J456" s="9" t="s">
        <v>2022</v>
      </c>
      <c r="K456" s="13"/>
      <c r="L456" s="9" t="e">
        <f t="shared" si="30"/>
        <v>#N/A</v>
      </c>
      <c r="M456" s="9" t="e">
        <f t="shared" si="31"/>
        <v>#N/A</v>
      </c>
      <c r="N456" s="9" t="s">
        <v>2023</v>
      </c>
      <c r="O456" s="9">
        <v>0</v>
      </c>
      <c r="P456" s="9">
        <v>1000</v>
      </c>
      <c r="Q456" s="13"/>
      <c r="R456" s="13"/>
      <c r="S456" s="13"/>
      <c r="T456" s="9" t="s">
        <v>1272</v>
      </c>
      <c r="U456" s="13"/>
      <c r="V456" s="9" t="s">
        <v>30</v>
      </c>
      <c r="W456" s="13"/>
      <c r="X456" s="9">
        <v>2</v>
      </c>
    </row>
    <row r="457" spans="1:24">
      <c r="A457" s="13"/>
      <c r="B457" s="9" t="s">
        <v>2024</v>
      </c>
      <c r="C457" s="9" t="e">
        <f>VLOOKUP(B457,[1]RXNS!$B:$C,1,)</f>
        <v>#N/A</v>
      </c>
      <c r="D457" s="9" t="e">
        <f t="shared" si="28"/>
        <v>#N/A</v>
      </c>
      <c r="E457" s="9" t="e">
        <v>#N/A</v>
      </c>
      <c r="F457" s="9" t="s">
        <v>2025</v>
      </c>
      <c r="G457" s="9" t="e">
        <f t="shared" si="29"/>
        <v>#N/A</v>
      </c>
      <c r="H457" s="9" t="e">
        <f>VLOOKUP(B457,[1]RXNS!$B:$D,3,FALSE)</f>
        <v>#N/A</v>
      </c>
      <c r="I457" s="9" t="e">
        <f>VLOOKUP(B457,[1]RXNS!$B:$E,4,FALSE)</f>
        <v>#N/A</v>
      </c>
      <c r="J457" s="9" t="s">
        <v>2026</v>
      </c>
      <c r="K457" s="13"/>
      <c r="L457" s="9" t="e">
        <f t="shared" si="30"/>
        <v>#N/A</v>
      </c>
      <c r="M457" s="9" t="e">
        <f t="shared" si="31"/>
        <v>#N/A</v>
      </c>
      <c r="N457" s="9" t="s">
        <v>2027</v>
      </c>
      <c r="O457" s="9">
        <v>0</v>
      </c>
      <c r="P457" s="9">
        <v>1000</v>
      </c>
      <c r="Q457" s="13"/>
      <c r="R457" s="13"/>
      <c r="S457" s="13"/>
      <c r="T457" s="9" t="s">
        <v>1272</v>
      </c>
      <c r="U457" s="13"/>
      <c r="V457" s="9" t="s">
        <v>30</v>
      </c>
      <c r="W457" s="13"/>
      <c r="X457" s="9">
        <v>2</v>
      </c>
    </row>
    <row r="458" spans="1:24">
      <c r="A458" s="13"/>
      <c r="B458" s="9" t="s">
        <v>2028</v>
      </c>
      <c r="C458" s="9" t="e">
        <f>VLOOKUP(B458,[1]RXNS!$B:$C,1,)</f>
        <v>#N/A</v>
      </c>
      <c r="D458" s="9" t="e">
        <f t="shared" si="28"/>
        <v>#N/A</v>
      </c>
      <c r="E458" s="9" t="e">
        <v>#N/A</v>
      </c>
      <c r="F458" s="9" t="s">
        <v>2029</v>
      </c>
      <c r="G458" s="9" t="e">
        <f t="shared" si="29"/>
        <v>#N/A</v>
      </c>
      <c r="H458" s="9" t="e">
        <f>VLOOKUP(B458,[1]RXNS!$B:$D,3,FALSE)</f>
        <v>#N/A</v>
      </c>
      <c r="I458" s="9" t="s">
        <v>2030</v>
      </c>
      <c r="J458" s="9" t="s">
        <v>2031</v>
      </c>
      <c r="K458" s="9" t="s">
        <v>2030</v>
      </c>
      <c r="L458" s="9" t="e">
        <f t="shared" si="30"/>
        <v>#N/A</v>
      </c>
      <c r="M458" s="9" t="b">
        <f t="shared" si="31"/>
        <v>1</v>
      </c>
      <c r="N458" s="9" t="s">
        <v>2032</v>
      </c>
      <c r="O458" s="9">
        <v>0</v>
      </c>
      <c r="P458" s="9">
        <v>1000</v>
      </c>
      <c r="Q458" s="13"/>
      <c r="R458" s="13"/>
      <c r="S458" s="13"/>
      <c r="T458" s="9" t="s">
        <v>1272</v>
      </c>
      <c r="U458" s="13"/>
      <c r="V458" s="9" t="s">
        <v>30</v>
      </c>
      <c r="W458" s="13"/>
      <c r="X458" s="9">
        <v>2</v>
      </c>
    </row>
    <row r="459" spans="1:24">
      <c r="A459" s="13"/>
      <c r="B459" s="9" t="s">
        <v>2033</v>
      </c>
      <c r="C459" s="9" t="e">
        <f>VLOOKUP(B459,[1]RXNS!$B:$C,1,)</f>
        <v>#N/A</v>
      </c>
      <c r="D459" s="9" t="e">
        <f t="shared" si="28"/>
        <v>#N/A</v>
      </c>
      <c r="E459" s="9" t="e">
        <v>#N/A</v>
      </c>
      <c r="F459" s="9" t="s">
        <v>2034</v>
      </c>
      <c r="G459" s="9" t="e">
        <f t="shared" si="29"/>
        <v>#N/A</v>
      </c>
      <c r="H459" s="9" t="e">
        <f>VLOOKUP(B459,[1]RXNS!$B:$D,3,FALSE)</f>
        <v>#N/A</v>
      </c>
      <c r="I459" s="9" t="e">
        <f>VLOOKUP(B459,[1]RXNS!$B:$E,4,FALSE)</f>
        <v>#N/A</v>
      </c>
      <c r="J459" s="9" t="s">
        <v>2035</v>
      </c>
      <c r="K459" s="13"/>
      <c r="L459" s="9" t="e">
        <f t="shared" si="30"/>
        <v>#N/A</v>
      </c>
      <c r="M459" s="9" t="e">
        <f t="shared" si="31"/>
        <v>#N/A</v>
      </c>
      <c r="N459" s="9" t="s">
        <v>2036</v>
      </c>
      <c r="O459" s="9">
        <v>0</v>
      </c>
      <c r="P459" s="9">
        <v>1000</v>
      </c>
      <c r="Q459" s="13"/>
      <c r="R459" s="13"/>
      <c r="S459" s="13"/>
      <c r="T459" s="9" t="s">
        <v>520</v>
      </c>
      <c r="U459" s="13"/>
      <c r="V459" s="9" t="s">
        <v>30</v>
      </c>
      <c r="W459" s="13"/>
      <c r="X459" s="9">
        <v>2</v>
      </c>
    </row>
    <row r="460" spans="1:24">
      <c r="A460" s="13"/>
      <c r="B460" s="9" t="s">
        <v>2037</v>
      </c>
      <c r="C460" s="9" t="e">
        <f>VLOOKUP(B460,[1]RXNS!$B:$C,1,)</f>
        <v>#N/A</v>
      </c>
      <c r="D460" s="9" t="e">
        <f t="shared" si="28"/>
        <v>#N/A</v>
      </c>
      <c r="E460" s="9" t="e">
        <v>#N/A</v>
      </c>
      <c r="F460" s="9" t="s">
        <v>2038</v>
      </c>
      <c r="G460" s="9" t="e">
        <f t="shared" si="29"/>
        <v>#N/A</v>
      </c>
      <c r="H460" s="9" t="e">
        <f>VLOOKUP(B460,[1]RXNS!$B:$D,3,FALSE)</f>
        <v>#N/A</v>
      </c>
      <c r="I460" s="9" t="s">
        <v>2039</v>
      </c>
      <c r="J460" s="9" t="s">
        <v>2040</v>
      </c>
      <c r="K460" s="9" t="s">
        <v>2039</v>
      </c>
      <c r="L460" s="9" t="e">
        <f t="shared" si="30"/>
        <v>#N/A</v>
      </c>
      <c r="M460" s="9" t="b">
        <f t="shared" si="31"/>
        <v>1</v>
      </c>
      <c r="N460" s="13"/>
      <c r="O460" s="9">
        <v>-1000</v>
      </c>
      <c r="P460" s="9">
        <v>1000</v>
      </c>
      <c r="Q460" s="13"/>
      <c r="R460" s="13"/>
      <c r="S460" s="13"/>
      <c r="T460" s="9" t="s">
        <v>830</v>
      </c>
      <c r="U460" s="13"/>
      <c r="V460" s="9" t="s">
        <v>35</v>
      </c>
      <c r="W460" s="13"/>
      <c r="X460" s="9">
        <v>2</v>
      </c>
    </row>
    <row r="461" spans="1:24">
      <c r="A461" s="13"/>
      <c r="B461" s="9" t="s">
        <v>2041</v>
      </c>
      <c r="C461" s="9" t="e">
        <f>VLOOKUP(B461,[1]RXNS!$B:$C,1,)</f>
        <v>#N/A</v>
      </c>
      <c r="D461" s="9" t="e">
        <f t="shared" si="28"/>
        <v>#N/A</v>
      </c>
      <c r="E461" s="9" t="e">
        <v>#N/A</v>
      </c>
      <c r="F461" s="9" t="s">
        <v>2042</v>
      </c>
      <c r="G461" s="9" t="e">
        <f t="shared" si="29"/>
        <v>#N/A</v>
      </c>
      <c r="H461" s="9" t="e">
        <f>VLOOKUP(B461,[1]RXNS!$B:$D,3,FALSE)</f>
        <v>#N/A</v>
      </c>
      <c r="I461" s="9" t="e">
        <f>VLOOKUP(B461,[1]RXNS!$B:$E,4,FALSE)</f>
        <v>#N/A</v>
      </c>
      <c r="J461" s="9" t="s">
        <v>2043</v>
      </c>
      <c r="K461" s="13"/>
      <c r="L461" s="9" t="e">
        <f t="shared" si="30"/>
        <v>#N/A</v>
      </c>
      <c r="M461" s="9" t="e">
        <f t="shared" si="31"/>
        <v>#N/A</v>
      </c>
      <c r="N461" s="9" t="s">
        <v>1261</v>
      </c>
      <c r="O461" s="9">
        <v>-1000</v>
      </c>
      <c r="P461" s="9">
        <v>1000</v>
      </c>
      <c r="Q461" s="13"/>
      <c r="R461" s="13"/>
      <c r="S461" s="13"/>
      <c r="T461" s="9" t="s">
        <v>1296</v>
      </c>
      <c r="U461" s="13"/>
      <c r="V461" s="9" t="s">
        <v>30</v>
      </c>
      <c r="W461" s="13"/>
      <c r="X461" s="9">
        <v>2</v>
      </c>
    </row>
    <row r="462" spans="1:24">
      <c r="A462" s="13"/>
      <c r="B462" s="9" t="s">
        <v>2044</v>
      </c>
      <c r="C462" s="9" t="e">
        <f>VLOOKUP(B462,[1]RXNS!$B:$C,1,)</f>
        <v>#N/A</v>
      </c>
      <c r="D462" s="9" t="e">
        <f t="shared" si="28"/>
        <v>#N/A</v>
      </c>
      <c r="E462" s="9" t="e">
        <v>#N/A</v>
      </c>
      <c r="F462" s="9" t="s">
        <v>2045</v>
      </c>
      <c r="G462" s="9" t="e">
        <f t="shared" si="29"/>
        <v>#N/A</v>
      </c>
      <c r="H462" s="9" t="e">
        <f>VLOOKUP(B462,[1]RXNS!$B:$D,3,FALSE)</f>
        <v>#N/A</v>
      </c>
      <c r="I462" s="9" t="s">
        <v>2046</v>
      </c>
      <c r="J462" s="9" t="s">
        <v>2047</v>
      </c>
      <c r="K462" s="9" t="s">
        <v>2046</v>
      </c>
      <c r="L462" s="9" t="e">
        <f t="shared" si="30"/>
        <v>#N/A</v>
      </c>
      <c r="M462" s="9" t="b">
        <f t="shared" si="31"/>
        <v>1</v>
      </c>
      <c r="N462" s="9" t="s">
        <v>2048</v>
      </c>
      <c r="O462" s="9">
        <v>0</v>
      </c>
      <c r="P462" s="9">
        <v>1000</v>
      </c>
      <c r="Q462" s="13"/>
      <c r="R462" s="13"/>
      <c r="S462" s="13"/>
      <c r="T462" s="9" t="s">
        <v>1370</v>
      </c>
      <c r="U462" s="13"/>
      <c r="V462" s="9" t="s">
        <v>30</v>
      </c>
      <c r="W462" s="13"/>
      <c r="X462" s="9">
        <v>2</v>
      </c>
    </row>
    <row r="463" spans="1:24">
      <c r="A463" s="13"/>
      <c r="B463" s="9" t="s">
        <v>2049</v>
      </c>
      <c r="C463" s="9" t="e">
        <f>VLOOKUP(B463,[1]RXNS!$B:$C,1,)</f>
        <v>#N/A</v>
      </c>
      <c r="D463" s="9" t="e">
        <f t="shared" si="28"/>
        <v>#N/A</v>
      </c>
      <c r="E463" s="9" t="e">
        <v>#N/A</v>
      </c>
      <c r="F463" s="9" t="s">
        <v>2050</v>
      </c>
      <c r="G463" s="9" t="e">
        <f t="shared" si="29"/>
        <v>#N/A</v>
      </c>
      <c r="H463" s="9" t="e">
        <f>VLOOKUP(B463,[1]RXNS!$B:$D,3,FALSE)</f>
        <v>#N/A</v>
      </c>
      <c r="I463" s="9" t="s">
        <v>2051</v>
      </c>
      <c r="J463" s="9" t="s">
        <v>2052</v>
      </c>
      <c r="K463" s="9" t="s">
        <v>2051</v>
      </c>
      <c r="L463" s="9" t="e">
        <f t="shared" si="30"/>
        <v>#N/A</v>
      </c>
      <c r="M463" s="9" t="b">
        <f t="shared" si="31"/>
        <v>1</v>
      </c>
      <c r="N463" s="9" t="s">
        <v>1336</v>
      </c>
      <c r="O463" s="9">
        <v>-1000</v>
      </c>
      <c r="P463" s="9">
        <v>1000</v>
      </c>
      <c r="Q463" s="13"/>
      <c r="R463" s="13"/>
      <c r="S463" s="13"/>
      <c r="T463" s="9" t="s">
        <v>785</v>
      </c>
      <c r="U463" s="13"/>
      <c r="V463" s="9" t="s">
        <v>30</v>
      </c>
      <c r="W463" s="13"/>
      <c r="X463" s="9">
        <v>2</v>
      </c>
    </row>
    <row r="464" spans="1:24">
      <c r="A464" s="13"/>
      <c r="B464" s="9" t="s">
        <v>2053</v>
      </c>
      <c r="C464" s="9" t="e">
        <f>VLOOKUP(B464,[1]RXNS!$B:$C,1,)</f>
        <v>#N/A</v>
      </c>
      <c r="D464" s="9" t="e">
        <f t="shared" si="28"/>
        <v>#N/A</v>
      </c>
      <c r="E464" s="9" t="e">
        <v>#N/A</v>
      </c>
      <c r="F464" s="9" t="s">
        <v>2054</v>
      </c>
      <c r="G464" s="9" t="e">
        <f t="shared" si="29"/>
        <v>#N/A</v>
      </c>
      <c r="H464" s="9" t="e">
        <f>VLOOKUP(B464,[1]RXNS!$B:$D,3,FALSE)</f>
        <v>#N/A</v>
      </c>
      <c r="I464" s="9" t="s">
        <v>2055</v>
      </c>
      <c r="J464" s="9" t="s">
        <v>2056</v>
      </c>
      <c r="K464" s="9" t="s">
        <v>2055</v>
      </c>
      <c r="L464" s="9" t="e">
        <f t="shared" si="30"/>
        <v>#N/A</v>
      </c>
      <c r="M464" s="9" t="b">
        <f t="shared" si="31"/>
        <v>1</v>
      </c>
      <c r="N464" s="9" t="s">
        <v>2057</v>
      </c>
      <c r="O464" s="9">
        <v>0</v>
      </c>
      <c r="P464" s="9">
        <v>1000</v>
      </c>
      <c r="Q464" s="13"/>
      <c r="R464" s="13"/>
      <c r="S464" s="13"/>
      <c r="T464" s="9" t="s">
        <v>228</v>
      </c>
      <c r="U464" s="13"/>
      <c r="V464" s="9" t="s">
        <v>30</v>
      </c>
      <c r="W464" s="13"/>
      <c r="X464" s="9">
        <v>2</v>
      </c>
    </row>
    <row r="465" spans="1:24">
      <c r="A465" s="13"/>
      <c r="B465" s="9" t="s">
        <v>2058</v>
      </c>
      <c r="C465" s="9" t="e">
        <f>VLOOKUP(B465,[1]RXNS!$B:$C,1,)</f>
        <v>#N/A</v>
      </c>
      <c r="D465" s="9" t="e">
        <f t="shared" si="28"/>
        <v>#N/A</v>
      </c>
      <c r="E465" s="9" t="e">
        <v>#N/A</v>
      </c>
      <c r="F465" s="9" t="s">
        <v>2059</v>
      </c>
      <c r="G465" s="9" t="e">
        <f t="shared" si="29"/>
        <v>#N/A</v>
      </c>
      <c r="H465" s="9" t="e">
        <f>VLOOKUP(B465,[1]RXNS!$B:$D,3,FALSE)</f>
        <v>#N/A</v>
      </c>
      <c r="I465" s="9" t="s">
        <v>2060</v>
      </c>
      <c r="J465" s="9" t="s">
        <v>2061</v>
      </c>
      <c r="K465" s="9" t="s">
        <v>2060</v>
      </c>
      <c r="L465" s="9" t="e">
        <f t="shared" si="30"/>
        <v>#N/A</v>
      </c>
      <c r="M465" s="9" t="b">
        <f t="shared" si="31"/>
        <v>1</v>
      </c>
      <c r="N465" s="9" t="s">
        <v>2062</v>
      </c>
      <c r="O465" s="9">
        <v>0</v>
      </c>
      <c r="P465" s="9">
        <v>1000</v>
      </c>
      <c r="Q465" s="13"/>
      <c r="R465" s="13"/>
      <c r="S465" s="13"/>
      <c r="T465" s="9" t="s">
        <v>330</v>
      </c>
      <c r="U465" s="13"/>
      <c r="V465" s="9" t="s">
        <v>30</v>
      </c>
      <c r="W465" s="13"/>
      <c r="X465" s="9">
        <v>2</v>
      </c>
    </row>
    <row r="466" spans="1:24">
      <c r="A466" s="13"/>
      <c r="B466" s="9" t="s">
        <v>2063</v>
      </c>
      <c r="C466" s="9" t="e">
        <f>VLOOKUP(B466,[1]RXNS!$B:$C,1,)</f>
        <v>#N/A</v>
      </c>
      <c r="D466" s="9" t="e">
        <f t="shared" si="28"/>
        <v>#N/A</v>
      </c>
      <c r="E466" s="9" t="e">
        <v>#N/A</v>
      </c>
      <c r="F466" s="9" t="s">
        <v>2064</v>
      </c>
      <c r="G466" s="9" t="e">
        <f t="shared" si="29"/>
        <v>#N/A</v>
      </c>
      <c r="H466" s="9" t="e">
        <f>VLOOKUP(B466,[1]RXNS!$B:$D,3,FALSE)</f>
        <v>#N/A</v>
      </c>
      <c r="I466" s="9" t="s">
        <v>1366</v>
      </c>
      <c r="J466" s="9" t="s">
        <v>2065</v>
      </c>
      <c r="K466" s="9" t="s">
        <v>1366</v>
      </c>
      <c r="L466" s="9" t="e">
        <f t="shared" si="30"/>
        <v>#N/A</v>
      </c>
      <c r="M466" s="9" t="b">
        <f t="shared" si="31"/>
        <v>1</v>
      </c>
      <c r="N466" s="9" t="s">
        <v>1368</v>
      </c>
      <c r="O466" s="9">
        <v>0</v>
      </c>
      <c r="P466" s="9">
        <v>1000</v>
      </c>
      <c r="Q466" s="13"/>
      <c r="R466" s="13"/>
      <c r="S466" s="13"/>
      <c r="T466" s="9" t="s">
        <v>1370</v>
      </c>
      <c r="U466" s="13"/>
      <c r="V466" s="9" t="s">
        <v>30</v>
      </c>
      <c r="W466" s="13"/>
      <c r="X466" s="9">
        <v>2</v>
      </c>
    </row>
    <row r="467" spans="1:24">
      <c r="A467" s="13"/>
      <c r="B467" s="9" t="s">
        <v>2066</v>
      </c>
      <c r="C467" s="9" t="e">
        <f>VLOOKUP(B467,[1]RXNS!$B:$C,1,)</f>
        <v>#N/A</v>
      </c>
      <c r="D467" s="9" t="e">
        <f t="shared" si="28"/>
        <v>#N/A</v>
      </c>
      <c r="E467" s="9" t="e">
        <v>#N/A</v>
      </c>
      <c r="F467" s="9" t="s">
        <v>2067</v>
      </c>
      <c r="G467" s="9" t="e">
        <f t="shared" si="29"/>
        <v>#N/A</v>
      </c>
      <c r="H467" s="9" t="e">
        <f>VLOOKUP(B467,[1]RXNS!$B:$D,3,FALSE)</f>
        <v>#N/A</v>
      </c>
      <c r="I467" s="9" t="s">
        <v>1631</v>
      </c>
      <c r="J467" s="9" t="s">
        <v>2068</v>
      </c>
      <c r="K467" s="9" t="s">
        <v>1631</v>
      </c>
      <c r="L467" s="9" t="e">
        <f t="shared" si="30"/>
        <v>#N/A</v>
      </c>
      <c r="M467" s="9" t="b">
        <f t="shared" si="31"/>
        <v>1</v>
      </c>
      <c r="N467" s="9" t="s">
        <v>2069</v>
      </c>
      <c r="O467" s="9">
        <v>0</v>
      </c>
      <c r="P467" s="9">
        <v>1000</v>
      </c>
      <c r="Q467" s="13"/>
      <c r="R467" s="13"/>
      <c r="S467" s="13"/>
      <c r="T467" s="9" t="s">
        <v>648</v>
      </c>
      <c r="U467" s="13"/>
      <c r="V467" s="9" t="s">
        <v>30</v>
      </c>
      <c r="W467" s="13"/>
      <c r="X467" s="9">
        <v>2</v>
      </c>
    </row>
    <row r="468" spans="1:24">
      <c r="A468" s="13"/>
      <c r="B468" s="9" t="s">
        <v>2070</v>
      </c>
      <c r="C468" s="9" t="e">
        <f>VLOOKUP(B468,[1]RXNS!$B:$C,1,)</f>
        <v>#N/A</v>
      </c>
      <c r="D468" s="9" t="e">
        <f t="shared" si="28"/>
        <v>#N/A</v>
      </c>
      <c r="E468" s="9" t="e">
        <v>#N/A</v>
      </c>
      <c r="F468" s="9" t="s">
        <v>2071</v>
      </c>
      <c r="G468" s="9" t="e">
        <f t="shared" si="29"/>
        <v>#N/A</v>
      </c>
      <c r="H468" s="9" t="e">
        <f>VLOOKUP(B468,[1]RXNS!$B:$D,3,FALSE)</f>
        <v>#N/A</v>
      </c>
      <c r="I468" s="9" t="s">
        <v>1324</v>
      </c>
      <c r="J468" s="9" t="s">
        <v>2072</v>
      </c>
      <c r="K468" s="9" t="s">
        <v>1324</v>
      </c>
      <c r="L468" s="9" t="e">
        <f t="shared" si="30"/>
        <v>#N/A</v>
      </c>
      <c r="M468" s="9" t="b">
        <f t="shared" si="31"/>
        <v>1</v>
      </c>
      <c r="N468" s="9" t="s">
        <v>1326</v>
      </c>
      <c r="O468" s="9">
        <v>0</v>
      </c>
      <c r="P468" s="9">
        <v>1000</v>
      </c>
      <c r="Q468" s="13"/>
      <c r="R468" s="13"/>
      <c r="S468" s="13"/>
      <c r="T468" s="9" t="s">
        <v>648</v>
      </c>
      <c r="U468" s="13"/>
      <c r="V468" s="9" t="s">
        <v>30</v>
      </c>
      <c r="W468" s="13"/>
      <c r="X468" s="9">
        <v>2</v>
      </c>
    </row>
    <row r="469" spans="1:24">
      <c r="A469" s="13"/>
      <c r="B469" s="9" t="s">
        <v>2073</v>
      </c>
      <c r="C469" s="9" t="e">
        <f>VLOOKUP(B469,[1]RXNS!$B:$C,1,)</f>
        <v>#N/A</v>
      </c>
      <c r="D469" s="9" t="e">
        <f t="shared" si="28"/>
        <v>#N/A</v>
      </c>
      <c r="E469" s="9" t="e">
        <v>#N/A</v>
      </c>
      <c r="F469" s="9" t="s">
        <v>2074</v>
      </c>
      <c r="G469" s="9" t="e">
        <f t="shared" si="29"/>
        <v>#N/A</v>
      </c>
      <c r="H469" s="9" t="e">
        <f>VLOOKUP(B469,[1]RXNS!$B:$D,3,FALSE)</f>
        <v>#N/A</v>
      </c>
      <c r="I469" s="9" t="s">
        <v>1441</v>
      </c>
      <c r="J469" s="9" t="s">
        <v>2075</v>
      </c>
      <c r="K469" s="9" t="s">
        <v>1441</v>
      </c>
      <c r="L469" s="9" t="e">
        <f t="shared" si="30"/>
        <v>#N/A</v>
      </c>
      <c r="M469" s="9" t="b">
        <f t="shared" si="31"/>
        <v>1</v>
      </c>
      <c r="N469" s="9" t="s">
        <v>2076</v>
      </c>
      <c r="O469" s="9">
        <v>-1000</v>
      </c>
      <c r="P469" s="9">
        <v>1000</v>
      </c>
      <c r="Q469" s="13"/>
      <c r="R469" s="13"/>
      <c r="S469" s="13"/>
      <c r="T469" s="9" t="s">
        <v>153</v>
      </c>
      <c r="U469" s="13"/>
      <c r="V469" s="9" t="s">
        <v>30</v>
      </c>
      <c r="W469" s="13"/>
      <c r="X469" s="9">
        <v>2</v>
      </c>
    </row>
    <row r="470" spans="1:24">
      <c r="A470" s="13"/>
      <c r="B470" s="9" t="s">
        <v>2077</v>
      </c>
      <c r="C470" s="9" t="e">
        <f>VLOOKUP(B470,[1]RXNS!$B:$C,1,)</f>
        <v>#N/A</v>
      </c>
      <c r="D470" s="9" t="e">
        <f t="shared" si="28"/>
        <v>#N/A</v>
      </c>
      <c r="E470" s="9" t="e">
        <v>#N/A</v>
      </c>
      <c r="F470" s="9" t="s">
        <v>2078</v>
      </c>
      <c r="G470" s="9" t="e">
        <f t="shared" si="29"/>
        <v>#N/A</v>
      </c>
      <c r="H470" s="9" t="e">
        <f>VLOOKUP(B470,[1]RXNS!$B:$D,3,FALSE)</f>
        <v>#N/A</v>
      </c>
      <c r="I470" s="9" t="e">
        <f>VLOOKUP(B470,[1]RXNS!$B:$E,4,FALSE)</f>
        <v>#N/A</v>
      </c>
      <c r="J470" s="9" t="s">
        <v>2079</v>
      </c>
      <c r="K470" s="13"/>
      <c r="L470" s="9" t="e">
        <f t="shared" si="30"/>
        <v>#N/A</v>
      </c>
      <c r="M470" s="9" t="e">
        <f t="shared" si="31"/>
        <v>#N/A</v>
      </c>
      <c r="N470" s="9" t="s">
        <v>2080</v>
      </c>
      <c r="O470" s="9">
        <v>0</v>
      </c>
      <c r="P470" s="9">
        <v>1000</v>
      </c>
      <c r="Q470" s="13"/>
      <c r="R470" s="13"/>
      <c r="S470" s="13"/>
      <c r="T470" s="9" t="s">
        <v>278</v>
      </c>
      <c r="U470" s="13"/>
      <c r="V470" s="9" t="s">
        <v>30</v>
      </c>
      <c r="W470" s="13"/>
      <c r="X470" s="9">
        <v>2</v>
      </c>
    </row>
    <row r="471" spans="1:24">
      <c r="A471" s="13"/>
      <c r="B471" s="9" t="s">
        <v>2081</v>
      </c>
      <c r="C471" s="9" t="e">
        <f>VLOOKUP(B471,[1]RXNS!$B:$C,1,)</f>
        <v>#N/A</v>
      </c>
      <c r="D471" s="9" t="e">
        <f t="shared" si="28"/>
        <v>#N/A</v>
      </c>
      <c r="E471" s="9" t="e">
        <v>#N/A</v>
      </c>
      <c r="F471" s="9" t="s">
        <v>2082</v>
      </c>
      <c r="G471" s="9" t="e">
        <f t="shared" si="29"/>
        <v>#N/A</v>
      </c>
      <c r="H471" s="9" t="e">
        <f>VLOOKUP(B471,[1]RXNS!$B:$D,3,FALSE)</f>
        <v>#N/A</v>
      </c>
      <c r="I471" s="9" t="e">
        <f>VLOOKUP(B471,[1]RXNS!$B:$E,4,FALSE)</f>
        <v>#N/A</v>
      </c>
      <c r="J471" s="9" t="s">
        <v>2083</v>
      </c>
      <c r="K471" s="13"/>
      <c r="L471" s="9" t="e">
        <f t="shared" si="30"/>
        <v>#N/A</v>
      </c>
      <c r="M471" s="9" t="e">
        <f t="shared" si="31"/>
        <v>#N/A</v>
      </c>
      <c r="N471" s="9" t="s">
        <v>2084</v>
      </c>
      <c r="O471" s="9">
        <v>-1000</v>
      </c>
      <c r="P471" s="9">
        <v>1000</v>
      </c>
      <c r="Q471" s="13"/>
      <c r="R471" s="13"/>
      <c r="S471" s="13"/>
      <c r="T471" s="9" t="s">
        <v>1276</v>
      </c>
      <c r="U471" s="13"/>
      <c r="V471" s="9" t="s">
        <v>30</v>
      </c>
      <c r="W471" s="13"/>
      <c r="X471" s="9">
        <v>2</v>
      </c>
    </row>
    <row r="472" spans="1:24">
      <c r="A472" s="13"/>
      <c r="B472" s="9" t="s">
        <v>2085</v>
      </c>
      <c r="C472" s="9" t="e">
        <f>VLOOKUP(B472,[1]RXNS!$B:$C,1,)</f>
        <v>#N/A</v>
      </c>
      <c r="D472" s="9" t="e">
        <f t="shared" si="28"/>
        <v>#N/A</v>
      </c>
      <c r="E472" s="9" t="e">
        <v>#N/A</v>
      </c>
      <c r="F472" s="9" t="s">
        <v>2086</v>
      </c>
      <c r="G472" s="9" t="e">
        <f t="shared" si="29"/>
        <v>#N/A</v>
      </c>
      <c r="H472" s="9" t="e">
        <f>VLOOKUP(B472,[1]RXNS!$B:$D,3,FALSE)</f>
        <v>#N/A</v>
      </c>
      <c r="I472" s="9" t="s">
        <v>431</v>
      </c>
      <c r="J472" s="9" t="s">
        <v>2087</v>
      </c>
      <c r="K472" s="9" t="s">
        <v>431</v>
      </c>
      <c r="L472" s="9" t="e">
        <f t="shared" si="30"/>
        <v>#N/A</v>
      </c>
      <c r="M472" s="9" t="b">
        <f t="shared" si="31"/>
        <v>1</v>
      </c>
      <c r="N472" s="9" t="s">
        <v>2088</v>
      </c>
      <c r="O472" s="9">
        <v>0</v>
      </c>
      <c r="P472" s="9">
        <v>1000</v>
      </c>
      <c r="Q472" s="13"/>
      <c r="R472" s="13"/>
      <c r="S472" s="13"/>
      <c r="T472" s="9" t="s">
        <v>1276</v>
      </c>
      <c r="U472" s="13"/>
      <c r="V472" s="9" t="s">
        <v>30</v>
      </c>
      <c r="W472" s="13"/>
      <c r="X472" s="9">
        <v>2</v>
      </c>
    </row>
    <row r="473" spans="1:24">
      <c r="A473" s="13"/>
      <c r="B473" s="9" t="s">
        <v>2089</v>
      </c>
      <c r="C473" s="9" t="e">
        <f>VLOOKUP(B473,[1]RXNS!$B:$C,1,)</f>
        <v>#N/A</v>
      </c>
      <c r="D473" s="9" t="e">
        <f t="shared" si="28"/>
        <v>#N/A</v>
      </c>
      <c r="E473" s="9" t="e">
        <v>#N/A</v>
      </c>
      <c r="F473" s="9" t="s">
        <v>2090</v>
      </c>
      <c r="G473" s="9" t="e">
        <f t="shared" si="29"/>
        <v>#N/A</v>
      </c>
      <c r="H473" s="9" t="e">
        <f>VLOOKUP(B473,[1]RXNS!$B:$D,3,FALSE)</f>
        <v>#N/A</v>
      </c>
      <c r="I473" s="9" t="s">
        <v>2091</v>
      </c>
      <c r="J473" s="9" t="s">
        <v>2092</v>
      </c>
      <c r="K473" s="9" t="s">
        <v>2091</v>
      </c>
      <c r="L473" s="9" t="e">
        <f t="shared" si="30"/>
        <v>#N/A</v>
      </c>
      <c r="M473" s="9" t="b">
        <f t="shared" si="31"/>
        <v>1</v>
      </c>
      <c r="N473" s="9" t="s">
        <v>1540</v>
      </c>
      <c r="O473" s="9">
        <v>0</v>
      </c>
      <c r="P473" s="9">
        <v>1000</v>
      </c>
      <c r="Q473" s="13"/>
      <c r="R473" s="13"/>
      <c r="S473" s="13"/>
      <c r="T473" s="9" t="s">
        <v>398</v>
      </c>
      <c r="U473" s="13"/>
      <c r="V473" s="9" t="s">
        <v>30</v>
      </c>
      <c r="W473" s="13"/>
      <c r="X473" s="9">
        <v>2</v>
      </c>
    </row>
    <row r="474" spans="1:24">
      <c r="A474" s="13"/>
      <c r="B474" s="9" t="s">
        <v>2093</v>
      </c>
      <c r="C474" s="9" t="e">
        <f>VLOOKUP(B474,[1]RXNS!$B:$C,1,)</f>
        <v>#N/A</v>
      </c>
      <c r="D474" s="9" t="e">
        <f t="shared" si="28"/>
        <v>#N/A</v>
      </c>
      <c r="E474" s="9" t="e">
        <v>#N/A</v>
      </c>
      <c r="F474" s="9" t="s">
        <v>2094</v>
      </c>
      <c r="G474" s="9" t="e">
        <f t="shared" si="29"/>
        <v>#N/A</v>
      </c>
      <c r="H474" s="9" t="e">
        <f>VLOOKUP(B474,[1]RXNS!$B:$D,3,FALSE)</f>
        <v>#N/A</v>
      </c>
      <c r="I474" s="9" t="s">
        <v>1567</v>
      </c>
      <c r="J474" s="9" t="s">
        <v>2095</v>
      </c>
      <c r="K474" s="9" t="s">
        <v>1567</v>
      </c>
      <c r="L474" s="9" t="e">
        <f t="shared" si="30"/>
        <v>#N/A</v>
      </c>
      <c r="M474" s="9" t="b">
        <f t="shared" si="31"/>
        <v>1</v>
      </c>
      <c r="N474" s="9" t="s">
        <v>2096</v>
      </c>
      <c r="O474" s="9">
        <v>0</v>
      </c>
      <c r="P474" s="9">
        <v>1000</v>
      </c>
      <c r="Q474" s="13"/>
      <c r="R474" s="13"/>
      <c r="S474" s="13"/>
      <c r="T474" s="9" t="s">
        <v>153</v>
      </c>
      <c r="U474" s="13"/>
      <c r="V474" s="9" t="s">
        <v>30</v>
      </c>
      <c r="W474" s="13"/>
      <c r="X474" s="9">
        <v>2</v>
      </c>
    </row>
    <row r="475" spans="1:24">
      <c r="A475" s="13"/>
      <c r="B475" s="9" t="s">
        <v>2097</v>
      </c>
      <c r="C475" s="9" t="e">
        <f>VLOOKUP(B475,[1]RXNS!$B:$C,1,)</f>
        <v>#N/A</v>
      </c>
      <c r="D475" s="9" t="e">
        <f t="shared" si="28"/>
        <v>#N/A</v>
      </c>
      <c r="E475" s="9" t="e">
        <v>#N/A</v>
      </c>
      <c r="F475" s="9" t="s">
        <v>2098</v>
      </c>
      <c r="G475" s="9" t="e">
        <f t="shared" si="29"/>
        <v>#N/A</v>
      </c>
      <c r="H475" s="9" t="e">
        <f>VLOOKUP(B475,[1]RXNS!$B:$D,3,FALSE)</f>
        <v>#N/A</v>
      </c>
      <c r="I475" s="9" t="e">
        <f>VLOOKUP(B475,[1]RXNS!$B:$E,4,FALSE)</f>
        <v>#N/A</v>
      </c>
      <c r="J475" s="9" t="s">
        <v>2099</v>
      </c>
      <c r="K475" s="13"/>
      <c r="L475" s="9" t="e">
        <f t="shared" si="30"/>
        <v>#N/A</v>
      </c>
      <c r="M475" s="9" t="e">
        <f t="shared" si="31"/>
        <v>#N/A</v>
      </c>
      <c r="N475" s="9" t="s">
        <v>2100</v>
      </c>
      <c r="O475" s="9">
        <v>0</v>
      </c>
      <c r="P475" s="9">
        <v>1000</v>
      </c>
      <c r="Q475" s="13"/>
      <c r="R475" s="13"/>
      <c r="S475" s="13"/>
      <c r="T475" s="9" t="s">
        <v>2101</v>
      </c>
      <c r="U475" s="13"/>
      <c r="V475" s="9" t="s">
        <v>30</v>
      </c>
      <c r="W475" s="13"/>
      <c r="X475" s="9">
        <v>2</v>
      </c>
    </row>
    <row r="476" spans="1:24">
      <c r="A476" s="13"/>
      <c r="B476" s="9" t="s">
        <v>2102</v>
      </c>
      <c r="C476" s="9" t="e">
        <f>VLOOKUP(B476,[1]RXNS!$B:$C,1,)</f>
        <v>#N/A</v>
      </c>
      <c r="D476" s="9" t="e">
        <f t="shared" si="28"/>
        <v>#N/A</v>
      </c>
      <c r="E476" s="9" t="e">
        <v>#N/A</v>
      </c>
      <c r="F476" s="9" t="s">
        <v>2103</v>
      </c>
      <c r="G476" s="9" t="e">
        <f t="shared" si="29"/>
        <v>#N/A</v>
      </c>
      <c r="H476" s="9" t="e">
        <f>VLOOKUP(B476,[1]RXNS!$B:$D,3,FALSE)</f>
        <v>#N/A</v>
      </c>
      <c r="I476" s="9" t="s">
        <v>1626</v>
      </c>
      <c r="J476" s="9" t="s">
        <v>2104</v>
      </c>
      <c r="K476" s="9" t="s">
        <v>1626</v>
      </c>
      <c r="L476" s="9" t="e">
        <f t="shared" si="30"/>
        <v>#N/A</v>
      </c>
      <c r="M476" s="9" t="b">
        <f t="shared" si="31"/>
        <v>1</v>
      </c>
      <c r="N476" s="9" t="s">
        <v>790</v>
      </c>
      <c r="O476" s="9">
        <v>0</v>
      </c>
      <c r="P476" s="9">
        <v>1000</v>
      </c>
      <c r="Q476" s="13"/>
      <c r="R476" s="13"/>
      <c r="S476" s="13"/>
      <c r="T476" s="9" t="s">
        <v>387</v>
      </c>
      <c r="U476" s="13"/>
      <c r="V476" s="9" t="s">
        <v>30</v>
      </c>
      <c r="W476" s="13"/>
      <c r="X476" s="9">
        <v>2</v>
      </c>
    </row>
    <row r="477" spans="1:24">
      <c r="A477" s="13"/>
      <c r="B477" s="9" t="s">
        <v>2105</v>
      </c>
      <c r="C477" s="9" t="e">
        <f>VLOOKUP(B477,[1]RXNS!$B:$C,1,)</f>
        <v>#N/A</v>
      </c>
      <c r="D477" s="9" t="e">
        <f t="shared" si="28"/>
        <v>#N/A</v>
      </c>
      <c r="E477" s="9" t="e">
        <v>#N/A</v>
      </c>
      <c r="F477" s="9" t="s">
        <v>2106</v>
      </c>
      <c r="G477" s="9" t="e">
        <f t="shared" si="29"/>
        <v>#N/A</v>
      </c>
      <c r="H477" s="9" t="e">
        <f>VLOOKUP(B477,[1]RXNS!$B:$D,3,FALSE)</f>
        <v>#N/A</v>
      </c>
      <c r="I477" s="9" t="e">
        <f>VLOOKUP(B477,[1]RXNS!$B:$E,4,FALSE)</f>
        <v>#N/A</v>
      </c>
      <c r="J477" s="9" t="s">
        <v>2107</v>
      </c>
      <c r="K477" s="13"/>
      <c r="L477" s="9" t="e">
        <f t="shared" si="30"/>
        <v>#N/A</v>
      </c>
      <c r="M477" s="9" t="e">
        <f t="shared" si="31"/>
        <v>#N/A</v>
      </c>
      <c r="N477" s="9" t="s">
        <v>2108</v>
      </c>
      <c r="O477" s="9">
        <v>-1000</v>
      </c>
      <c r="P477" s="9">
        <v>1000</v>
      </c>
      <c r="Q477" s="13"/>
      <c r="R477" s="13"/>
      <c r="S477" s="13"/>
      <c r="T477" s="9" t="s">
        <v>648</v>
      </c>
      <c r="U477" s="13"/>
      <c r="V477" s="9" t="s">
        <v>30</v>
      </c>
      <c r="W477" s="13"/>
      <c r="X477" s="9">
        <v>2</v>
      </c>
    </row>
    <row r="478" spans="1:24">
      <c r="A478" s="13"/>
      <c r="B478" s="9" t="s">
        <v>2109</v>
      </c>
      <c r="C478" s="9" t="e">
        <f>VLOOKUP(B478,[1]RXNS!$B:$C,1,)</f>
        <v>#N/A</v>
      </c>
      <c r="D478" s="9" t="e">
        <f t="shared" si="28"/>
        <v>#N/A</v>
      </c>
      <c r="E478" s="9" t="e">
        <v>#N/A</v>
      </c>
      <c r="F478" s="9" t="s">
        <v>2110</v>
      </c>
      <c r="G478" s="9" t="e">
        <f t="shared" si="29"/>
        <v>#N/A</v>
      </c>
      <c r="H478" s="9" t="e">
        <f>VLOOKUP(B478,[1]RXNS!$B:$D,3,FALSE)</f>
        <v>#N/A</v>
      </c>
      <c r="I478" s="9" t="s">
        <v>2111</v>
      </c>
      <c r="J478" s="9" t="s">
        <v>2112</v>
      </c>
      <c r="K478" s="9" t="s">
        <v>2111</v>
      </c>
      <c r="L478" s="9" t="e">
        <f t="shared" si="30"/>
        <v>#N/A</v>
      </c>
      <c r="M478" s="9" t="b">
        <f t="shared" si="31"/>
        <v>1</v>
      </c>
      <c r="N478" s="9" t="s">
        <v>2113</v>
      </c>
      <c r="O478" s="9">
        <v>0</v>
      </c>
      <c r="P478" s="9">
        <v>1000</v>
      </c>
      <c r="Q478" s="13"/>
      <c r="R478" s="13"/>
      <c r="S478" s="13"/>
      <c r="T478" s="9" t="s">
        <v>239</v>
      </c>
      <c r="U478" s="13"/>
      <c r="V478" s="9" t="s">
        <v>30</v>
      </c>
      <c r="W478" s="13"/>
      <c r="X478" s="9">
        <v>2</v>
      </c>
    </row>
    <row r="479" spans="1:24">
      <c r="A479" s="13"/>
      <c r="B479" s="9" t="s">
        <v>2114</v>
      </c>
      <c r="C479" s="9" t="e">
        <f>VLOOKUP(B479,[1]RXNS!$B:$C,1,)</f>
        <v>#N/A</v>
      </c>
      <c r="D479" s="9" t="e">
        <f t="shared" si="28"/>
        <v>#N/A</v>
      </c>
      <c r="E479" s="9" t="e">
        <v>#N/A</v>
      </c>
      <c r="F479" s="9" t="s">
        <v>2115</v>
      </c>
      <c r="G479" s="9" t="e">
        <f t="shared" si="29"/>
        <v>#N/A</v>
      </c>
      <c r="H479" s="9" t="e">
        <f>VLOOKUP(B479,[1]RXNS!$B:$D,3,FALSE)</f>
        <v>#N/A</v>
      </c>
      <c r="I479" s="9" t="e">
        <f>VLOOKUP(B479,[1]RXNS!$B:$E,4,FALSE)</f>
        <v>#N/A</v>
      </c>
      <c r="J479" s="9" t="s">
        <v>2116</v>
      </c>
      <c r="K479" s="13"/>
      <c r="L479" s="9" t="e">
        <f t="shared" si="30"/>
        <v>#N/A</v>
      </c>
      <c r="M479" s="9" t="e">
        <f t="shared" si="31"/>
        <v>#N/A</v>
      </c>
      <c r="N479" s="9" t="s">
        <v>2117</v>
      </c>
      <c r="O479" s="9">
        <v>0</v>
      </c>
      <c r="P479" s="9">
        <v>1000</v>
      </c>
      <c r="Q479" s="13"/>
      <c r="R479" s="13"/>
      <c r="S479" s="13"/>
      <c r="T479" s="9" t="s">
        <v>244</v>
      </c>
      <c r="U479" s="13"/>
      <c r="V479" s="9" t="s">
        <v>30</v>
      </c>
      <c r="W479" s="13"/>
      <c r="X479" s="9">
        <v>2</v>
      </c>
    </row>
    <row r="480" spans="1:24">
      <c r="A480" s="13"/>
      <c r="B480" s="9" t="s">
        <v>2118</v>
      </c>
      <c r="C480" s="9" t="e">
        <f>VLOOKUP(B480,[1]RXNS!$B:$C,1,)</f>
        <v>#N/A</v>
      </c>
      <c r="D480" s="9" t="e">
        <f t="shared" si="28"/>
        <v>#N/A</v>
      </c>
      <c r="E480" s="9" t="e">
        <v>#N/A</v>
      </c>
      <c r="F480" s="9" t="s">
        <v>2119</v>
      </c>
      <c r="G480" s="9" t="e">
        <f t="shared" si="29"/>
        <v>#N/A</v>
      </c>
      <c r="H480" s="9" t="e">
        <f>VLOOKUP(B480,[1]RXNS!$B:$D,3,FALSE)</f>
        <v>#N/A</v>
      </c>
      <c r="I480" s="9" t="e">
        <f>VLOOKUP(B480,[1]RXNS!$B:$E,4,FALSE)</f>
        <v>#N/A</v>
      </c>
      <c r="J480" s="9" t="s">
        <v>2120</v>
      </c>
      <c r="K480" s="13"/>
      <c r="L480" s="9" t="e">
        <f t="shared" si="30"/>
        <v>#N/A</v>
      </c>
      <c r="M480" s="9" t="e">
        <f t="shared" si="31"/>
        <v>#N/A</v>
      </c>
      <c r="N480" s="9" t="s">
        <v>2121</v>
      </c>
      <c r="O480" s="9">
        <v>0</v>
      </c>
      <c r="P480" s="9">
        <v>1000</v>
      </c>
      <c r="Q480" s="13"/>
      <c r="R480" s="13"/>
      <c r="S480" s="13"/>
      <c r="T480" s="9" t="s">
        <v>244</v>
      </c>
      <c r="U480" s="13"/>
      <c r="V480" s="9" t="s">
        <v>30</v>
      </c>
      <c r="W480" s="13"/>
      <c r="X480" s="9">
        <v>2</v>
      </c>
    </row>
    <row r="481" spans="1:24">
      <c r="A481" s="13"/>
      <c r="B481" s="9" t="s">
        <v>2122</v>
      </c>
      <c r="C481" s="9" t="e">
        <f>VLOOKUP(B481,[1]RXNS!$B:$C,1,)</f>
        <v>#N/A</v>
      </c>
      <c r="D481" s="9" t="e">
        <f t="shared" si="28"/>
        <v>#N/A</v>
      </c>
      <c r="E481" s="9" t="e">
        <v>#N/A</v>
      </c>
      <c r="F481" s="9" t="s">
        <v>2123</v>
      </c>
      <c r="G481" s="9" t="e">
        <f t="shared" si="29"/>
        <v>#N/A</v>
      </c>
      <c r="H481" s="9" t="e">
        <f>VLOOKUP(B481,[1]RXNS!$B:$D,3,FALSE)</f>
        <v>#N/A</v>
      </c>
      <c r="I481" s="9" t="e">
        <f>VLOOKUP(B481,[1]RXNS!$B:$E,4,FALSE)</f>
        <v>#N/A</v>
      </c>
      <c r="J481" s="9" t="s">
        <v>2124</v>
      </c>
      <c r="K481" s="13"/>
      <c r="L481" s="9" t="e">
        <f t="shared" si="30"/>
        <v>#N/A</v>
      </c>
      <c r="M481" s="9" t="e">
        <f t="shared" si="31"/>
        <v>#N/A</v>
      </c>
      <c r="N481" s="9" t="s">
        <v>2125</v>
      </c>
      <c r="O481" s="9">
        <v>0</v>
      </c>
      <c r="P481" s="9">
        <v>1000</v>
      </c>
      <c r="Q481" s="13"/>
      <c r="R481" s="13"/>
      <c r="S481" s="13"/>
      <c r="T481" s="9" t="s">
        <v>244</v>
      </c>
      <c r="U481" s="13"/>
      <c r="V481" s="9" t="s">
        <v>30</v>
      </c>
      <c r="W481" s="13"/>
      <c r="X481" s="9">
        <v>2</v>
      </c>
    </row>
    <row r="482" spans="1:24">
      <c r="A482" s="13"/>
      <c r="B482" s="9" t="s">
        <v>2126</v>
      </c>
      <c r="C482" s="9" t="e">
        <f>VLOOKUP(B482,[1]RXNS!$B:$C,1,)</f>
        <v>#N/A</v>
      </c>
      <c r="D482" s="9" t="e">
        <f t="shared" si="28"/>
        <v>#N/A</v>
      </c>
      <c r="E482" s="9" t="e">
        <v>#N/A</v>
      </c>
      <c r="F482" s="9" t="s">
        <v>2127</v>
      </c>
      <c r="G482" s="9" t="e">
        <f t="shared" si="29"/>
        <v>#N/A</v>
      </c>
      <c r="H482" s="9" t="e">
        <f>VLOOKUP(B482,[1]RXNS!$B:$D,3,FALSE)</f>
        <v>#N/A</v>
      </c>
      <c r="I482" s="9" t="s">
        <v>2128</v>
      </c>
      <c r="J482" s="9" t="s">
        <v>2129</v>
      </c>
      <c r="K482" s="9" t="s">
        <v>2128</v>
      </c>
      <c r="L482" s="9" t="e">
        <f t="shared" si="30"/>
        <v>#N/A</v>
      </c>
      <c r="M482" s="9" t="b">
        <f t="shared" si="31"/>
        <v>1</v>
      </c>
      <c r="N482" s="9" t="s">
        <v>2130</v>
      </c>
      <c r="O482" s="9">
        <v>0</v>
      </c>
      <c r="P482" s="9">
        <v>1000</v>
      </c>
      <c r="Q482" s="13"/>
      <c r="R482" s="13"/>
      <c r="S482" s="13"/>
      <c r="T482" s="9" t="s">
        <v>153</v>
      </c>
      <c r="U482" s="13"/>
      <c r="V482" s="9" t="s">
        <v>30</v>
      </c>
      <c r="W482" s="13"/>
      <c r="X482" s="9">
        <v>2</v>
      </c>
    </row>
    <row r="483" spans="1:24">
      <c r="A483" s="13"/>
      <c r="B483" s="9" t="s">
        <v>2131</v>
      </c>
      <c r="C483" s="9" t="e">
        <f>VLOOKUP(B483,[1]RXNS!$B:$C,1,)</f>
        <v>#N/A</v>
      </c>
      <c r="D483" s="9" t="e">
        <f t="shared" si="28"/>
        <v>#N/A</v>
      </c>
      <c r="E483" s="9" t="e">
        <v>#N/A</v>
      </c>
      <c r="F483" s="9" t="s">
        <v>2132</v>
      </c>
      <c r="G483" s="9" t="e">
        <f t="shared" si="29"/>
        <v>#N/A</v>
      </c>
      <c r="H483" s="9" t="e">
        <f>VLOOKUP(B483,[1]RXNS!$B:$D,3,FALSE)</f>
        <v>#N/A</v>
      </c>
      <c r="I483" s="9" t="s">
        <v>2133</v>
      </c>
      <c r="J483" s="9" t="s">
        <v>2134</v>
      </c>
      <c r="K483" s="9" t="s">
        <v>2133</v>
      </c>
      <c r="L483" s="9" t="e">
        <f t="shared" si="30"/>
        <v>#N/A</v>
      </c>
      <c r="M483" s="9" t="b">
        <f t="shared" si="31"/>
        <v>1</v>
      </c>
      <c r="N483" s="9" t="s">
        <v>1336</v>
      </c>
      <c r="O483" s="9">
        <v>-1000</v>
      </c>
      <c r="P483" s="9">
        <v>1000</v>
      </c>
      <c r="Q483" s="13"/>
      <c r="R483" s="13"/>
      <c r="S483" s="13"/>
      <c r="T483" s="9" t="s">
        <v>114</v>
      </c>
      <c r="U483" s="13"/>
      <c r="V483" s="9" t="s">
        <v>30</v>
      </c>
      <c r="W483" s="13"/>
      <c r="X483" s="9">
        <v>2</v>
      </c>
    </row>
    <row r="484" spans="1:24">
      <c r="A484" s="13"/>
      <c r="B484" s="9" t="s">
        <v>2135</v>
      </c>
      <c r="C484" s="9" t="e">
        <f>VLOOKUP(B484,[1]RXNS!$B:$C,1,)</f>
        <v>#N/A</v>
      </c>
      <c r="D484" s="9" t="e">
        <f t="shared" si="28"/>
        <v>#N/A</v>
      </c>
      <c r="E484" s="9" t="e">
        <v>#N/A</v>
      </c>
      <c r="F484" s="9" t="s">
        <v>2136</v>
      </c>
      <c r="G484" s="9" t="e">
        <f t="shared" si="29"/>
        <v>#N/A</v>
      </c>
      <c r="H484" s="9" t="e">
        <f>VLOOKUP(B484,[1]RXNS!$B:$D,3,FALSE)</f>
        <v>#N/A</v>
      </c>
      <c r="I484" s="9" t="s">
        <v>2137</v>
      </c>
      <c r="J484" s="9" t="s">
        <v>2138</v>
      </c>
      <c r="K484" s="9" t="s">
        <v>2137</v>
      </c>
      <c r="L484" s="9" t="e">
        <f t="shared" si="30"/>
        <v>#N/A</v>
      </c>
      <c r="M484" s="9" t="b">
        <f t="shared" si="31"/>
        <v>1</v>
      </c>
      <c r="N484" s="9" t="s">
        <v>2139</v>
      </c>
      <c r="O484" s="9">
        <v>0</v>
      </c>
      <c r="P484" s="9">
        <v>1000</v>
      </c>
      <c r="Q484" s="13"/>
      <c r="R484" s="13"/>
      <c r="S484" s="13"/>
      <c r="T484" s="9" t="s">
        <v>34</v>
      </c>
      <c r="U484" s="13"/>
      <c r="V484" s="9" t="s">
        <v>30</v>
      </c>
      <c r="W484" s="13"/>
      <c r="X484" s="9">
        <v>2</v>
      </c>
    </row>
    <row r="485" spans="1:24">
      <c r="A485" s="13"/>
      <c r="B485" s="9" t="s">
        <v>2140</v>
      </c>
      <c r="C485" s="9" t="e">
        <f>VLOOKUP(B485,[1]RXNS!$B:$C,1,)</f>
        <v>#N/A</v>
      </c>
      <c r="D485" s="9" t="e">
        <f t="shared" si="28"/>
        <v>#N/A</v>
      </c>
      <c r="E485" s="9" t="e">
        <v>#N/A</v>
      </c>
      <c r="F485" s="9" t="s">
        <v>2141</v>
      </c>
      <c r="G485" s="9" t="e">
        <f t="shared" si="29"/>
        <v>#N/A</v>
      </c>
      <c r="H485" s="9" t="e">
        <f>VLOOKUP(B485,[1]RXNS!$B:$D,3,FALSE)</f>
        <v>#N/A</v>
      </c>
      <c r="I485" s="9" t="s">
        <v>2142</v>
      </c>
      <c r="J485" s="9" t="s">
        <v>2143</v>
      </c>
      <c r="K485" s="9" t="s">
        <v>2142</v>
      </c>
      <c r="L485" s="9" t="e">
        <f t="shared" si="30"/>
        <v>#N/A</v>
      </c>
      <c r="M485" s="9" t="b">
        <f t="shared" si="31"/>
        <v>1</v>
      </c>
      <c r="N485" s="9" t="s">
        <v>2144</v>
      </c>
      <c r="O485" s="9">
        <v>0</v>
      </c>
      <c r="P485" s="9">
        <v>1000</v>
      </c>
      <c r="Q485" s="13"/>
      <c r="R485" s="13"/>
      <c r="S485" s="13"/>
      <c r="T485" s="9" t="s">
        <v>2101</v>
      </c>
      <c r="U485" s="13"/>
      <c r="V485" s="9" t="s">
        <v>30</v>
      </c>
      <c r="W485" s="13"/>
      <c r="X485" s="9">
        <v>2</v>
      </c>
    </row>
    <row r="486" spans="1:24">
      <c r="A486" s="13"/>
      <c r="B486" s="9" t="s">
        <v>2145</v>
      </c>
      <c r="C486" s="9" t="e">
        <f>VLOOKUP(B486,[1]RXNS!$B:$C,1,)</f>
        <v>#N/A</v>
      </c>
      <c r="D486" s="9" t="e">
        <f t="shared" si="28"/>
        <v>#N/A</v>
      </c>
      <c r="E486" s="9" t="e">
        <v>#N/A</v>
      </c>
      <c r="F486" s="9" t="s">
        <v>2146</v>
      </c>
      <c r="G486" s="9" t="e">
        <f t="shared" si="29"/>
        <v>#N/A</v>
      </c>
      <c r="H486" s="9" t="e">
        <f>VLOOKUP(B486,[1]RXNS!$B:$D,3,FALSE)</f>
        <v>#N/A</v>
      </c>
      <c r="I486" s="9" t="s">
        <v>2147</v>
      </c>
      <c r="J486" s="9" t="s">
        <v>2148</v>
      </c>
      <c r="K486" s="9" t="s">
        <v>2147</v>
      </c>
      <c r="L486" s="9" t="e">
        <f t="shared" si="30"/>
        <v>#N/A</v>
      </c>
      <c r="M486" s="9" t="b">
        <f t="shared" si="31"/>
        <v>1</v>
      </c>
      <c r="N486" s="9" t="s">
        <v>1889</v>
      </c>
      <c r="O486" s="9">
        <v>-1000</v>
      </c>
      <c r="P486" s="9">
        <v>1000</v>
      </c>
      <c r="Q486" s="13"/>
      <c r="R486" s="13"/>
      <c r="S486" s="13"/>
      <c r="T486" s="9" t="s">
        <v>364</v>
      </c>
      <c r="U486" s="13"/>
      <c r="V486" s="9" t="s">
        <v>30</v>
      </c>
      <c r="W486" s="13"/>
      <c r="X486" s="9">
        <v>2</v>
      </c>
    </row>
    <row r="487" spans="1:24">
      <c r="A487" s="13"/>
      <c r="B487" s="9" t="s">
        <v>2149</v>
      </c>
      <c r="C487" s="9" t="e">
        <f>VLOOKUP(B487,[1]RXNS!$B:$C,1,)</f>
        <v>#N/A</v>
      </c>
      <c r="D487" s="9" t="e">
        <f t="shared" si="28"/>
        <v>#N/A</v>
      </c>
      <c r="E487" s="9" t="e">
        <v>#N/A</v>
      </c>
      <c r="F487" s="9" t="s">
        <v>2150</v>
      </c>
      <c r="G487" s="9" t="e">
        <f t="shared" si="29"/>
        <v>#N/A</v>
      </c>
      <c r="H487" s="9" t="e">
        <f>VLOOKUP(B487,[1]RXNS!$B:$D,3,FALSE)</f>
        <v>#N/A</v>
      </c>
      <c r="I487" s="9" t="e">
        <f>VLOOKUP(B487,[1]RXNS!$B:$E,4,FALSE)</f>
        <v>#N/A</v>
      </c>
      <c r="J487" s="9" t="s">
        <v>2151</v>
      </c>
      <c r="K487" s="13"/>
      <c r="L487" s="9" t="e">
        <f t="shared" si="30"/>
        <v>#N/A</v>
      </c>
      <c r="M487" s="9" t="e">
        <f t="shared" si="31"/>
        <v>#N/A</v>
      </c>
      <c r="N487" s="9" t="s">
        <v>2152</v>
      </c>
      <c r="O487" s="9">
        <v>0</v>
      </c>
      <c r="P487" s="9">
        <v>1000</v>
      </c>
      <c r="Q487" s="13"/>
      <c r="R487" s="13"/>
      <c r="S487" s="13"/>
      <c r="T487" s="9" t="s">
        <v>228</v>
      </c>
      <c r="U487" s="13"/>
      <c r="V487" s="9" t="s">
        <v>30</v>
      </c>
      <c r="W487" s="13"/>
      <c r="X487" s="9">
        <v>2</v>
      </c>
    </row>
    <row r="488" spans="1:24">
      <c r="A488" s="13"/>
      <c r="B488" s="9" t="s">
        <v>2153</v>
      </c>
      <c r="C488" s="9" t="e">
        <f>VLOOKUP(B488,[1]RXNS!$B:$C,1,)</f>
        <v>#N/A</v>
      </c>
      <c r="D488" s="9" t="e">
        <f t="shared" si="28"/>
        <v>#N/A</v>
      </c>
      <c r="E488" s="9" t="e">
        <v>#N/A</v>
      </c>
      <c r="F488" s="9" t="s">
        <v>2154</v>
      </c>
      <c r="G488" s="9" t="e">
        <f t="shared" si="29"/>
        <v>#N/A</v>
      </c>
      <c r="H488" s="9" t="e">
        <f>VLOOKUP(B488,[1]RXNS!$B:$D,3,FALSE)</f>
        <v>#N/A</v>
      </c>
      <c r="I488" s="9" t="s">
        <v>2155</v>
      </c>
      <c r="J488" s="9" t="s">
        <v>2156</v>
      </c>
      <c r="K488" s="9" t="s">
        <v>2155</v>
      </c>
      <c r="L488" s="9" t="e">
        <f t="shared" si="30"/>
        <v>#N/A</v>
      </c>
      <c r="M488" s="9" t="b">
        <f t="shared" si="31"/>
        <v>1</v>
      </c>
      <c r="N488" s="9" t="s">
        <v>2157</v>
      </c>
      <c r="O488" s="9">
        <v>0</v>
      </c>
      <c r="P488" s="9">
        <v>1000</v>
      </c>
      <c r="Q488" s="13"/>
      <c r="R488" s="13"/>
      <c r="S488" s="13"/>
      <c r="T488" s="9" t="s">
        <v>153</v>
      </c>
      <c r="U488" s="13"/>
      <c r="V488" s="9" t="s">
        <v>30</v>
      </c>
      <c r="W488" s="13"/>
      <c r="X488" s="9">
        <v>2</v>
      </c>
    </row>
    <row r="489" spans="1:24">
      <c r="A489" s="13"/>
      <c r="B489" s="9" t="s">
        <v>2158</v>
      </c>
      <c r="C489" s="9" t="e">
        <f>VLOOKUP(B489,[1]RXNS!$B:$C,1,)</f>
        <v>#N/A</v>
      </c>
      <c r="D489" s="9" t="e">
        <f t="shared" si="28"/>
        <v>#N/A</v>
      </c>
      <c r="E489" s="9" t="e">
        <v>#N/A</v>
      </c>
      <c r="F489" s="9" t="s">
        <v>2159</v>
      </c>
      <c r="G489" s="9" t="e">
        <f t="shared" si="29"/>
        <v>#N/A</v>
      </c>
      <c r="H489" s="9" t="e">
        <f>VLOOKUP(B489,[1]RXNS!$B:$D,3,FALSE)</f>
        <v>#N/A</v>
      </c>
      <c r="I489" s="9" t="s">
        <v>2155</v>
      </c>
      <c r="J489" s="9" t="s">
        <v>2160</v>
      </c>
      <c r="K489" s="9" t="s">
        <v>2155</v>
      </c>
      <c r="L489" s="9" t="e">
        <f t="shared" si="30"/>
        <v>#N/A</v>
      </c>
      <c r="M489" s="9" t="b">
        <f t="shared" si="31"/>
        <v>1</v>
      </c>
      <c r="N489" s="9" t="s">
        <v>2161</v>
      </c>
      <c r="O489" s="9">
        <v>0</v>
      </c>
      <c r="P489" s="9">
        <v>1000</v>
      </c>
      <c r="Q489" s="13"/>
      <c r="R489" s="13"/>
      <c r="S489" s="13"/>
      <c r="T489" s="9" t="s">
        <v>153</v>
      </c>
      <c r="U489" s="13"/>
      <c r="V489" s="9" t="s">
        <v>30</v>
      </c>
      <c r="W489" s="13"/>
      <c r="X489" s="9">
        <v>2</v>
      </c>
    </row>
    <row r="490" spans="1:24">
      <c r="A490" s="13"/>
      <c r="B490" s="9" t="s">
        <v>2162</v>
      </c>
      <c r="C490" s="9" t="e">
        <f>VLOOKUP(B490,[1]RXNS!$B:$C,1,)</f>
        <v>#N/A</v>
      </c>
      <c r="D490" s="9" t="e">
        <f t="shared" si="28"/>
        <v>#N/A</v>
      </c>
      <c r="E490" s="9" t="e">
        <v>#N/A</v>
      </c>
      <c r="F490" s="9" t="s">
        <v>2163</v>
      </c>
      <c r="G490" s="9" t="e">
        <f t="shared" si="29"/>
        <v>#N/A</v>
      </c>
      <c r="H490" s="9" t="e">
        <f>VLOOKUP(B490,[1]RXNS!$B:$D,3,FALSE)</f>
        <v>#N/A</v>
      </c>
      <c r="I490" s="9" t="s">
        <v>2164</v>
      </c>
      <c r="J490" s="9" t="s">
        <v>2165</v>
      </c>
      <c r="K490" s="9" t="s">
        <v>2164</v>
      </c>
      <c r="L490" s="9" t="e">
        <f t="shared" si="30"/>
        <v>#N/A</v>
      </c>
      <c r="M490" s="9" t="b">
        <f t="shared" si="31"/>
        <v>1</v>
      </c>
      <c r="N490" s="9" t="s">
        <v>2166</v>
      </c>
      <c r="O490" s="9">
        <v>0</v>
      </c>
      <c r="P490" s="9">
        <v>1000</v>
      </c>
      <c r="Q490" s="13"/>
      <c r="R490" s="13"/>
      <c r="S490" s="13"/>
      <c r="T490" s="9" t="s">
        <v>330</v>
      </c>
      <c r="U490" s="13"/>
      <c r="V490" s="9" t="s">
        <v>30</v>
      </c>
      <c r="W490" s="13"/>
      <c r="X490" s="9">
        <v>2</v>
      </c>
    </row>
    <row r="491" spans="1:24">
      <c r="A491" s="13"/>
      <c r="B491" s="9" t="s">
        <v>2167</v>
      </c>
      <c r="C491" s="9" t="e">
        <f>VLOOKUP(B491,[1]RXNS!$B:$C,1,)</f>
        <v>#N/A</v>
      </c>
      <c r="D491" s="9" t="e">
        <f t="shared" si="28"/>
        <v>#N/A</v>
      </c>
      <c r="E491" s="9" t="e">
        <v>#N/A</v>
      </c>
      <c r="F491" s="9" t="s">
        <v>2168</v>
      </c>
      <c r="G491" s="9" t="e">
        <f t="shared" si="29"/>
        <v>#N/A</v>
      </c>
      <c r="H491" s="9" t="e">
        <f>VLOOKUP(B491,[1]RXNS!$B:$D,3,FALSE)</f>
        <v>#N/A</v>
      </c>
      <c r="I491" s="9" t="s">
        <v>2169</v>
      </c>
      <c r="J491" s="9" t="s">
        <v>2170</v>
      </c>
      <c r="K491" s="9" t="s">
        <v>2169</v>
      </c>
      <c r="L491" s="9" t="e">
        <f t="shared" si="30"/>
        <v>#N/A</v>
      </c>
      <c r="M491" s="9" t="b">
        <f t="shared" si="31"/>
        <v>1</v>
      </c>
      <c r="N491" s="9" t="s">
        <v>2171</v>
      </c>
      <c r="O491" s="9">
        <v>0</v>
      </c>
      <c r="P491" s="9">
        <v>1000</v>
      </c>
      <c r="Q491" s="13"/>
      <c r="R491" s="13"/>
      <c r="S491" s="13"/>
      <c r="T491" s="9" t="s">
        <v>74</v>
      </c>
      <c r="U491" s="13"/>
      <c r="V491" s="9" t="s">
        <v>30</v>
      </c>
      <c r="W491" s="13"/>
      <c r="X491" s="9">
        <v>2</v>
      </c>
    </row>
    <row r="492" spans="1:24">
      <c r="A492" s="13"/>
      <c r="B492" s="9" t="s">
        <v>2172</v>
      </c>
      <c r="C492" s="9" t="e">
        <f>VLOOKUP(B492,[1]RXNS!$B:$C,1,)</f>
        <v>#N/A</v>
      </c>
      <c r="D492" s="9" t="e">
        <f t="shared" si="28"/>
        <v>#N/A</v>
      </c>
      <c r="E492" s="9" t="e">
        <v>#N/A</v>
      </c>
      <c r="F492" s="9" t="s">
        <v>2173</v>
      </c>
      <c r="G492" s="9" t="e">
        <f t="shared" si="29"/>
        <v>#N/A</v>
      </c>
      <c r="H492" s="9" t="e">
        <f>VLOOKUP(B492,[1]RXNS!$B:$D,3,FALSE)</f>
        <v>#N/A</v>
      </c>
      <c r="I492" s="9" t="e">
        <f>VLOOKUP(B492,[1]RXNS!$B:$E,4,FALSE)</f>
        <v>#N/A</v>
      </c>
      <c r="J492" s="9" t="s">
        <v>2174</v>
      </c>
      <c r="K492" s="13"/>
      <c r="L492" s="9" t="e">
        <f t="shared" si="30"/>
        <v>#N/A</v>
      </c>
      <c r="M492" s="9" t="e">
        <f t="shared" si="31"/>
        <v>#N/A</v>
      </c>
      <c r="N492" s="9" t="s">
        <v>1402</v>
      </c>
      <c r="O492" s="9">
        <v>0</v>
      </c>
      <c r="P492" s="9">
        <v>1000</v>
      </c>
      <c r="Q492" s="13"/>
      <c r="R492" s="13"/>
      <c r="S492" s="13"/>
      <c r="T492" s="9" t="s">
        <v>1276</v>
      </c>
      <c r="U492" s="13"/>
      <c r="V492" s="9" t="s">
        <v>30</v>
      </c>
      <c r="W492" s="13"/>
      <c r="X492" s="9">
        <v>2</v>
      </c>
    </row>
    <row r="493" spans="1:24">
      <c r="A493" s="13"/>
      <c r="B493" s="9" t="s">
        <v>2175</v>
      </c>
      <c r="C493" s="9" t="e">
        <f>VLOOKUP(B493,[1]RXNS!$B:$C,1,)</f>
        <v>#N/A</v>
      </c>
      <c r="D493" s="9" t="e">
        <f t="shared" si="28"/>
        <v>#N/A</v>
      </c>
      <c r="E493" s="9" t="e">
        <v>#N/A</v>
      </c>
      <c r="F493" s="9" t="s">
        <v>2176</v>
      </c>
      <c r="G493" s="9" t="e">
        <f t="shared" si="29"/>
        <v>#N/A</v>
      </c>
      <c r="H493" s="9" t="e">
        <f>VLOOKUP(B493,[1]RXNS!$B:$D,3,FALSE)</f>
        <v>#N/A</v>
      </c>
      <c r="I493" s="9" t="s">
        <v>2177</v>
      </c>
      <c r="J493" s="9" t="s">
        <v>2178</v>
      </c>
      <c r="K493" s="9" t="s">
        <v>2177</v>
      </c>
      <c r="L493" s="9" t="e">
        <f t="shared" si="30"/>
        <v>#N/A</v>
      </c>
      <c r="M493" s="9" t="b">
        <f t="shared" si="31"/>
        <v>1</v>
      </c>
      <c r="N493" s="9" t="s">
        <v>673</v>
      </c>
      <c r="O493" s="9">
        <v>0</v>
      </c>
      <c r="P493" s="9">
        <v>1000</v>
      </c>
      <c r="Q493" s="13"/>
      <c r="R493" s="13"/>
      <c r="S493" s="13"/>
      <c r="T493" s="9" t="s">
        <v>239</v>
      </c>
      <c r="U493" s="13"/>
      <c r="V493" s="9" t="s">
        <v>30</v>
      </c>
      <c r="W493" s="13"/>
      <c r="X493" s="9">
        <v>2</v>
      </c>
    </row>
    <row r="494" spans="1:24">
      <c r="A494" s="13"/>
      <c r="B494" s="9" t="s">
        <v>2179</v>
      </c>
      <c r="C494" s="9" t="e">
        <f>VLOOKUP(B494,[1]RXNS!$B:$C,1,)</f>
        <v>#N/A</v>
      </c>
      <c r="D494" s="9" t="e">
        <f t="shared" si="28"/>
        <v>#N/A</v>
      </c>
      <c r="E494" s="9" t="e">
        <v>#N/A</v>
      </c>
      <c r="F494" s="9" t="s">
        <v>2180</v>
      </c>
      <c r="G494" s="9" t="e">
        <f t="shared" si="29"/>
        <v>#N/A</v>
      </c>
      <c r="H494" s="9" t="e">
        <f>VLOOKUP(B494,[1]RXNS!$B:$D,3,FALSE)</f>
        <v>#N/A</v>
      </c>
      <c r="I494" s="9" t="s">
        <v>2181</v>
      </c>
      <c r="J494" s="9" t="s">
        <v>2182</v>
      </c>
      <c r="K494" s="9" t="s">
        <v>2181</v>
      </c>
      <c r="L494" s="9" t="e">
        <f t="shared" si="30"/>
        <v>#N/A</v>
      </c>
      <c r="M494" s="9" t="b">
        <f t="shared" si="31"/>
        <v>1</v>
      </c>
      <c r="N494" s="9" t="s">
        <v>2183</v>
      </c>
      <c r="O494" s="9">
        <v>0</v>
      </c>
      <c r="P494" s="9">
        <v>1000</v>
      </c>
      <c r="Q494" s="13"/>
      <c r="R494" s="13"/>
      <c r="S494" s="13"/>
      <c r="T494" s="9" t="s">
        <v>239</v>
      </c>
      <c r="U494" s="13"/>
      <c r="V494" s="9" t="s">
        <v>30</v>
      </c>
      <c r="W494" s="13"/>
      <c r="X494" s="9">
        <v>2</v>
      </c>
    </row>
    <row r="495" spans="1:24">
      <c r="A495" s="13"/>
      <c r="B495" s="9" t="s">
        <v>2184</v>
      </c>
      <c r="C495" s="9" t="e">
        <f>VLOOKUP(B495,[1]RXNS!$B:$C,1,)</f>
        <v>#N/A</v>
      </c>
      <c r="D495" s="9" t="e">
        <f t="shared" si="28"/>
        <v>#N/A</v>
      </c>
      <c r="E495" s="9" t="e">
        <v>#N/A</v>
      </c>
      <c r="F495" s="9" t="s">
        <v>2185</v>
      </c>
      <c r="G495" s="9" t="e">
        <f t="shared" si="29"/>
        <v>#N/A</v>
      </c>
      <c r="H495" s="9" t="e">
        <f>VLOOKUP(B495,[1]RXNS!$B:$D,3,FALSE)</f>
        <v>#N/A</v>
      </c>
      <c r="I495" s="9" t="s">
        <v>2181</v>
      </c>
      <c r="J495" s="9" t="s">
        <v>2186</v>
      </c>
      <c r="K495" s="9" t="s">
        <v>2181</v>
      </c>
      <c r="L495" s="9" t="e">
        <f t="shared" si="30"/>
        <v>#N/A</v>
      </c>
      <c r="M495" s="9" t="b">
        <f t="shared" si="31"/>
        <v>1</v>
      </c>
      <c r="N495" s="9" t="s">
        <v>2187</v>
      </c>
      <c r="O495" s="9">
        <v>0</v>
      </c>
      <c r="P495" s="9">
        <v>1000</v>
      </c>
      <c r="Q495" s="13"/>
      <c r="R495" s="13"/>
      <c r="S495" s="13"/>
      <c r="T495" s="9" t="s">
        <v>239</v>
      </c>
      <c r="U495" s="13"/>
      <c r="V495" s="9" t="s">
        <v>30</v>
      </c>
      <c r="W495" s="13"/>
      <c r="X495" s="9">
        <v>2</v>
      </c>
    </row>
    <row r="496" spans="1:24">
      <c r="A496" s="13"/>
      <c r="B496" s="9" t="s">
        <v>2188</v>
      </c>
      <c r="C496" s="9" t="e">
        <f>VLOOKUP(B496,[1]RXNS!$B:$C,1,)</f>
        <v>#N/A</v>
      </c>
      <c r="D496" s="9" t="e">
        <f t="shared" si="28"/>
        <v>#N/A</v>
      </c>
      <c r="E496" s="9" t="e">
        <v>#N/A</v>
      </c>
      <c r="F496" s="9" t="s">
        <v>2189</v>
      </c>
      <c r="G496" s="9" t="e">
        <f t="shared" si="29"/>
        <v>#N/A</v>
      </c>
      <c r="H496" s="9" t="e">
        <f>VLOOKUP(B496,[1]RXNS!$B:$D,3,FALSE)</f>
        <v>#N/A</v>
      </c>
      <c r="I496" s="9" t="e">
        <f>VLOOKUP(B496,[1]RXNS!$B:$E,4,FALSE)</f>
        <v>#N/A</v>
      </c>
      <c r="J496" s="9" t="s">
        <v>2190</v>
      </c>
      <c r="K496" s="13"/>
      <c r="L496" s="9" t="e">
        <f t="shared" si="30"/>
        <v>#N/A</v>
      </c>
      <c r="M496" s="9" t="e">
        <f t="shared" si="31"/>
        <v>#N/A</v>
      </c>
      <c r="N496" s="9" t="s">
        <v>2191</v>
      </c>
      <c r="O496" s="9">
        <v>0</v>
      </c>
      <c r="P496" s="9">
        <v>1000</v>
      </c>
      <c r="Q496" s="13"/>
      <c r="R496" s="13"/>
      <c r="S496" s="13"/>
      <c r="T496" s="9" t="s">
        <v>648</v>
      </c>
      <c r="U496" s="13"/>
      <c r="V496" s="9" t="s">
        <v>30</v>
      </c>
      <c r="W496" s="13"/>
      <c r="X496" s="9">
        <v>2</v>
      </c>
    </row>
    <row r="497" spans="1:24">
      <c r="A497" s="13"/>
      <c r="B497" s="9" t="s">
        <v>2192</v>
      </c>
      <c r="C497" s="9" t="e">
        <f>VLOOKUP(B497,[1]RXNS!$B:$C,1,)</f>
        <v>#N/A</v>
      </c>
      <c r="D497" s="9" t="e">
        <f t="shared" si="28"/>
        <v>#N/A</v>
      </c>
      <c r="E497" s="9" t="e">
        <v>#N/A</v>
      </c>
      <c r="F497" s="9" t="s">
        <v>2193</v>
      </c>
      <c r="G497" s="9" t="e">
        <f t="shared" si="29"/>
        <v>#N/A</v>
      </c>
      <c r="H497" s="9" t="e">
        <f>VLOOKUP(B497,[1]RXNS!$B:$D,3,FALSE)</f>
        <v>#N/A</v>
      </c>
      <c r="I497" s="9" t="s">
        <v>2194</v>
      </c>
      <c r="J497" s="9" t="s">
        <v>2195</v>
      </c>
      <c r="K497" s="9" t="s">
        <v>2194</v>
      </c>
      <c r="L497" s="9" t="e">
        <f t="shared" si="30"/>
        <v>#N/A</v>
      </c>
      <c r="M497" s="9" t="b">
        <f t="shared" si="31"/>
        <v>1</v>
      </c>
      <c r="N497" s="13"/>
      <c r="O497" s="9">
        <v>0</v>
      </c>
      <c r="P497" s="9">
        <v>1000</v>
      </c>
      <c r="Q497" s="13"/>
      <c r="R497" s="13"/>
      <c r="S497" s="13"/>
      <c r="T497" s="9" t="s">
        <v>1310</v>
      </c>
      <c r="U497" s="13"/>
      <c r="V497" s="9" t="s">
        <v>35</v>
      </c>
      <c r="W497" s="13"/>
      <c r="X497" s="9">
        <v>2</v>
      </c>
    </row>
    <row r="498" spans="1:24">
      <c r="A498" s="13"/>
      <c r="B498" s="9" t="s">
        <v>2196</v>
      </c>
      <c r="C498" s="9" t="e">
        <f>VLOOKUP(B498,[1]RXNS!$B:$C,1,)</f>
        <v>#N/A</v>
      </c>
      <c r="D498" s="9" t="e">
        <f t="shared" si="28"/>
        <v>#N/A</v>
      </c>
      <c r="E498" s="9" t="e">
        <v>#N/A</v>
      </c>
      <c r="F498" s="9" t="s">
        <v>2197</v>
      </c>
      <c r="G498" s="9" t="e">
        <f t="shared" si="29"/>
        <v>#N/A</v>
      </c>
      <c r="H498" s="9" t="e">
        <f>VLOOKUP(B498,[1]RXNS!$B:$D,3,FALSE)</f>
        <v>#N/A</v>
      </c>
      <c r="I498" s="9" t="e">
        <f>VLOOKUP(B498,[1]RXNS!$B:$E,4,FALSE)</f>
        <v>#N/A</v>
      </c>
      <c r="J498" s="9" t="s">
        <v>2198</v>
      </c>
      <c r="K498" s="13"/>
      <c r="L498" s="9" t="e">
        <f t="shared" si="30"/>
        <v>#N/A</v>
      </c>
      <c r="M498" s="9" t="e">
        <f t="shared" si="31"/>
        <v>#N/A</v>
      </c>
      <c r="N498" s="13"/>
      <c r="O498" s="9">
        <v>0</v>
      </c>
      <c r="P498" s="9">
        <v>1000</v>
      </c>
      <c r="Q498" s="13"/>
      <c r="R498" s="13"/>
      <c r="S498" s="13"/>
      <c r="T498" s="9" t="s">
        <v>1310</v>
      </c>
      <c r="U498" s="13"/>
      <c r="V498" s="9" t="s">
        <v>35</v>
      </c>
      <c r="W498" s="13"/>
      <c r="X498" s="9">
        <v>2</v>
      </c>
    </row>
    <row r="499" spans="1:24">
      <c r="A499" s="13"/>
      <c r="B499" s="9" t="s">
        <v>2199</v>
      </c>
      <c r="C499" s="9" t="e">
        <f>VLOOKUP(B499,[1]RXNS!$B:$C,1,)</f>
        <v>#N/A</v>
      </c>
      <c r="D499" s="9" t="e">
        <f t="shared" si="28"/>
        <v>#N/A</v>
      </c>
      <c r="E499" s="9" t="e">
        <v>#N/A</v>
      </c>
      <c r="F499" s="9" t="s">
        <v>2200</v>
      </c>
      <c r="G499" s="9" t="e">
        <f t="shared" si="29"/>
        <v>#N/A</v>
      </c>
      <c r="H499" s="9" t="e">
        <f>VLOOKUP(B499,[1]RXNS!$B:$D,3,FALSE)</f>
        <v>#N/A</v>
      </c>
      <c r="I499" s="9" t="s">
        <v>2201</v>
      </c>
      <c r="J499" s="9" t="s">
        <v>2202</v>
      </c>
      <c r="K499" s="9" t="s">
        <v>2201</v>
      </c>
      <c r="L499" s="9" t="e">
        <f t="shared" si="30"/>
        <v>#N/A</v>
      </c>
      <c r="M499" s="9" t="b">
        <f t="shared" si="31"/>
        <v>1</v>
      </c>
      <c r="N499" s="13"/>
      <c r="O499" s="9">
        <v>0</v>
      </c>
      <c r="P499" s="9">
        <v>1000</v>
      </c>
      <c r="Q499" s="13"/>
      <c r="R499" s="13"/>
      <c r="S499" s="13"/>
      <c r="T499" s="9" t="s">
        <v>1310</v>
      </c>
      <c r="U499" s="13"/>
      <c r="V499" s="9" t="s">
        <v>35</v>
      </c>
      <c r="W499" s="13"/>
      <c r="X499" s="9">
        <v>2</v>
      </c>
    </row>
    <row r="500" spans="1:24">
      <c r="A500" s="13"/>
      <c r="B500" s="9" t="s">
        <v>2203</v>
      </c>
      <c r="C500" s="9" t="e">
        <f>VLOOKUP(B500,[1]RXNS!$B:$C,1,)</f>
        <v>#N/A</v>
      </c>
      <c r="D500" s="9" t="e">
        <f t="shared" si="28"/>
        <v>#N/A</v>
      </c>
      <c r="E500" s="9" t="e">
        <v>#N/A</v>
      </c>
      <c r="F500" s="9" t="s">
        <v>2204</v>
      </c>
      <c r="G500" s="9" t="e">
        <f t="shared" si="29"/>
        <v>#N/A</v>
      </c>
      <c r="H500" s="9" t="e">
        <f>VLOOKUP(B500,[1]RXNS!$B:$D,3,FALSE)</f>
        <v>#N/A</v>
      </c>
      <c r="I500" s="9" t="s">
        <v>2194</v>
      </c>
      <c r="J500" s="9" t="s">
        <v>2205</v>
      </c>
      <c r="K500" s="9" t="s">
        <v>2194</v>
      </c>
      <c r="L500" s="9" t="e">
        <f t="shared" si="30"/>
        <v>#N/A</v>
      </c>
      <c r="M500" s="9" t="b">
        <f t="shared" si="31"/>
        <v>1</v>
      </c>
      <c r="N500" s="13"/>
      <c r="O500" s="9">
        <v>0</v>
      </c>
      <c r="P500" s="9">
        <v>1000</v>
      </c>
      <c r="Q500" s="13"/>
      <c r="R500" s="13"/>
      <c r="S500" s="13"/>
      <c r="T500" s="9" t="s">
        <v>1310</v>
      </c>
      <c r="U500" s="13"/>
      <c r="V500" s="9" t="s">
        <v>35</v>
      </c>
      <c r="W500" s="13"/>
      <c r="X500" s="9">
        <v>2</v>
      </c>
    </row>
    <row r="501" spans="1:24">
      <c r="A501" s="13"/>
      <c r="B501" s="9" t="s">
        <v>2206</v>
      </c>
      <c r="C501" s="9" t="e">
        <f>VLOOKUP(B501,[1]RXNS!$B:$C,1,)</f>
        <v>#N/A</v>
      </c>
      <c r="D501" s="9" t="e">
        <f t="shared" si="28"/>
        <v>#N/A</v>
      </c>
      <c r="E501" s="9" t="e">
        <v>#N/A</v>
      </c>
      <c r="F501" s="9" t="s">
        <v>2207</v>
      </c>
      <c r="G501" s="9" t="e">
        <f t="shared" si="29"/>
        <v>#N/A</v>
      </c>
      <c r="H501" s="9" t="e">
        <f>VLOOKUP(B501,[1]RXNS!$B:$D,3,FALSE)</f>
        <v>#N/A</v>
      </c>
      <c r="I501" s="9" t="e">
        <f>VLOOKUP(B501,[1]RXNS!$B:$E,4,FALSE)</f>
        <v>#N/A</v>
      </c>
      <c r="J501" s="9" t="s">
        <v>2208</v>
      </c>
      <c r="K501" s="13"/>
      <c r="L501" s="9" t="e">
        <f t="shared" si="30"/>
        <v>#N/A</v>
      </c>
      <c r="M501" s="9" t="e">
        <f t="shared" si="31"/>
        <v>#N/A</v>
      </c>
      <c r="N501" s="9" t="s">
        <v>2209</v>
      </c>
      <c r="O501" s="9">
        <v>0</v>
      </c>
      <c r="P501" s="9">
        <v>1000</v>
      </c>
      <c r="Q501" s="13"/>
      <c r="R501" s="13"/>
      <c r="S501" s="13"/>
      <c r="T501" s="9" t="s">
        <v>153</v>
      </c>
      <c r="U501" s="13"/>
      <c r="V501" s="9" t="s">
        <v>30</v>
      </c>
      <c r="W501" s="13"/>
      <c r="X501" s="9">
        <v>2</v>
      </c>
    </row>
    <row r="502" spans="1:24">
      <c r="A502" s="13"/>
      <c r="B502" s="9" t="s">
        <v>2210</v>
      </c>
      <c r="C502" s="9" t="e">
        <f>VLOOKUP(B502,[1]RXNS!$B:$C,1,)</f>
        <v>#N/A</v>
      </c>
      <c r="D502" s="9" t="e">
        <f t="shared" si="28"/>
        <v>#N/A</v>
      </c>
      <c r="E502" s="9" t="e">
        <v>#N/A</v>
      </c>
      <c r="F502" s="9" t="s">
        <v>2211</v>
      </c>
      <c r="G502" s="9" t="e">
        <f t="shared" si="29"/>
        <v>#N/A</v>
      </c>
      <c r="H502" s="9" t="e">
        <f>VLOOKUP(B502,[1]RXNS!$B:$D,3,FALSE)</f>
        <v>#N/A</v>
      </c>
      <c r="I502" s="9" t="s">
        <v>2212</v>
      </c>
      <c r="J502" s="9" t="s">
        <v>2213</v>
      </c>
      <c r="K502" s="9" t="s">
        <v>2212</v>
      </c>
      <c r="L502" s="9" t="e">
        <f t="shared" si="30"/>
        <v>#N/A</v>
      </c>
      <c r="M502" s="9" t="b">
        <f t="shared" si="31"/>
        <v>1</v>
      </c>
      <c r="N502" s="9" t="s">
        <v>2214</v>
      </c>
      <c r="O502" s="9">
        <v>0</v>
      </c>
      <c r="P502" s="9">
        <v>1000</v>
      </c>
      <c r="Q502" s="13"/>
      <c r="R502" s="13"/>
      <c r="S502" s="13"/>
      <c r="T502" s="9" t="s">
        <v>2215</v>
      </c>
      <c r="U502" s="13"/>
      <c r="V502" s="9" t="s">
        <v>30</v>
      </c>
      <c r="W502" s="13"/>
      <c r="X502" s="9">
        <v>2</v>
      </c>
    </row>
    <row r="503" spans="1:24">
      <c r="A503" s="13"/>
      <c r="B503" s="9" t="s">
        <v>2216</v>
      </c>
      <c r="C503" s="9" t="e">
        <f>VLOOKUP(B503,[1]RXNS!$B:$C,1,)</f>
        <v>#N/A</v>
      </c>
      <c r="D503" s="9" t="e">
        <f t="shared" si="28"/>
        <v>#N/A</v>
      </c>
      <c r="E503" s="9" t="e">
        <v>#N/A</v>
      </c>
      <c r="F503" s="9" t="s">
        <v>2217</v>
      </c>
      <c r="G503" s="9" t="e">
        <f t="shared" si="29"/>
        <v>#N/A</v>
      </c>
      <c r="H503" s="9" t="e">
        <f>VLOOKUP(B503,[1]RXNS!$B:$D,3,FALSE)</f>
        <v>#N/A</v>
      </c>
      <c r="I503" s="9" t="e">
        <f>VLOOKUP(B503,[1]RXNS!$B:$E,4,FALSE)</f>
        <v>#N/A</v>
      </c>
      <c r="J503" s="9" t="s">
        <v>2218</v>
      </c>
      <c r="K503" s="13"/>
      <c r="L503" s="9" t="e">
        <f t="shared" si="30"/>
        <v>#N/A</v>
      </c>
      <c r="M503" s="9" t="e">
        <f t="shared" si="31"/>
        <v>#N/A</v>
      </c>
      <c r="N503" s="9" t="s">
        <v>2219</v>
      </c>
      <c r="O503" s="9">
        <v>0</v>
      </c>
      <c r="P503" s="9">
        <v>1000</v>
      </c>
      <c r="Q503" s="13"/>
      <c r="R503" s="13"/>
      <c r="S503" s="13"/>
      <c r="T503" s="9" t="s">
        <v>2215</v>
      </c>
      <c r="U503" s="13"/>
      <c r="V503" s="9" t="s">
        <v>30</v>
      </c>
      <c r="W503" s="13"/>
      <c r="X503" s="9">
        <v>2</v>
      </c>
    </row>
    <row r="504" spans="1:24">
      <c r="A504" s="13"/>
      <c r="B504" s="9" t="s">
        <v>2220</v>
      </c>
      <c r="C504" s="9" t="e">
        <f>VLOOKUP(B504,[1]RXNS!$B:$C,1,)</f>
        <v>#N/A</v>
      </c>
      <c r="D504" s="9" t="e">
        <f t="shared" si="28"/>
        <v>#N/A</v>
      </c>
      <c r="E504" s="9" t="e">
        <v>#N/A</v>
      </c>
      <c r="F504" s="9" t="s">
        <v>2221</v>
      </c>
      <c r="G504" s="9" t="e">
        <f t="shared" si="29"/>
        <v>#N/A</v>
      </c>
      <c r="H504" s="9" t="e">
        <f>VLOOKUP(B504,[1]RXNS!$B:$D,3,FALSE)</f>
        <v>#N/A</v>
      </c>
      <c r="I504" s="9" t="e">
        <f>VLOOKUP(B504,[1]RXNS!$B:$E,4,FALSE)</f>
        <v>#N/A</v>
      </c>
      <c r="J504" s="9" t="s">
        <v>2222</v>
      </c>
      <c r="K504" s="13"/>
      <c r="L504" s="9" t="e">
        <f t="shared" si="30"/>
        <v>#N/A</v>
      </c>
      <c r="M504" s="9" t="e">
        <f t="shared" si="31"/>
        <v>#N/A</v>
      </c>
      <c r="N504" s="9" t="s">
        <v>2223</v>
      </c>
      <c r="O504" s="9">
        <v>0</v>
      </c>
      <c r="P504" s="9">
        <v>1000</v>
      </c>
      <c r="Q504" s="13"/>
      <c r="R504" s="13"/>
      <c r="S504" s="13"/>
      <c r="T504" s="9" t="s">
        <v>2215</v>
      </c>
      <c r="U504" s="13"/>
      <c r="V504" s="9" t="s">
        <v>30</v>
      </c>
      <c r="W504" s="13"/>
      <c r="X504" s="9">
        <v>2</v>
      </c>
    </row>
    <row r="505" spans="1:24">
      <c r="A505" s="13"/>
      <c r="B505" s="9" t="s">
        <v>2224</v>
      </c>
      <c r="C505" s="9" t="e">
        <f>VLOOKUP(B505,[1]RXNS!$B:$C,1,)</f>
        <v>#N/A</v>
      </c>
      <c r="D505" s="9" t="e">
        <f t="shared" si="28"/>
        <v>#N/A</v>
      </c>
      <c r="E505" s="9" t="e">
        <v>#N/A</v>
      </c>
      <c r="F505" s="9" t="s">
        <v>2225</v>
      </c>
      <c r="G505" s="9" t="e">
        <f t="shared" si="29"/>
        <v>#N/A</v>
      </c>
      <c r="H505" s="9" t="e">
        <f>VLOOKUP(B505,[1]RXNS!$B:$D,3,FALSE)</f>
        <v>#N/A</v>
      </c>
      <c r="I505" s="9" t="e">
        <f>VLOOKUP(B505,[1]RXNS!$B:$E,4,FALSE)</f>
        <v>#N/A</v>
      </c>
      <c r="J505" s="9" t="s">
        <v>2226</v>
      </c>
      <c r="K505" s="13"/>
      <c r="L505" s="9" t="e">
        <f t="shared" si="30"/>
        <v>#N/A</v>
      </c>
      <c r="M505" s="9" t="e">
        <f t="shared" si="31"/>
        <v>#N/A</v>
      </c>
      <c r="N505" s="9" t="s">
        <v>2219</v>
      </c>
      <c r="O505" s="9">
        <v>0</v>
      </c>
      <c r="P505" s="9">
        <v>1000</v>
      </c>
      <c r="Q505" s="13"/>
      <c r="R505" s="13"/>
      <c r="S505" s="13"/>
      <c r="T505" s="9" t="s">
        <v>2215</v>
      </c>
      <c r="U505" s="13"/>
      <c r="V505" s="9" t="s">
        <v>30</v>
      </c>
      <c r="W505" s="13"/>
      <c r="X505" s="9">
        <v>2</v>
      </c>
    </row>
    <row r="506" spans="1:24">
      <c r="A506" s="13"/>
      <c r="B506" s="9" t="s">
        <v>2227</v>
      </c>
      <c r="C506" s="9" t="e">
        <f>VLOOKUP(B506,[1]RXNS!$B:$C,1,)</f>
        <v>#N/A</v>
      </c>
      <c r="D506" s="9" t="e">
        <f t="shared" si="28"/>
        <v>#N/A</v>
      </c>
      <c r="E506" s="9" t="e">
        <v>#N/A</v>
      </c>
      <c r="F506" s="9" t="s">
        <v>2228</v>
      </c>
      <c r="G506" s="9" t="e">
        <f t="shared" si="29"/>
        <v>#N/A</v>
      </c>
      <c r="H506" s="9" t="e">
        <f>VLOOKUP(B506,[1]RXNS!$B:$D,3,FALSE)</f>
        <v>#N/A</v>
      </c>
      <c r="I506" s="9" t="s">
        <v>2229</v>
      </c>
      <c r="J506" s="9" t="s">
        <v>2230</v>
      </c>
      <c r="K506" s="9" t="s">
        <v>2229</v>
      </c>
      <c r="L506" s="9" t="e">
        <f t="shared" si="30"/>
        <v>#N/A</v>
      </c>
      <c r="M506" s="9" t="b">
        <f t="shared" si="31"/>
        <v>1</v>
      </c>
      <c r="N506" s="9" t="s">
        <v>2231</v>
      </c>
      <c r="O506" s="9">
        <v>0</v>
      </c>
      <c r="P506" s="9">
        <v>1000</v>
      </c>
      <c r="Q506" s="13"/>
      <c r="R506" s="13"/>
      <c r="S506" s="13"/>
      <c r="T506" s="9" t="s">
        <v>2215</v>
      </c>
      <c r="U506" s="13"/>
      <c r="V506" s="9" t="s">
        <v>30</v>
      </c>
      <c r="W506" s="13"/>
      <c r="X506" s="9">
        <v>2</v>
      </c>
    </row>
    <row r="507" spans="1:24">
      <c r="A507" s="13"/>
      <c r="B507" s="9" t="s">
        <v>2232</v>
      </c>
      <c r="C507" s="9" t="e">
        <f>VLOOKUP(B507,[1]RXNS!$B:$C,1,)</f>
        <v>#N/A</v>
      </c>
      <c r="D507" s="9" t="e">
        <f t="shared" si="28"/>
        <v>#N/A</v>
      </c>
      <c r="E507" s="9" t="e">
        <v>#N/A</v>
      </c>
      <c r="F507" s="9" t="s">
        <v>2233</v>
      </c>
      <c r="G507" s="9" t="e">
        <f t="shared" si="29"/>
        <v>#N/A</v>
      </c>
      <c r="H507" s="9" t="e">
        <f>VLOOKUP(B507,[1]RXNS!$B:$D,3,FALSE)</f>
        <v>#N/A</v>
      </c>
      <c r="I507" s="9" t="e">
        <f>VLOOKUP(B507,[1]RXNS!$B:$E,4,FALSE)</f>
        <v>#N/A</v>
      </c>
      <c r="J507" s="9" t="s">
        <v>2234</v>
      </c>
      <c r="K507" s="13"/>
      <c r="L507" s="9" t="e">
        <f t="shared" si="30"/>
        <v>#N/A</v>
      </c>
      <c r="M507" s="9" t="e">
        <f t="shared" si="31"/>
        <v>#N/A</v>
      </c>
      <c r="N507" s="13"/>
      <c r="O507" s="9">
        <v>0</v>
      </c>
      <c r="P507" s="9">
        <v>1000</v>
      </c>
      <c r="Q507" s="13"/>
      <c r="R507" s="13"/>
      <c r="S507" s="13"/>
      <c r="T507" s="9" t="s">
        <v>1276</v>
      </c>
      <c r="U507" s="13"/>
      <c r="V507" s="9" t="s">
        <v>35</v>
      </c>
      <c r="W507" s="13"/>
      <c r="X507" s="9">
        <v>2</v>
      </c>
    </row>
    <row r="508" spans="1:24">
      <c r="A508" s="13"/>
      <c r="B508" s="9" t="s">
        <v>2235</v>
      </c>
      <c r="C508" s="9" t="e">
        <f>VLOOKUP(B508,[1]RXNS!$B:$C,1,)</f>
        <v>#N/A</v>
      </c>
      <c r="D508" s="9" t="e">
        <f t="shared" si="28"/>
        <v>#N/A</v>
      </c>
      <c r="E508" s="9" t="e">
        <v>#N/A</v>
      </c>
      <c r="F508" s="9" t="s">
        <v>2236</v>
      </c>
      <c r="G508" s="9" t="e">
        <f t="shared" si="29"/>
        <v>#N/A</v>
      </c>
      <c r="H508" s="9" t="e">
        <f>VLOOKUP(B508,[1]RXNS!$B:$D,3,FALSE)</f>
        <v>#N/A</v>
      </c>
      <c r="I508" s="9" t="e">
        <f>VLOOKUP(B508,[1]RXNS!$B:$E,4,FALSE)</f>
        <v>#N/A</v>
      </c>
      <c r="J508" s="9" t="s">
        <v>2237</v>
      </c>
      <c r="K508" s="13"/>
      <c r="L508" s="9" t="e">
        <f t="shared" si="30"/>
        <v>#N/A</v>
      </c>
      <c r="M508" s="9" t="e">
        <f t="shared" si="31"/>
        <v>#N/A</v>
      </c>
      <c r="N508" s="9" t="s">
        <v>2238</v>
      </c>
      <c r="O508" s="9">
        <v>0</v>
      </c>
      <c r="P508" s="9">
        <v>1000</v>
      </c>
      <c r="Q508" s="13"/>
      <c r="R508" s="13"/>
      <c r="S508" s="13"/>
      <c r="T508" s="9" t="s">
        <v>1276</v>
      </c>
      <c r="U508" s="13"/>
      <c r="V508" s="9" t="s">
        <v>30</v>
      </c>
      <c r="W508" s="13"/>
      <c r="X508" s="9">
        <v>2</v>
      </c>
    </row>
    <row r="509" spans="1:24">
      <c r="A509" s="13"/>
      <c r="B509" s="9" t="s">
        <v>2239</v>
      </c>
      <c r="C509" s="9" t="e">
        <f>VLOOKUP(B509,[1]RXNS!$B:$C,1,)</f>
        <v>#N/A</v>
      </c>
      <c r="D509" s="9" t="e">
        <f t="shared" si="28"/>
        <v>#N/A</v>
      </c>
      <c r="E509" s="9" t="e">
        <v>#N/A</v>
      </c>
      <c r="F509" s="9" t="s">
        <v>2240</v>
      </c>
      <c r="G509" s="9" t="e">
        <f t="shared" si="29"/>
        <v>#N/A</v>
      </c>
      <c r="H509" s="9" t="e">
        <f>VLOOKUP(B509,[1]RXNS!$B:$D,3,FALSE)</f>
        <v>#N/A</v>
      </c>
      <c r="I509" s="9" t="s">
        <v>2241</v>
      </c>
      <c r="J509" s="9" t="s">
        <v>2242</v>
      </c>
      <c r="K509" s="9" t="s">
        <v>2241</v>
      </c>
      <c r="L509" s="9" t="e">
        <f t="shared" si="30"/>
        <v>#N/A</v>
      </c>
      <c r="M509" s="9" t="b">
        <f t="shared" si="31"/>
        <v>1</v>
      </c>
      <c r="N509" s="9" t="s">
        <v>2243</v>
      </c>
      <c r="O509" s="9">
        <v>0</v>
      </c>
      <c r="P509" s="9">
        <v>1000</v>
      </c>
      <c r="Q509" s="13"/>
      <c r="R509" s="13"/>
      <c r="S509" s="13"/>
      <c r="T509" s="9" t="s">
        <v>244</v>
      </c>
      <c r="U509" s="13"/>
      <c r="V509" s="9" t="s">
        <v>30</v>
      </c>
      <c r="W509" s="13"/>
      <c r="X509" s="9">
        <v>2</v>
      </c>
    </row>
    <row r="510" spans="1:24">
      <c r="A510" s="13"/>
      <c r="B510" s="9" t="s">
        <v>2244</v>
      </c>
      <c r="C510" s="9" t="e">
        <f>VLOOKUP(B510,[1]RXNS!$B:$C,1,)</f>
        <v>#N/A</v>
      </c>
      <c r="D510" s="9" t="e">
        <f t="shared" si="28"/>
        <v>#N/A</v>
      </c>
      <c r="E510" s="9" t="e">
        <v>#N/A</v>
      </c>
      <c r="F510" s="9" t="s">
        <v>2245</v>
      </c>
      <c r="G510" s="9" t="e">
        <f t="shared" si="29"/>
        <v>#N/A</v>
      </c>
      <c r="H510" s="9" t="e">
        <f>VLOOKUP(B510,[1]RXNS!$B:$D,3,FALSE)</f>
        <v>#N/A</v>
      </c>
      <c r="I510" s="9" t="s">
        <v>2246</v>
      </c>
      <c r="J510" s="9" t="s">
        <v>2247</v>
      </c>
      <c r="K510" s="9" t="s">
        <v>2246</v>
      </c>
      <c r="L510" s="9" t="e">
        <f t="shared" si="30"/>
        <v>#N/A</v>
      </c>
      <c r="M510" s="9" t="b">
        <f t="shared" si="31"/>
        <v>1</v>
      </c>
      <c r="N510" s="9" t="s">
        <v>2248</v>
      </c>
      <c r="O510" s="9">
        <v>0</v>
      </c>
      <c r="P510" s="9">
        <v>1000</v>
      </c>
      <c r="Q510" s="13"/>
      <c r="R510" s="13"/>
      <c r="S510" s="13"/>
      <c r="T510" s="9" t="s">
        <v>244</v>
      </c>
      <c r="U510" s="13"/>
      <c r="V510" s="9" t="s">
        <v>30</v>
      </c>
      <c r="W510" s="13"/>
      <c r="X510" s="9">
        <v>2</v>
      </c>
    </row>
    <row r="511" spans="1:24">
      <c r="A511" s="13"/>
      <c r="B511" s="9" t="s">
        <v>2249</v>
      </c>
      <c r="C511" s="9" t="e">
        <f>VLOOKUP(B511,[1]RXNS!$B:$C,1,)</f>
        <v>#N/A</v>
      </c>
      <c r="D511" s="9" t="e">
        <f t="shared" si="28"/>
        <v>#N/A</v>
      </c>
      <c r="E511" s="9" t="e">
        <v>#N/A</v>
      </c>
      <c r="F511" s="9" t="s">
        <v>2250</v>
      </c>
      <c r="G511" s="9" t="e">
        <f t="shared" si="29"/>
        <v>#N/A</v>
      </c>
      <c r="H511" s="9" t="e">
        <f>VLOOKUP(B511,[1]RXNS!$B:$D,3,FALSE)</f>
        <v>#N/A</v>
      </c>
      <c r="I511" s="9" t="s">
        <v>2251</v>
      </c>
      <c r="J511" s="9" t="s">
        <v>2252</v>
      </c>
      <c r="K511" s="9" t="s">
        <v>2251</v>
      </c>
      <c r="L511" s="9" t="e">
        <f t="shared" si="30"/>
        <v>#N/A</v>
      </c>
      <c r="M511" s="9" t="b">
        <f t="shared" si="31"/>
        <v>1</v>
      </c>
      <c r="N511" s="9" t="s">
        <v>2243</v>
      </c>
      <c r="O511" s="9">
        <v>0</v>
      </c>
      <c r="P511" s="9">
        <v>1000</v>
      </c>
      <c r="Q511" s="13"/>
      <c r="R511" s="13"/>
      <c r="S511" s="13"/>
      <c r="T511" s="9" t="s">
        <v>244</v>
      </c>
      <c r="U511" s="13"/>
      <c r="V511" s="9" t="s">
        <v>30</v>
      </c>
      <c r="W511" s="13"/>
      <c r="X511" s="9">
        <v>2</v>
      </c>
    </row>
    <row r="512" spans="1:24">
      <c r="A512" s="13"/>
      <c r="B512" s="9" t="s">
        <v>2253</v>
      </c>
      <c r="C512" s="9" t="e">
        <f>VLOOKUP(B512,[1]RXNS!$B:$C,1,)</f>
        <v>#N/A</v>
      </c>
      <c r="D512" s="9" t="e">
        <f t="shared" si="28"/>
        <v>#N/A</v>
      </c>
      <c r="E512" s="9" t="e">
        <v>#N/A</v>
      </c>
      <c r="F512" s="9" t="s">
        <v>2254</v>
      </c>
      <c r="G512" s="9" t="e">
        <f t="shared" si="29"/>
        <v>#N/A</v>
      </c>
      <c r="H512" s="9" t="e">
        <f>VLOOKUP(B512,[1]RXNS!$B:$D,3,FALSE)</f>
        <v>#N/A</v>
      </c>
      <c r="I512" s="9" t="s">
        <v>2255</v>
      </c>
      <c r="J512" s="9" t="s">
        <v>2256</v>
      </c>
      <c r="K512" s="9" t="s">
        <v>2255</v>
      </c>
      <c r="L512" s="9" t="e">
        <f t="shared" si="30"/>
        <v>#N/A</v>
      </c>
      <c r="M512" s="9" t="b">
        <f t="shared" si="31"/>
        <v>1</v>
      </c>
      <c r="N512" s="9" t="s">
        <v>2257</v>
      </c>
      <c r="O512" s="9">
        <v>0</v>
      </c>
      <c r="P512" s="9">
        <v>1000</v>
      </c>
      <c r="Q512" s="13"/>
      <c r="R512" s="13"/>
      <c r="S512" s="13"/>
      <c r="T512" s="9" t="s">
        <v>153</v>
      </c>
      <c r="U512" s="13"/>
      <c r="V512" s="9" t="s">
        <v>30</v>
      </c>
      <c r="W512" s="13"/>
      <c r="X512" s="9">
        <v>2</v>
      </c>
    </row>
    <row r="513" spans="1:24">
      <c r="A513" s="13"/>
      <c r="B513" s="9" t="s">
        <v>2258</v>
      </c>
      <c r="C513" s="9" t="e">
        <f>VLOOKUP(B513,[1]RXNS!$B:$C,1,)</f>
        <v>#N/A</v>
      </c>
      <c r="D513" s="9" t="e">
        <f t="shared" si="28"/>
        <v>#N/A</v>
      </c>
      <c r="E513" s="9" t="e">
        <v>#N/A</v>
      </c>
      <c r="F513" s="9" t="s">
        <v>2259</v>
      </c>
      <c r="G513" s="9" t="e">
        <f t="shared" si="29"/>
        <v>#N/A</v>
      </c>
      <c r="H513" s="9" t="e">
        <f>VLOOKUP(B513,[1]RXNS!$B:$D,3,FALSE)</f>
        <v>#N/A</v>
      </c>
      <c r="I513" s="9" t="e">
        <f>VLOOKUP(B513,[1]RXNS!$B:$E,4,FALSE)</f>
        <v>#N/A</v>
      </c>
      <c r="J513" s="9" t="s">
        <v>2260</v>
      </c>
      <c r="K513" s="13"/>
      <c r="L513" s="9" t="e">
        <f t="shared" si="30"/>
        <v>#N/A</v>
      </c>
      <c r="M513" s="9" t="e">
        <f t="shared" si="31"/>
        <v>#N/A</v>
      </c>
      <c r="N513" s="9" t="s">
        <v>2261</v>
      </c>
      <c r="O513" s="9">
        <v>0</v>
      </c>
      <c r="P513" s="9">
        <v>1000</v>
      </c>
      <c r="Q513" s="13"/>
      <c r="R513" s="13"/>
      <c r="S513" s="13"/>
      <c r="T513" s="9" t="s">
        <v>1669</v>
      </c>
      <c r="U513" s="13"/>
      <c r="V513" s="9" t="s">
        <v>30</v>
      </c>
      <c r="W513" s="13"/>
      <c r="X513" s="9">
        <v>2</v>
      </c>
    </row>
    <row r="514" spans="1:24">
      <c r="A514" s="13"/>
      <c r="B514" s="9" t="s">
        <v>2262</v>
      </c>
      <c r="C514" s="9" t="e">
        <f>VLOOKUP(B514,[1]RXNS!$B:$C,1,)</f>
        <v>#N/A</v>
      </c>
      <c r="D514" s="9" t="e">
        <f t="shared" ref="D514:D577" si="32">EXACT(B514,C514)</f>
        <v>#N/A</v>
      </c>
      <c r="E514" s="9" t="e">
        <v>#N/A</v>
      </c>
      <c r="F514" s="9" t="s">
        <v>2263</v>
      </c>
      <c r="G514" s="9" t="e">
        <f t="shared" ref="G514:G577" si="33">EXACT(E514,F514)</f>
        <v>#N/A</v>
      </c>
      <c r="H514" s="9" t="e">
        <f>VLOOKUP(B514,[1]RXNS!$B:$D,3,FALSE)</f>
        <v>#N/A</v>
      </c>
      <c r="I514" s="9" t="e">
        <f>VLOOKUP(B514,[1]RXNS!$B:$E,4,FALSE)</f>
        <v>#N/A</v>
      </c>
      <c r="J514" s="9" t="s">
        <v>2264</v>
      </c>
      <c r="K514" s="13"/>
      <c r="L514" s="9" t="e">
        <f t="shared" ref="L514:L577" si="34">EXACT(H514,J514)</f>
        <v>#N/A</v>
      </c>
      <c r="M514" s="9" t="e">
        <f t="shared" ref="M514:M577" si="35">EXACT(I514,K514)</f>
        <v>#N/A</v>
      </c>
      <c r="N514" s="9" t="s">
        <v>2261</v>
      </c>
      <c r="O514" s="9">
        <v>0</v>
      </c>
      <c r="P514" s="9">
        <v>1000</v>
      </c>
      <c r="Q514" s="13"/>
      <c r="R514" s="13"/>
      <c r="S514" s="13"/>
      <c r="T514" s="9" t="s">
        <v>1669</v>
      </c>
      <c r="U514" s="13"/>
      <c r="V514" s="9" t="s">
        <v>30</v>
      </c>
      <c r="W514" s="13"/>
      <c r="X514" s="9">
        <v>2</v>
      </c>
    </row>
    <row r="515" spans="1:24">
      <c r="A515" s="13"/>
      <c r="B515" s="9" t="s">
        <v>2265</v>
      </c>
      <c r="C515" s="9" t="e">
        <f>VLOOKUP(B515,[1]RXNS!$B:$C,1,)</f>
        <v>#N/A</v>
      </c>
      <c r="D515" s="9" t="e">
        <f t="shared" si="32"/>
        <v>#N/A</v>
      </c>
      <c r="E515" s="9" t="e">
        <v>#N/A</v>
      </c>
      <c r="F515" s="9" t="s">
        <v>2266</v>
      </c>
      <c r="G515" s="9" t="e">
        <f t="shared" si="33"/>
        <v>#N/A</v>
      </c>
      <c r="H515" s="9" t="e">
        <f>VLOOKUP(B515,[1]RXNS!$B:$D,3,FALSE)</f>
        <v>#N/A</v>
      </c>
      <c r="I515" s="9" t="s">
        <v>2267</v>
      </c>
      <c r="J515" s="9" t="s">
        <v>2268</v>
      </c>
      <c r="K515" s="9" t="s">
        <v>2267</v>
      </c>
      <c r="L515" s="9" t="e">
        <f t="shared" si="34"/>
        <v>#N/A</v>
      </c>
      <c r="M515" s="9" t="b">
        <f t="shared" si="35"/>
        <v>1</v>
      </c>
      <c r="N515" s="9" t="s">
        <v>1706</v>
      </c>
      <c r="O515" s="9">
        <v>0</v>
      </c>
      <c r="P515" s="9">
        <v>1000</v>
      </c>
      <c r="Q515" s="13"/>
      <c r="R515" s="13"/>
      <c r="S515" s="13"/>
      <c r="T515" s="9" t="s">
        <v>573</v>
      </c>
      <c r="U515" s="13"/>
      <c r="V515" s="9" t="s">
        <v>30</v>
      </c>
      <c r="W515" s="13"/>
      <c r="X515" s="9">
        <v>2</v>
      </c>
    </row>
    <row r="516" spans="1:24">
      <c r="A516" s="13"/>
      <c r="B516" s="9" t="s">
        <v>2269</v>
      </c>
      <c r="C516" s="9" t="e">
        <f>VLOOKUP(B516,[1]RXNS!$B:$C,1,)</f>
        <v>#N/A</v>
      </c>
      <c r="D516" s="9" t="e">
        <f t="shared" si="32"/>
        <v>#N/A</v>
      </c>
      <c r="E516" s="9" t="e">
        <v>#N/A</v>
      </c>
      <c r="F516" s="9" t="s">
        <v>2270</v>
      </c>
      <c r="G516" s="9" t="e">
        <f t="shared" si="33"/>
        <v>#N/A</v>
      </c>
      <c r="H516" s="9" t="e">
        <f>VLOOKUP(B516,[1]RXNS!$B:$D,3,FALSE)</f>
        <v>#N/A</v>
      </c>
      <c r="I516" s="9" t="s">
        <v>2271</v>
      </c>
      <c r="J516" s="9" t="s">
        <v>2272</v>
      </c>
      <c r="K516" s="9" t="s">
        <v>2271</v>
      </c>
      <c r="L516" s="9" t="e">
        <f t="shared" si="34"/>
        <v>#N/A</v>
      </c>
      <c r="M516" s="9" t="b">
        <f t="shared" si="35"/>
        <v>1</v>
      </c>
      <c r="N516" s="9" t="s">
        <v>1744</v>
      </c>
      <c r="O516" s="9">
        <v>0</v>
      </c>
      <c r="P516" s="9">
        <v>1000</v>
      </c>
      <c r="Q516" s="13"/>
      <c r="R516" s="13"/>
      <c r="S516" s="13"/>
      <c r="T516" s="9" t="s">
        <v>34</v>
      </c>
      <c r="U516" s="13"/>
      <c r="V516" s="9" t="s">
        <v>30</v>
      </c>
      <c r="W516" s="13"/>
      <c r="X516" s="9">
        <v>2</v>
      </c>
    </row>
    <row r="517" spans="1:24">
      <c r="A517" s="13"/>
      <c r="B517" s="9" t="s">
        <v>2273</v>
      </c>
      <c r="C517" s="9" t="e">
        <f>VLOOKUP(B517,[1]RXNS!$B:$C,1,)</f>
        <v>#N/A</v>
      </c>
      <c r="D517" s="9" t="e">
        <f t="shared" si="32"/>
        <v>#N/A</v>
      </c>
      <c r="E517" s="9" t="e">
        <v>#N/A</v>
      </c>
      <c r="F517" s="9" t="s">
        <v>2274</v>
      </c>
      <c r="G517" s="9" t="e">
        <f t="shared" si="33"/>
        <v>#N/A</v>
      </c>
      <c r="H517" s="9" t="e">
        <f>VLOOKUP(B517,[1]RXNS!$B:$D,3,FALSE)</f>
        <v>#N/A</v>
      </c>
      <c r="I517" s="9" t="e">
        <f>VLOOKUP(B517,[1]RXNS!$B:$E,4,FALSE)</f>
        <v>#N/A</v>
      </c>
      <c r="J517" s="9" t="s">
        <v>2275</v>
      </c>
      <c r="K517" s="13"/>
      <c r="L517" s="9" t="e">
        <f t="shared" si="34"/>
        <v>#N/A</v>
      </c>
      <c r="M517" s="9" t="e">
        <f t="shared" si="35"/>
        <v>#N/A</v>
      </c>
      <c r="N517" s="9" t="s">
        <v>1788</v>
      </c>
      <c r="O517" s="9">
        <v>0</v>
      </c>
      <c r="P517" s="9">
        <v>1000</v>
      </c>
      <c r="Q517" s="13"/>
      <c r="R517" s="13"/>
      <c r="S517" s="13"/>
      <c r="T517" s="9" t="s">
        <v>34</v>
      </c>
      <c r="U517" s="13"/>
      <c r="V517" s="9" t="s">
        <v>30</v>
      </c>
      <c r="W517" s="13"/>
      <c r="X517" s="9">
        <v>2</v>
      </c>
    </row>
    <row r="518" spans="1:24">
      <c r="A518" s="13"/>
      <c r="B518" s="9" t="s">
        <v>2276</v>
      </c>
      <c r="C518" s="9" t="e">
        <f>VLOOKUP(B518,[1]RXNS!$B:$C,1,)</f>
        <v>#N/A</v>
      </c>
      <c r="D518" s="9" t="e">
        <f t="shared" si="32"/>
        <v>#N/A</v>
      </c>
      <c r="E518" s="9" t="e">
        <v>#N/A</v>
      </c>
      <c r="F518" s="9" t="s">
        <v>2277</v>
      </c>
      <c r="G518" s="9" t="e">
        <f t="shared" si="33"/>
        <v>#N/A</v>
      </c>
      <c r="H518" s="9" t="e">
        <f>VLOOKUP(B518,[1]RXNS!$B:$D,3,FALSE)</f>
        <v>#N/A</v>
      </c>
      <c r="I518" s="9" t="s">
        <v>2271</v>
      </c>
      <c r="J518" s="9" t="s">
        <v>2278</v>
      </c>
      <c r="K518" s="9" t="s">
        <v>2271</v>
      </c>
      <c r="L518" s="9" t="e">
        <f t="shared" si="34"/>
        <v>#N/A</v>
      </c>
      <c r="M518" s="9" t="b">
        <f t="shared" si="35"/>
        <v>1</v>
      </c>
      <c r="N518" s="9" t="s">
        <v>1744</v>
      </c>
      <c r="O518" s="9">
        <v>0</v>
      </c>
      <c r="P518" s="9">
        <v>1000</v>
      </c>
      <c r="Q518" s="13"/>
      <c r="R518" s="13"/>
      <c r="S518" s="13"/>
      <c r="T518" s="9" t="s">
        <v>34</v>
      </c>
      <c r="U518" s="13"/>
      <c r="V518" s="9" t="s">
        <v>30</v>
      </c>
      <c r="W518" s="13"/>
      <c r="X518" s="9">
        <v>2</v>
      </c>
    </row>
    <row r="519" spans="1:24">
      <c r="A519" s="13"/>
      <c r="B519" s="9" t="s">
        <v>2279</v>
      </c>
      <c r="C519" s="9" t="e">
        <f>VLOOKUP(B519,[1]RXNS!$B:$C,1,)</f>
        <v>#N/A</v>
      </c>
      <c r="D519" s="9" t="e">
        <f t="shared" si="32"/>
        <v>#N/A</v>
      </c>
      <c r="E519" s="9" t="e">
        <v>#N/A</v>
      </c>
      <c r="F519" s="9" t="s">
        <v>2280</v>
      </c>
      <c r="G519" s="9" t="e">
        <f t="shared" si="33"/>
        <v>#N/A</v>
      </c>
      <c r="H519" s="9" t="e">
        <f>VLOOKUP(B519,[1]RXNS!$B:$D,3,FALSE)</f>
        <v>#N/A</v>
      </c>
      <c r="I519" s="9" t="s">
        <v>2281</v>
      </c>
      <c r="J519" s="9" t="s">
        <v>2282</v>
      </c>
      <c r="K519" s="9" t="s">
        <v>2281</v>
      </c>
      <c r="L519" s="9" t="e">
        <f t="shared" si="34"/>
        <v>#N/A</v>
      </c>
      <c r="M519" s="9" t="b">
        <f t="shared" si="35"/>
        <v>1</v>
      </c>
      <c r="N519" s="13"/>
      <c r="O519" s="9">
        <v>0</v>
      </c>
      <c r="P519" s="9">
        <v>1000</v>
      </c>
      <c r="Q519" s="13"/>
      <c r="R519" s="13"/>
      <c r="S519" s="13"/>
      <c r="T519" s="9" t="s">
        <v>34</v>
      </c>
      <c r="U519" s="13"/>
      <c r="V519" s="9" t="s">
        <v>35</v>
      </c>
      <c r="W519" s="13"/>
      <c r="X519" s="9">
        <v>2</v>
      </c>
    </row>
    <row r="520" spans="1:24">
      <c r="A520" s="13"/>
      <c r="B520" s="9" t="s">
        <v>2283</v>
      </c>
      <c r="C520" s="9" t="e">
        <f>VLOOKUP(B520,[1]RXNS!$B:$C,1,)</f>
        <v>#N/A</v>
      </c>
      <c r="D520" s="9" t="e">
        <f t="shared" si="32"/>
        <v>#N/A</v>
      </c>
      <c r="E520" s="9" t="e">
        <v>#N/A</v>
      </c>
      <c r="F520" s="9" t="s">
        <v>2284</v>
      </c>
      <c r="G520" s="9" t="e">
        <f t="shared" si="33"/>
        <v>#N/A</v>
      </c>
      <c r="H520" s="9" t="e">
        <f>VLOOKUP(B520,[1]RXNS!$B:$D,3,FALSE)</f>
        <v>#N/A</v>
      </c>
      <c r="I520" s="9" t="s">
        <v>2285</v>
      </c>
      <c r="J520" s="9" t="s">
        <v>2286</v>
      </c>
      <c r="K520" s="9" t="s">
        <v>2285</v>
      </c>
      <c r="L520" s="9" t="e">
        <f t="shared" si="34"/>
        <v>#N/A</v>
      </c>
      <c r="M520" s="9" t="b">
        <f t="shared" si="35"/>
        <v>1</v>
      </c>
      <c r="N520" s="9" t="s">
        <v>2287</v>
      </c>
      <c r="O520" s="9">
        <v>0</v>
      </c>
      <c r="P520" s="9">
        <v>1000</v>
      </c>
      <c r="Q520" s="13"/>
      <c r="R520" s="13"/>
      <c r="S520" s="13"/>
      <c r="T520" s="9" t="s">
        <v>2288</v>
      </c>
      <c r="U520" s="13"/>
      <c r="V520" s="9" t="s">
        <v>30</v>
      </c>
      <c r="W520" s="13"/>
      <c r="X520" s="9">
        <v>2</v>
      </c>
    </row>
    <row r="521" spans="1:24">
      <c r="A521" s="13"/>
      <c r="B521" s="9" t="s">
        <v>2289</v>
      </c>
      <c r="C521" s="9" t="e">
        <f>VLOOKUP(B521,[1]RXNS!$B:$C,1,)</f>
        <v>#N/A</v>
      </c>
      <c r="D521" s="9" t="e">
        <f t="shared" si="32"/>
        <v>#N/A</v>
      </c>
      <c r="E521" s="9" t="e">
        <v>#N/A</v>
      </c>
      <c r="F521" s="9" t="s">
        <v>2290</v>
      </c>
      <c r="G521" s="9" t="e">
        <f t="shared" si="33"/>
        <v>#N/A</v>
      </c>
      <c r="H521" s="9" t="e">
        <f>VLOOKUP(B521,[1]RXNS!$B:$D,3,FALSE)</f>
        <v>#N/A</v>
      </c>
      <c r="I521" s="9" t="s">
        <v>2291</v>
      </c>
      <c r="J521" s="9" t="s">
        <v>2292</v>
      </c>
      <c r="K521" s="9" t="s">
        <v>2291</v>
      </c>
      <c r="L521" s="9" t="e">
        <f t="shared" si="34"/>
        <v>#N/A</v>
      </c>
      <c r="M521" s="9" t="b">
        <f t="shared" si="35"/>
        <v>1</v>
      </c>
      <c r="N521" s="9" t="s">
        <v>2293</v>
      </c>
      <c r="O521" s="9">
        <v>0</v>
      </c>
      <c r="P521" s="9">
        <v>1000</v>
      </c>
      <c r="Q521" s="13"/>
      <c r="R521" s="13"/>
      <c r="S521" s="13"/>
      <c r="T521" s="9" t="s">
        <v>2294</v>
      </c>
      <c r="U521" s="13"/>
      <c r="V521" s="9" t="s">
        <v>30</v>
      </c>
      <c r="W521" s="13"/>
      <c r="X521" s="9">
        <v>2</v>
      </c>
    </row>
    <row r="522" spans="1:24">
      <c r="A522" s="13"/>
      <c r="B522" s="9" t="s">
        <v>2295</v>
      </c>
      <c r="C522" s="9" t="e">
        <f>VLOOKUP(B522,[1]RXNS!$B:$C,1,)</f>
        <v>#N/A</v>
      </c>
      <c r="D522" s="9" t="e">
        <f t="shared" si="32"/>
        <v>#N/A</v>
      </c>
      <c r="E522" s="9" t="e">
        <v>#N/A</v>
      </c>
      <c r="F522" s="9" t="s">
        <v>2296</v>
      </c>
      <c r="G522" s="9" t="e">
        <f t="shared" si="33"/>
        <v>#N/A</v>
      </c>
      <c r="H522" s="9" t="e">
        <f>VLOOKUP(B522,[1]RXNS!$B:$D,3,FALSE)</f>
        <v>#N/A</v>
      </c>
      <c r="I522" s="9" t="s">
        <v>2291</v>
      </c>
      <c r="J522" s="9" t="s">
        <v>2297</v>
      </c>
      <c r="K522" s="9" t="s">
        <v>2291</v>
      </c>
      <c r="L522" s="9" t="e">
        <f t="shared" si="34"/>
        <v>#N/A</v>
      </c>
      <c r="M522" s="9" t="b">
        <f t="shared" si="35"/>
        <v>1</v>
      </c>
      <c r="N522" s="9" t="s">
        <v>2293</v>
      </c>
      <c r="O522" s="9">
        <v>0</v>
      </c>
      <c r="P522" s="9">
        <v>1000</v>
      </c>
      <c r="Q522" s="13"/>
      <c r="R522" s="13"/>
      <c r="S522" s="13"/>
      <c r="T522" s="9" t="s">
        <v>2294</v>
      </c>
      <c r="U522" s="13"/>
      <c r="V522" s="9" t="s">
        <v>30</v>
      </c>
      <c r="W522" s="13"/>
      <c r="X522" s="9">
        <v>2</v>
      </c>
    </row>
    <row r="523" spans="1:24">
      <c r="A523" s="13"/>
      <c r="B523" s="9" t="s">
        <v>2298</v>
      </c>
      <c r="C523" s="9" t="e">
        <f>VLOOKUP(B523,[1]RXNS!$B:$C,1,)</f>
        <v>#N/A</v>
      </c>
      <c r="D523" s="9" t="e">
        <f t="shared" si="32"/>
        <v>#N/A</v>
      </c>
      <c r="E523" s="9" t="e">
        <v>#N/A</v>
      </c>
      <c r="F523" s="9" t="s">
        <v>2299</v>
      </c>
      <c r="G523" s="9" t="e">
        <f t="shared" si="33"/>
        <v>#N/A</v>
      </c>
      <c r="H523" s="9" t="e">
        <f>VLOOKUP(B523,[1]RXNS!$B:$D,3,FALSE)</f>
        <v>#N/A</v>
      </c>
      <c r="I523" s="9" t="s">
        <v>2300</v>
      </c>
      <c r="J523" s="9" t="s">
        <v>2301</v>
      </c>
      <c r="K523" s="9" t="s">
        <v>2300</v>
      </c>
      <c r="L523" s="9" t="e">
        <f t="shared" si="34"/>
        <v>#N/A</v>
      </c>
      <c r="M523" s="9" t="b">
        <f t="shared" si="35"/>
        <v>1</v>
      </c>
      <c r="N523" s="9" t="s">
        <v>2302</v>
      </c>
      <c r="O523" s="9">
        <v>0</v>
      </c>
      <c r="P523" s="9">
        <v>1000</v>
      </c>
      <c r="Q523" s="13"/>
      <c r="R523" s="13"/>
      <c r="S523" s="13"/>
      <c r="T523" s="9" t="s">
        <v>648</v>
      </c>
      <c r="U523" s="13"/>
      <c r="V523" s="9" t="s">
        <v>30</v>
      </c>
      <c r="W523" s="13"/>
      <c r="X523" s="9">
        <v>2</v>
      </c>
    </row>
    <row r="524" spans="1:24">
      <c r="A524" s="13"/>
      <c r="B524" s="9" t="s">
        <v>2303</v>
      </c>
      <c r="C524" s="9" t="e">
        <f>VLOOKUP(B524,[1]RXNS!$B:$C,1,)</f>
        <v>#N/A</v>
      </c>
      <c r="D524" s="9" t="e">
        <f t="shared" si="32"/>
        <v>#N/A</v>
      </c>
      <c r="E524" s="9" t="e">
        <v>#N/A</v>
      </c>
      <c r="F524" s="9" t="s">
        <v>2304</v>
      </c>
      <c r="G524" s="9" t="e">
        <f t="shared" si="33"/>
        <v>#N/A</v>
      </c>
      <c r="H524" s="9" t="e">
        <f>VLOOKUP(B524,[1]RXNS!$B:$D,3,FALSE)</f>
        <v>#N/A</v>
      </c>
      <c r="I524" s="9" t="e">
        <f>VLOOKUP(B524,[1]RXNS!$B:$E,4,FALSE)</f>
        <v>#N/A</v>
      </c>
      <c r="J524" s="9" t="s">
        <v>2305</v>
      </c>
      <c r="K524" s="13"/>
      <c r="L524" s="9" t="e">
        <f t="shared" si="34"/>
        <v>#N/A</v>
      </c>
      <c r="M524" s="9" t="e">
        <f t="shared" si="35"/>
        <v>#N/A</v>
      </c>
      <c r="N524" s="9" t="s">
        <v>2306</v>
      </c>
      <c r="O524" s="9">
        <v>0</v>
      </c>
      <c r="P524" s="9">
        <v>1000</v>
      </c>
      <c r="Q524" s="13"/>
      <c r="R524" s="13"/>
      <c r="S524" s="13"/>
      <c r="T524" s="9" t="s">
        <v>1276</v>
      </c>
      <c r="U524" s="13"/>
      <c r="V524" s="9" t="s">
        <v>30</v>
      </c>
      <c r="W524" s="13"/>
      <c r="X524" s="9">
        <v>2</v>
      </c>
    </row>
    <row r="525" spans="1:24">
      <c r="A525" s="13"/>
      <c r="B525" s="9" t="s">
        <v>2307</v>
      </c>
      <c r="C525" s="9" t="e">
        <f>VLOOKUP(B525,[1]RXNS!$B:$C,1,)</f>
        <v>#N/A</v>
      </c>
      <c r="D525" s="9" t="e">
        <f t="shared" si="32"/>
        <v>#N/A</v>
      </c>
      <c r="E525" s="9" t="e">
        <v>#N/A</v>
      </c>
      <c r="F525" s="9" t="s">
        <v>2308</v>
      </c>
      <c r="G525" s="9" t="e">
        <f t="shared" si="33"/>
        <v>#N/A</v>
      </c>
      <c r="H525" s="9" t="e">
        <f>VLOOKUP(B525,[1]RXNS!$B:$D,3,FALSE)</f>
        <v>#N/A</v>
      </c>
      <c r="I525" s="9" t="e">
        <f>VLOOKUP(B525,[1]RXNS!$B:$E,4,FALSE)</f>
        <v>#N/A</v>
      </c>
      <c r="J525" s="9" t="s">
        <v>2309</v>
      </c>
      <c r="K525" s="13"/>
      <c r="L525" s="9" t="e">
        <f t="shared" si="34"/>
        <v>#N/A</v>
      </c>
      <c r="M525" s="9" t="e">
        <f t="shared" si="35"/>
        <v>#N/A</v>
      </c>
      <c r="N525" s="9" t="s">
        <v>2310</v>
      </c>
      <c r="O525" s="9">
        <v>0</v>
      </c>
      <c r="P525" s="9">
        <v>1000</v>
      </c>
      <c r="Q525" s="13"/>
      <c r="R525" s="13"/>
      <c r="S525" s="13"/>
      <c r="T525" s="9" t="s">
        <v>2311</v>
      </c>
      <c r="U525" s="13"/>
      <c r="V525" s="9" t="s">
        <v>30</v>
      </c>
      <c r="W525" s="13"/>
      <c r="X525" s="9">
        <v>2</v>
      </c>
    </row>
    <row r="526" spans="1:24">
      <c r="A526" s="13"/>
      <c r="B526" s="9" t="s">
        <v>2312</v>
      </c>
      <c r="C526" s="9" t="e">
        <f>VLOOKUP(B526,[1]RXNS!$B:$C,1,)</f>
        <v>#N/A</v>
      </c>
      <c r="D526" s="9" t="e">
        <f t="shared" si="32"/>
        <v>#N/A</v>
      </c>
      <c r="E526" s="9" t="e">
        <v>#N/A</v>
      </c>
      <c r="F526" s="9" t="s">
        <v>2313</v>
      </c>
      <c r="G526" s="9" t="e">
        <f t="shared" si="33"/>
        <v>#N/A</v>
      </c>
      <c r="H526" s="9" t="e">
        <f>VLOOKUP(B526,[1]RXNS!$B:$D,3,FALSE)</f>
        <v>#N/A</v>
      </c>
      <c r="I526" s="9" t="s">
        <v>2314</v>
      </c>
      <c r="J526" s="9" t="s">
        <v>2315</v>
      </c>
      <c r="K526" s="9" t="s">
        <v>2314</v>
      </c>
      <c r="L526" s="9" t="e">
        <f t="shared" si="34"/>
        <v>#N/A</v>
      </c>
      <c r="M526" s="9" t="b">
        <f t="shared" si="35"/>
        <v>1</v>
      </c>
      <c r="N526" s="9" t="s">
        <v>2316</v>
      </c>
      <c r="O526" s="9">
        <v>0</v>
      </c>
      <c r="P526" s="9">
        <v>1000</v>
      </c>
      <c r="Q526" s="13"/>
      <c r="R526" s="13"/>
      <c r="S526" s="13"/>
      <c r="T526" s="9" t="s">
        <v>131</v>
      </c>
      <c r="U526" s="13"/>
      <c r="V526" s="9" t="s">
        <v>30</v>
      </c>
      <c r="W526" s="13"/>
      <c r="X526" s="9">
        <v>2</v>
      </c>
    </row>
    <row r="527" spans="1:24">
      <c r="A527" s="13"/>
      <c r="B527" s="9" t="s">
        <v>2317</v>
      </c>
      <c r="C527" s="9" t="e">
        <f>VLOOKUP(B527,[1]RXNS!$B:$C,1,)</f>
        <v>#N/A</v>
      </c>
      <c r="D527" s="9" t="e">
        <f t="shared" si="32"/>
        <v>#N/A</v>
      </c>
      <c r="E527" s="9" t="e">
        <v>#N/A</v>
      </c>
      <c r="F527" s="9" t="s">
        <v>2318</v>
      </c>
      <c r="G527" s="9" t="e">
        <f t="shared" si="33"/>
        <v>#N/A</v>
      </c>
      <c r="H527" s="9" t="e">
        <f>VLOOKUP(B527,[1]RXNS!$B:$D,3,FALSE)</f>
        <v>#N/A</v>
      </c>
      <c r="I527" s="9" t="e">
        <f>VLOOKUP(B527,[1]RXNS!$B:$E,4,FALSE)</f>
        <v>#N/A</v>
      </c>
      <c r="J527" s="9" t="s">
        <v>2319</v>
      </c>
      <c r="K527" s="13"/>
      <c r="L527" s="9" t="e">
        <f t="shared" si="34"/>
        <v>#N/A</v>
      </c>
      <c r="M527" s="9" t="e">
        <f t="shared" si="35"/>
        <v>#N/A</v>
      </c>
      <c r="N527" s="9" t="s">
        <v>1706</v>
      </c>
      <c r="O527" s="9">
        <v>0</v>
      </c>
      <c r="P527" s="9">
        <v>1000</v>
      </c>
      <c r="Q527" s="13"/>
      <c r="R527" s="13"/>
      <c r="S527" s="13"/>
      <c r="T527" s="9" t="s">
        <v>573</v>
      </c>
      <c r="U527" s="13"/>
      <c r="V527" s="9" t="s">
        <v>30</v>
      </c>
      <c r="W527" s="13"/>
      <c r="X527" s="9">
        <v>2</v>
      </c>
    </row>
    <row r="528" spans="1:24">
      <c r="A528" s="13"/>
      <c r="B528" s="9" t="s">
        <v>2320</v>
      </c>
      <c r="C528" s="9" t="e">
        <f>VLOOKUP(B528,[1]RXNS!$B:$C,1,)</f>
        <v>#N/A</v>
      </c>
      <c r="D528" s="9" t="e">
        <f t="shared" si="32"/>
        <v>#N/A</v>
      </c>
      <c r="E528" s="9" t="e">
        <v>#N/A</v>
      </c>
      <c r="F528" s="9" t="s">
        <v>2321</v>
      </c>
      <c r="G528" s="9" t="e">
        <f t="shared" si="33"/>
        <v>#N/A</v>
      </c>
      <c r="H528" s="9" t="e">
        <f>VLOOKUP(B528,[1]RXNS!$B:$D,3,FALSE)</f>
        <v>#N/A</v>
      </c>
      <c r="I528" s="9" t="e">
        <f>VLOOKUP(B528,[1]RXNS!$B:$E,4,FALSE)</f>
        <v>#N/A</v>
      </c>
      <c r="J528" s="9" t="s">
        <v>2322</v>
      </c>
      <c r="K528" s="13"/>
      <c r="L528" s="9" t="e">
        <f t="shared" si="34"/>
        <v>#N/A</v>
      </c>
      <c r="M528" s="9" t="e">
        <f t="shared" si="35"/>
        <v>#N/A</v>
      </c>
      <c r="N528" s="9" t="s">
        <v>2323</v>
      </c>
      <c r="O528" s="9">
        <v>0</v>
      </c>
      <c r="P528" s="9">
        <v>1000</v>
      </c>
      <c r="Q528" s="13"/>
      <c r="R528" s="13"/>
      <c r="S528" s="13"/>
      <c r="T528" s="9" t="s">
        <v>1276</v>
      </c>
      <c r="U528" s="13"/>
      <c r="V528" s="9" t="s">
        <v>30</v>
      </c>
      <c r="W528" s="13"/>
      <c r="X528" s="9">
        <v>2</v>
      </c>
    </row>
    <row r="529" spans="1:24">
      <c r="A529" s="13"/>
      <c r="B529" s="9" t="s">
        <v>2324</v>
      </c>
      <c r="C529" s="9" t="e">
        <f>VLOOKUP(B529,[1]RXNS!$B:$C,1,)</f>
        <v>#N/A</v>
      </c>
      <c r="D529" s="9" t="e">
        <f t="shared" si="32"/>
        <v>#N/A</v>
      </c>
      <c r="E529" s="9" t="e">
        <v>#N/A</v>
      </c>
      <c r="F529" s="9" t="s">
        <v>2325</v>
      </c>
      <c r="G529" s="9" t="e">
        <f t="shared" si="33"/>
        <v>#N/A</v>
      </c>
      <c r="H529" s="9" t="e">
        <f>VLOOKUP(B529,[1]RXNS!$B:$D,3,FALSE)</f>
        <v>#N/A</v>
      </c>
      <c r="I529" s="9" t="s">
        <v>2326</v>
      </c>
      <c r="J529" s="9" t="s">
        <v>2327</v>
      </c>
      <c r="K529" s="9" t="s">
        <v>2326</v>
      </c>
      <c r="L529" s="9" t="e">
        <f t="shared" si="34"/>
        <v>#N/A</v>
      </c>
      <c r="M529" s="9" t="b">
        <f t="shared" si="35"/>
        <v>1</v>
      </c>
      <c r="N529" s="9" t="s">
        <v>2328</v>
      </c>
      <c r="O529" s="9">
        <v>0</v>
      </c>
      <c r="P529" s="9">
        <v>1000</v>
      </c>
      <c r="Q529" s="13"/>
      <c r="R529" s="13"/>
      <c r="S529" s="13"/>
      <c r="T529" s="9" t="s">
        <v>314</v>
      </c>
      <c r="U529" s="13"/>
      <c r="V529" s="9" t="s">
        <v>30</v>
      </c>
      <c r="W529" s="13"/>
      <c r="X529" s="9">
        <v>2</v>
      </c>
    </row>
    <row r="530" spans="1:24">
      <c r="A530" s="13"/>
      <c r="B530" s="9" t="s">
        <v>2329</v>
      </c>
      <c r="C530" s="9" t="e">
        <f>VLOOKUP(B530,[1]RXNS!$B:$C,1,)</f>
        <v>#N/A</v>
      </c>
      <c r="D530" s="9" t="e">
        <f t="shared" si="32"/>
        <v>#N/A</v>
      </c>
      <c r="E530" s="9" t="e">
        <v>#N/A</v>
      </c>
      <c r="F530" s="9" t="s">
        <v>2330</v>
      </c>
      <c r="G530" s="9" t="e">
        <f t="shared" si="33"/>
        <v>#N/A</v>
      </c>
      <c r="H530" s="9" t="e">
        <f>VLOOKUP(B530,[1]RXNS!$B:$D,3,FALSE)</f>
        <v>#N/A</v>
      </c>
      <c r="I530" s="9" t="s">
        <v>2331</v>
      </c>
      <c r="J530" s="9" t="s">
        <v>2332</v>
      </c>
      <c r="K530" s="9" t="s">
        <v>2331</v>
      </c>
      <c r="L530" s="9" t="e">
        <f t="shared" si="34"/>
        <v>#N/A</v>
      </c>
      <c r="M530" s="9" t="b">
        <f t="shared" si="35"/>
        <v>1</v>
      </c>
      <c r="N530" s="9" t="s">
        <v>2333</v>
      </c>
      <c r="O530" s="9">
        <v>0</v>
      </c>
      <c r="P530" s="9">
        <v>1000</v>
      </c>
      <c r="Q530" s="13"/>
      <c r="R530" s="13"/>
      <c r="S530" s="13"/>
      <c r="T530" s="9" t="s">
        <v>2334</v>
      </c>
      <c r="U530" s="13"/>
      <c r="V530" s="9" t="s">
        <v>30</v>
      </c>
      <c r="W530" s="13"/>
      <c r="X530" s="9">
        <v>2</v>
      </c>
    </row>
    <row r="531" spans="1:24">
      <c r="A531" s="13"/>
      <c r="B531" s="9" t="s">
        <v>2335</v>
      </c>
      <c r="C531" s="9" t="e">
        <f>VLOOKUP(B531,[1]RXNS!$B:$C,1,)</f>
        <v>#N/A</v>
      </c>
      <c r="D531" s="9" t="e">
        <f t="shared" si="32"/>
        <v>#N/A</v>
      </c>
      <c r="E531" s="9" t="e">
        <v>#N/A</v>
      </c>
      <c r="F531" s="9" t="s">
        <v>2336</v>
      </c>
      <c r="G531" s="9" t="e">
        <f t="shared" si="33"/>
        <v>#N/A</v>
      </c>
      <c r="H531" s="9" t="e">
        <f>VLOOKUP(B531,[1]RXNS!$B:$D,3,FALSE)</f>
        <v>#N/A</v>
      </c>
      <c r="I531" s="9" t="e">
        <f>VLOOKUP(B531,[1]RXNS!$B:$E,4,FALSE)</f>
        <v>#N/A</v>
      </c>
      <c r="J531" s="9" t="s">
        <v>2337</v>
      </c>
      <c r="K531" s="13"/>
      <c r="L531" s="9" t="e">
        <f t="shared" si="34"/>
        <v>#N/A</v>
      </c>
      <c r="M531" s="9" t="e">
        <f t="shared" si="35"/>
        <v>#N/A</v>
      </c>
      <c r="N531" s="9" t="s">
        <v>2338</v>
      </c>
      <c r="O531" s="9">
        <v>0</v>
      </c>
      <c r="P531" s="9">
        <v>1000</v>
      </c>
      <c r="Q531" s="13"/>
      <c r="R531" s="13"/>
      <c r="S531" s="13"/>
      <c r="T531" s="9" t="s">
        <v>2334</v>
      </c>
      <c r="U531" s="13"/>
      <c r="V531" s="9" t="s">
        <v>30</v>
      </c>
      <c r="W531" s="13"/>
      <c r="X531" s="9">
        <v>2</v>
      </c>
    </row>
    <row r="532" spans="1:24">
      <c r="A532" s="13"/>
      <c r="B532" s="9" t="s">
        <v>2339</v>
      </c>
      <c r="C532" s="9" t="e">
        <f>VLOOKUP(B532,[1]RXNS!$B:$C,1,)</f>
        <v>#N/A</v>
      </c>
      <c r="D532" s="9" t="e">
        <f t="shared" si="32"/>
        <v>#N/A</v>
      </c>
      <c r="E532" s="9" t="e">
        <v>#N/A</v>
      </c>
      <c r="F532" s="9" t="s">
        <v>2340</v>
      </c>
      <c r="G532" s="9" t="e">
        <f t="shared" si="33"/>
        <v>#N/A</v>
      </c>
      <c r="H532" s="9" t="e">
        <f>VLOOKUP(B532,[1]RXNS!$B:$D,3,FALSE)</f>
        <v>#N/A</v>
      </c>
      <c r="I532" s="9" t="s">
        <v>2341</v>
      </c>
      <c r="J532" s="9" t="s">
        <v>2342</v>
      </c>
      <c r="K532" s="9" t="s">
        <v>2341</v>
      </c>
      <c r="L532" s="9" t="e">
        <f t="shared" si="34"/>
        <v>#N/A</v>
      </c>
      <c r="M532" s="9" t="b">
        <f t="shared" si="35"/>
        <v>1</v>
      </c>
      <c r="N532" s="9" t="s">
        <v>2343</v>
      </c>
      <c r="O532" s="9">
        <v>0</v>
      </c>
      <c r="P532" s="9">
        <v>1000</v>
      </c>
      <c r="Q532" s="13"/>
      <c r="R532" s="13"/>
      <c r="S532" s="13"/>
      <c r="T532" s="9" t="s">
        <v>387</v>
      </c>
      <c r="U532" s="13"/>
      <c r="V532" s="9" t="s">
        <v>30</v>
      </c>
      <c r="W532" s="13"/>
      <c r="X532" s="9">
        <v>2</v>
      </c>
    </row>
    <row r="533" spans="1:24">
      <c r="A533" s="13"/>
      <c r="B533" s="9" t="s">
        <v>2344</v>
      </c>
      <c r="C533" s="9" t="e">
        <f>VLOOKUP(B533,[1]RXNS!$B:$C,1,)</f>
        <v>#N/A</v>
      </c>
      <c r="D533" s="9" t="e">
        <f t="shared" si="32"/>
        <v>#N/A</v>
      </c>
      <c r="E533" s="9" t="e">
        <v>#N/A</v>
      </c>
      <c r="F533" s="9" t="s">
        <v>2345</v>
      </c>
      <c r="G533" s="9" t="e">
        <f t="shared" si="33"/>
        <v>#N/A</v>
      </c>
      <c r="H533" s="9" t="e">
        <f>VLOOKUP(B533,[1]RXNS!$B:$D,3,FALSE)</f>
        <v>#N/A</v>
      </c>
      <c r="I533" s="9" t="e">
        <f>VLOOKUP(B533,[1]RXNS!$B:$E,4,FALSE)</f>
        <v>#N/A</v>
      </c>
      <c r="J533" s="9" t="s">
        <v>2346</v>
      </c>
      <c r="K533" s="13"/>
      <c r="L533" s="9" t="e">
        <f t="shared" si="34"/>
        <v>#N/A</v>
      </c>
      <c r="M533" s="9" t="e">
        <f t="shared" si="35"/>
        <v>#N/A</v>
      </c>
      <c r="N533" s="9" t="s">
        <v>2347</v>
      </c>
      <c r="O533" s="9">
        <v>0</v>
      </c>
      <c r="P533" s="9">
        <v>1000</v>
      </c>
      <c r="Q533" s="13"/>
      <c r="R533" s="13"/>
      <c r="S533" s="13"/>
      <c r="T533" s="9" t="s">
        <v>153</v>
      </c>
      <c r="U533" s="13"/>
      <c r="V533" s="9" t="s">
        <v>30</v>
      </c>
      <c r="W533" s="13"/>
      <c r="X533" s="9">
        <v>2</v>
      </c>
    </row>
    <row r="534" spans="1:24">
      <c r="A534" s="13"/>
      <c r="B534" s="9" t="s">
        <v>2348</v>
      </c>
      <c r="C534" s="9" t="e">
        <f>VLOOKUP(B534,[1]RXNS!$B:$C,1,)</f>
        <v>#N/A</v>
      </c>
      <c r="D534" s="9" t="e">
        <f t="shared" si="32"/>
        <v>#N/A</v>
      </c>
      <c r="E534" s="9" t="e">
        <v>#N/A</v>
      </c>
      <c r="F534" s="9" t="s">
        <v>2349</v>
      </c>
      <c r="G534" s="9" t="e">
        <f t="shared" si="33"/>
        <v>#N/A</v>
      </c>
      <c r="H534" s="9" t="e">
        <f>VLOOKUP(B534,[1]RXNS!$B:$D,3,FALSE)</f>
        <v>#N/A</v>
      </c>
      <c r="I534" s="9" t="e">
        <f>VLOOKUP(B534,[1]RXNS!$B:$E,4,FALSE)</f>
        <v>#N/A</v>
      </c>
      <c r="J534" s="9" t="s">
        <v>2350</v>
      </c>
      <c r="K534" s="13"/>
      <c r="L534" s="9" t="e">
        <f t="shared" si="34"/>
        <v>#N/A</v>
      </c>
      <c r="M534" s="9" t="e">
        <f t="shared" si="35"/>
        <v>#N/A</v>
      </c>
      <c r="N534" s="9" t="s">
        <v>2347</v>
      </c>
      <c r="O534" s="9">
        <v>0</v>
      </c>
      <c r="P534" s="9">
        <v>1000</v>
      </c>
      <c r="Q534" s="13"/>
      <c r="R534" s="13"/>
      <c r="S534" s="13"/>
      <c r="T534" s="9" t="s">
        <v>153</v>
      </c>
      <c r="U534" s="13"/>
      <c r="V534" s="9" t="s">
        <v>30</v>
      </c>
      <c r="W534" s="13"/>
      <c r="X534" s="9">
        <v>2</v>
      </c>
    </row>
    <row r="535" spans="1:24">
      <c r="A535" s="13"/>
      <c r="B535" s="9" t="s">
        <v>2351</v>
      </c>
      <c r="C535" s="9" t="e">
        <f>VLOOKUP(B535,[1]RXNS!$B:$C,1,)</f>
        <v>#N/A</v>
      </c>
      <c r="D535" s="9" t="e">
        <f t="shared" si="32"/>
        <v>#N/A</v>
      </c>
      <c r="E535" s="9" t="e">
        <v>#N/A</v>
      </c>
      <c r="F535" s="9" t="s">
        <v>2352</v>
      </c>
      <c r="G535" s="9" t="e">
        <f t="shared" si="33"/>
        <v>#N/A</v>
      </c>
      <c r="H535" s="9" t="e">
        <f>VLOOKUP(B535,[1]RXNS!$B:$D,3,FALSE)</f>
        <v>#N/A</v>
      </c>
      <c r="I535" s="9" t="e">
        <f>VLOOKUP(B535,[1]RXNS!$B:$E,4,FALSE)</f>
        <v>#N/A</v>
      </c>
      <c r="J535" s="9" t="s">
        <v>2353</v>
      </c>
      <c r="K535" s="13"/>
      <c r="L535" s="9" t="e">
        <f t="shared" si="34"/>
        <v>#N/A</v>
      </c>
      <c r="M535" s="9" t="e">
        <f t="shared" si="35"/>
        <v>#N/A</v>
      </c>
      <c r="N535" s="9" t="s">
        <v>2347</v>
      </c>
      <c r="O535" s="9">
        <v>0</v>
      </c>
      <c r="P535" s="9">
        <v>1000</v>
      </c>
      <c r="Q535" s="13"/>
      <c r="R535" s="13"/>
      <c r="S535" s="13"/>
      <c r="T535" s="9" t="s">
        <v>153</v>
      </c>
      <c r="U535" s="13"/>
      <c r="V535" s="9" t="s">
        <v>30</v>
      </c>
      <c r="W535" s="13"/>
      <c r="X535" s="9">
        <v>2</v>
      </c>
    </row>
    <row r="536" spans="1:24">
      <c r="A536" s="13"/>
      <c r="B536" s="9" t="s">
        <v>2354</v>
      </c>
      <c r="C536" s="9" t="e">
        <f>VLOOKUP(B536,[1]RXNS!$B:$C,1,)</f>
        <v>#N/A</v>
      </c>
      <c r="D536" s="9" t="e">
        <f t="shared" si="32"/>
        <v>#N/A</v>
      </c>
      <c r="E536" s="9" t="e">
        <v>#N/A</v>
      </c>
      <c r="F536" s="9" t="s">
        <v>2355</v>
      </c>
      <c r="G536" s="9" t="e">
        <f t="shared" si="33"/>
        <v>#N/A</v>
      </c>
      <c r="H536" s="9" t="e">
        <f>VLOOKUP(B536,[1]RXNS!$B:$D,3,FALSE)</f>
        <v>#N/A</v>
      </c>
      <c r="I536" s="9" t="e">
        <f>VLOOKUP(B536,[1]RXNS!$B:$E,4,FALSE)</f>
        <v>#N/A</v>
      </c>
      <c r="J536" s="9" t="s">
        <v>2356</v>
      </c>
      <c r="K536" s="13"/>
      <c r="L536" s="9" t="e">
        <f t="shared" si="34"/>
        <v>#N/A</v>
      </c>
      <c r="M536" s="9" t="e">
        <f t="shared" si="35"/>
        <v>#N/A</v>
      </c>
      <c r="N536" s="9" t="s">
        <v>2347</v>
      </c>
      <c r="O536" s="9">
        <v>0</v>
      </c>
      <c r="P536" s="9">
        <v>1000</v>
      </c>
      <c r="Q536" s="13"/>
      <c r="R536" s="13"/>
      <c r="S536" s="13"/>
      <c r="T536" s="9" t="s">
        <v>153</v>
      </c>
      <c r="U536" s="13"/>
      <c r="V536" s="9" t="s">
        <v>30</v>
      </c>
      <c r="W536" s="13"/>
      <c r="X536" s="9">
        <v>2</v>
      </c>
    </row>
    <row r="537" spans="1:24">
      <c r="A537" s="13"/>
      <c r="B537" s="9" t="s">
        <v>2357</v>
      </c>
      <c r="C537" s="9" t="e">
        <f>VLOOKUP(B537,[1]RXNS!$B:$C,1,)</f>
        <v>#N/A</v>
      </c>
      <c r="D537" s="9" t="e">
        <f t="shared" si="32"/>
        <v>#N/A</v>
      </c>
      <c r="E537" s="9" t="e">
        <v>#N/A</v>
      </c>
      <c r="F537" s="9" t="s">
        <v>2358</v>
      </c>
      <c r="G537" s="9" t="e">
        <f t="shared" si="33"/>
        <v>#N/A</v>
      </c>
      <c r="H537" s="9" t="e">
        <f>VLOOKUP(B537,[1]RXNS!$B:$D,3,FALSE)</f>
        <v>#N/A</v>
      </c>
      <c r="I537" s="9" t="e">
        <f>VLOOKUP(B537,[1]RXNS!$B:$E,4,FALSE)</f>
        <v>#N/A</v>
      </c>
      <c r="J537" s="9" t="s">
        <v>2359</v>
      </c>
      <c r="K537" s="13"/>
      <c r="L537" s="9" t="e">
        <f t="shared" si="34"/>
        <v>#N/A</v>
      </c>
      <c r="M537" s="9" t="e">
        <f t="shared" si="35"/>
        <v>#N/A</v>
      </c>
      <c r="N537" s="9" t="s">
        <v>2360</v>
      </c>
      <c r="O537" s="9">
        <v>0</v>
      </c>
      <c r="P537" s="9">
        <v>1000</v>
      </c>
      <c r="Q537" s="13"/>
      <c r="R537" s="13"/>
      <c r="S537" s="13"/>
      <c r="T537" s="9" t="s">
        <v>387</v>
      </c>
      <c r="U537" s="13"/>
      <c r="V537" s="9" t="s">
        <v>30</v>
      </c>
      <c r="W537" s="13"/>
      <c r="X537" s="9">
        <v>2</v>
      </c>
    </row>
    <row r="538" spans="1:24">
      <c r="A538" s="13"/>
      <c r="B538" s="9" t="s">
        <v>2361</v>
      </c>
      <c r="C538" s="9" t="e">
        <f>VLOOKUP(B538,[1]RXNS!$B:$C,1,)</f>
        <v>#N/A</v>
      </c>
      <c r="D538" s="9" t="e">
        <f t="shared" si="32"/>
        <v>#N/A</v>
      </c>
      <c r="E538" s="9" t="e">
        <v>#N/A</v>
      </c>
      <c r="F538" s="9" t="s">
        <v>2362</v>
      </c>
      <c r="G538" s="9" t="e">
        <f t="shared" si="33"/>
        <v>#N/A</v>
      </c>
      <c r="H538" s="9" t="e">
        <f>VLOOKUP(B538,[1]RXNS!$B:$D,3,FALSE)</f>
        <v>#N/A</v>
      </c>
      <c r="I538" s="9" t="s">
        <v>2363</v>
      </c>
      <c r="J538" s="9" t="s">
        <v>2364</v>
      </c>
      <c r="K538" s="9" t="s">
        <v>2363</v>
      </c>
      <c r="L538" s="9" t="e">
        <f t="shared" si="34"/>
        <v>#N/A</v>
      </c>
      <c r="M538" s="9" t="b">
        <f t="shared" si="35"/>
        <v>1</v>
      </c>
      <c r="N538" s="9" t="s">
        <v>2365</v>
      </c>
      <c r="O538" s="9">
        <v>-1000</v>
      </c>
      <c r="P538" s="9">
        <v>1000</v>
      </c>
      <c r="Q538" s="13"/>
      <c r="R538" s="13"/>
      <c r="S538" s="13"/>
      <c r="T538" s="9" t="s">
        <v>1296</v>
      </c>
      <c r="U538" s="13"/>
      <c r="V538" s="9" t="s">
        <v>30</v>
      </c>
      <c r="W538" s="13"/>
      <c r="X538" s="9">
        <v>2</v>
      </c>
    </row>
    <row r="539" spans="1:24">
      <c r="A539" s="13"/>
      <c r="B539" s="9" t="s">
        <v>2366</v>
      </c>
      <c r="C539" s="9" t="e">
        <f>VLOOKUP(B539,[1]RXNS!$B:$C,1,)</f>
        <v>#N/A</v>
      </c>
      <c r="D539" s="9" t="e">
        <f t="shared" si="32"/>
        <v>#N/A</v>
      </c>
      <c r="E539" s="9" t="e">
        <v>#N/A</v>
      </c>
      <c r="F539" s="9" t="s">
        <v>2367</v>
      </c>
      <c r="G539" s="9" t="e">
        <f t="shared" si="33"/>
        <v>#N/A</v>
      </c>
      <c r="H539" s="9" t="e">
        <f>VLOOKUP(B539,[1]RXNS!$B:$D,3,FALSE)</f>
        <v>#N/A</v>
      </c>
      <c r="I539" s="9" t="s">
        <v>2368</v>
      </c>
      <c r="J539" s="9" t="s">
        <v>2369</v>
      </c>
      <c r="K539" s="9" t="s">
        <v>2368</v>
      </c>
      <c r="L539" s="9" t="e">
        <f t="shared" si="34"/>
        <v>#N/A</v>
      </c>
      <c r="M539" s="9" t="b">
        <f t="shared" si="35"/>
        <v>1</v>
      </c>
      <c r="N539" s="9" t="s">
        <v>375</v>
      </c>
      <c r="O539" s="9">
        <v>-1000</v>
      </c>
      <c r="P539" s="9">
        <v>1000</v>
      </c>
      <c r="Q539" s="13"/>
      <c r="R539" s="13"/>
      <c r="S539" s="13"/>
      <c r="T539" s="9" t="s">
        <v>364</v>
      </c>
      <c r="U539" s="13"/>
      <c r="V539" s="9" t="s">
        <v>30</v>
      </c>
      <c r="W539" s="13"/>
      <c r="X539" s="9">
        <v>2</v>
      </c>
    </row>
    <row r="540" spans="1:24">
      <c r="A540" s="13"/>
      <c r="B540" s="9" t="s">
        <v>2370</v>
      </c>
      <c r="C540" s="9" t="e">
        <f>VLOOKUP(B540,[1]RXNS!$B:$C,1,)</f>
        <v>#N/A</v>
      </c>
      <c r="D540" s="9" t="e">
        <f t="shared" si="32"/>
        <v>#N/A</v>
      </c>
      <c r="E540" s="9" t="e">
        <v>#N/A</v>
      </c>
      <c r="F540" s="9" t="s">
        <v>2371</v>
      </c>
      <c r="G540" s="9" t="e">
        <f t="shared" si="33"/>
        <v>#N/A</v>
      </c>
      <c r="H540" s="9" t="e">
        <f>VLOOKUP(B540,[1]RXNS!$B:$D,3,FALSE)</f>
        <v>#N/A</v>
      </c>
      <c r="I540" s="9" t="s">
        <v>2372</v>
      </c>
      <c r="J540" s="9" t="s">
        <v>2373</v>
      </c>
      <c r="K540" s="9" t="s">
        <v>2372</v>
      </c>
      <c r="L540" s="9" t="e">
        <f t="shared" si="34"/>
        <v>#N/A</v>
      </c>
      <c r="M540" s="9" t="b">
        <f t="shared" si="35"/>
        <v>1</v>
      </c>
      <c r="N540" s="9" t="s">
        <v>673</v>
      </c>
      <c r="O540" s="9">
        <v>0</v>
      </c>
      <c r="P540" s="9">
        <v>1000</v>
      </c>
      <c r="Q540" s="13"/>
      <c r="R540" s="13"/>
      <c r="S540" s="13"/>
      <c r="T540" s="9" t="s">
        <v>239</v>
      </c>
      <c r="U540" s="13"/>
      <c r="V540" s="9" t="s">
        <v>30</v>
      </c>
      <c r="W540" s="13"/>
      <c r="X540" s="9">
        <v>2</v>
      </c>
    </row>
    <row r="541" spans="1:24">
      <c r="A541" s="13"/>
      <c r="B541" s="9" t="s">
        <v>2374</v>
      </c>
      <c r="C541" s="9" t="e">
        <f>VLOOKUP(B541,[1]RXNS!$B:$C,1,)</f>
        <v>#N/A</v>
      </c>
      <c r="D541" s="9" t="e">
        <f t="shared" si="32"/>
        <v>#N/A</v>
      </c>
      <c r="E541" s="9" t="e">
        <v>#N/A</v>
      </c>
      <c r="F541" s="9" t="s">
        <v>2375</v>
      </c>
      <c r="G541" s="9" t="e">
        <f t="shared" si="33"/>
        <v>#N/A</v>
      </c>
      <c r="H541" s="9" t="e">
        <f>VLOOKUP(B541,[1]RXNS!$B:$D,3,FALSE)</f>
        <v>#N/A</v>
      </c>
      <c r="I541" s="9" t="s">
        <v>2376</v>
      </c>
      <c r="J541" s="9" t="s">
        <v>2377</v>
      </c>
      <c r="K541" s="9" t="s">
        <v>2376</v>
      </c>
      <c r="L541" s="9" t="e">
        <f t="shared" si="34"/>
        <v>#N/A</v>
      </c>
      <c r="M541" s="9" t="b">
        <f t="shared" si="35"/>
        <v>1</v>
      </c>
      <c r="N541" s="9" t="s">
        <v>2378</v>
      </c>
      <c r="O541" s="9">
        <v>-1000</v>
      </c>
      <c r="P541" s="9">
        <v>1000</v>
      </c>
      <c r="Q541" s="13"/>
      <c r="R541" s="13"/>
      <c r="S541" s="13"/>
      <c r="T541" s="9" t="s">
        <v>1296</v>
      </c>
      <c r="U541" s="13"/>
      <c r="V541" s="9" t="s">
        <v>30</v>
      </c>
      <c r="W541" s="13"/>
      <c r="X541" s="9">
        <v>2</v>
      </c>
    </row>
    <row r="542" spans="1:24">
      <c r="A542" s="13"/>
      <c r="B542" s="9" t="s">
        <v>2379</v>
      </c>
      <c r="C542" s="9" t="e">
        <f>VLOOKUP(B542,[1]RXNS!$B:$C,1,)</f>
        <v>#N/A</v>
      </c>
      <c r="D542" s="9" t="e">
        <f t="shared" si="32"/>
        <v>#N/A</v>
      </c>
      <c r="E542" s="9" t="e">
        <v>#N/A</v>
      </c>
      <c r="F542" s="9" t="s">
        <v>2380</v>
      </c>
      <c r="G542" s="9" t="e">
        <f t="shared" si="33"/>
        <v>#N/A</v>
      </c>
      <c r="H542" s="9" t="e">
        <f>VLOOKUP(B542,[1]RXNS!$B:$D,3,FALSE)</f>
        <v>#N/A</v>
      </c>
      <c r="I542" s="9" t="s">
        <v>2381</v>
      </c>
      <c r="J542" s="9" t="s">
        <v>2382</v>
      </c>
      <c r="K542" s="9" t="s">
        <v>2381</v>
      </c>
      <c r="L542" s="9" t="e">
        <f t="shared" si="34"/>
        <v>#N/A</v>
      </c>
      <c r="M542" s="9" t="b">
        <f t="shared" si="35"/>
        <v>1</v>
      </c>
      <c r="N542" s="9" t="s">
        <v>1437</v>
      </c>
      <c r="O542" s="9">
        <v>0</v>
      </c>
      <c r="P542" s="9">
        <v>1000</v>
      </c>
      <c r="Q542" s="13"/>
      <c r="R542" s="13"/>
      <c r="S542" s="13"/>
      <c r="T542" s="9" t="s">
        <v>364</v>
      </c>
      <c r="U542" s="13"/>
      <c r="V542" s="9" t="s">
        <v>30</v>
      </c>
      <c r="W542" s="13"/>
      <c r="X542" s="9">
        <v>2</v>
      </c>
    </row>
    <row r="543" spans="1:24">
      <c r="A543" s="13"/>
      <c r="B543" s="9" t="s">
        <v>2383</v>
      </c>
      <c r="C543" s="9" t="e">
        <f>VLOOKUP(B543,[1]RXNS!$B:$C,1,)</f>
        <v>#N/A</v>
      </c>
      <c r="D543" s="9" t="e">
        <f t="shared" si="32"/>
        <v>#N/A</v>
      </c>
      <c r="E543" s="9" t="e">
        <v>#N/A</v>
      </c>
      <c r="F543" s="9" t="s">
        <v>2384</v>
      </c>
      <c r="G543" s="9" t="e">
        <f t="shared" si="33"/>
        <v>#N/A</v>
      </c>
      <c r="H543" s="9" t="e">
        <f>VLOOKUP(B543,[1]RXNS!$B:$D,3,FALSE)</f>
        <v>#N/A</v>
      </c>
      <c r="I543" s="9" t="e">
        <f>VLOOKUP(B543,[1]RXNS!$B:$E,4,FALSE)</f>
        <v>#N/A</v>
      </c>
      <c r="J543" s="9" t="s">
        <v>2385</v>
      </c>
      <c r="K543" s="13"/>
      <c r="L543" s="9" t="e">
        <f t="shared" si="34"/>
        <v>#N/A</v>
      </c>
      <c r="M543" s="9" t="e">
        <f t="shared" si="35"/>
        <v>#N/A</v>
      </c>
      <c r="N543" s="9" t="s">
        <v>2386</v>
      </c>
      <c r="O543" s="9">
        <v>0</v>
      </c>
      <c r="P543" s="9">
        <v>1000</v>
      </c>
      <c r="Q543" s="13"/>
      <c r="R543" s="13"/>
      <c r="S543" s="13"/>
      <c r="T543" s="9" t="s">
        <v>1276</v>
      </c>
      <c r="U543" s="13"/>
      <c r="V543" s="9" t="s">
        <v>30</v>
      </c>
      <c r="W543" s="13"/>
      <c r="X543" s="9">
        <v>2</v>
      </c>
    </row>
    <row r="544" spans="1:24">
      <c r="A544" s="13"/>
      <c r="B544" s="9" t="s">
        <v>2387</v>
      </c>
      <c r="C544" s="9" t="e">
        <f>VLOOKUP(B544,[1]RXNS!$B:$C,1,)</f>
        <v>#N/A</v>
      </c>
      <c r="D544" s="9" t="e">
        <f t="shared" si="32"/>
        <v>#N/A</v>
      </c>
      <c r="E544" s="9" t="e">
        <v>#N/A</v>
      </c>
      <c r="F544" s="9" t="s">
        <v>2388</v>
      </c>
      <c r="G544" s="9" t="e">
        <f t="shared" si="33"/>
        <v>#N/A</v>
      </c>
      <c r="H544" s="9" t="e">
        <f>VLOOKUP(B544,[1]RXNS!$B:$D,3,FALSE)</f>
        <v>#N/A</v>
      </c>
      <c r="I544" s="9" t="s">
        <v>2389</v>
      </c>
      <c r="J544" s="9" t="s">
        <v>2390</v>
      </c>
      <c r="K544" s="9" t="s">
        <v>2389</v>
      </c>
      <c r="L544" s="9" t="e">
        <f t="shared" si="34"/>
        <v>#N/A</v>
      </c>
      <c r="M544" s="9" t="b">
        <f t="shared" si="35"/>
        <v>1</v>
      </c>
      <c r="N544" s="9" t="s">
        <v>1437</v>
      </c>
      <c r="O544" s="9">
        <v>0</v>
      </c>
      <c r="P544" s="9">
        <v>1000</v>
      </c>
      <c r="Q544" s="13"/>
      <c r="R544" s="13"/>
      <c r="S544" s="13"/>
      <c r="T544" s="9" t="s">
        <v>364</v>
      </c>
      <c r="U544" s="13"/>
      <c r="V544" s="9" t="s">
        <v>30</v>
      </c>
      <c r="W544" s="13"/>
      <c r="X544" s="9">
        <v>2</v>
      </c>
    </row>
    <row r="545" spans="1:24">
      <c r="A545" s="13"/>
      <c r="B545" s="9" t="s">
        <v>2391</v>
      </c>
      <c r="C545" s="9" t="e">
        <f>VLOOKUP(B545,[1]RXNS!$B:$C,1,)</f>
        <v>#N/A</v>
      </c>
      <c r="D545" s="9" t="e">
        <f t="shared" si="32"/>
        <v>#N/A</v>
      </c>
      <c r="E545" s="9" t="e">
        <v>#N/A</v>
      </c>
      <c r="F545" s="9" t="s">
        <v>2392</v>
      </c>
      <c r="G545" s="9" t="e">
        <f t="shared" si="33"/>
        <v>#N/A</v>
      </c>
      <c r="H545" s="9" t="e">
        <f>VLOOKUP(B545,[1]RXNS!$B:$D,3,FALSE)</f>
        <v>#N/A</v>
      </c>
      <c r="I545" s="9" t="e">
        <f>VLOOKUP(B545,[1]RXNS!$B:$E,4,FALSE)</f>
        <v>#N/A</v>
      </c>
      <c r="J545" s="9" t="s">
        <v>2393</v>
      </c>
      <c r="K545" s="13"/>
      <c r="L545" s="9" t="e">
        <f t="shared" si="34"/>
        <v>#N/A</v>
      </c>
      <c r="M545" s="9" t="e">
        <f t="shared" si="35"/>
        <v>#N/A</v>
      </c>
      <c r="N545" s="9" t="s">
        <v>1437</v>
      </c>
      <c r="O545" s="9">
        <v>0</v>
      </c>
      <c r="P545" s="9">
        <v>1000</v>
      </c>
      <c r="Q545" s="13"/>
      <c r="R545" s="13"/>
      <c r="S545" s="13"/>
      <c r="T545" s="9" t="s">
        <v>364</v>
      </c>
      <c r="U545" s="13"/>
      <c r="V545" s="9" t="s">
        <v>30</v>
      </c>
      <c r="W545" s="13"/>
      <c r="X545" s="9">
        <v>2</v>
      </c>
    </row>
    <row r="546" spans="1:24">
      <c r="A546" s="13"/>
      <c r="B546" s="9" t="s">
        <v>2394</v>
      </c>
      <c r="C546" s="9" t="e">
        <f>VLOOKUP(B546,[1]RXNS!$B:$C,1,)</f>
        <v>#N/A</v>
      </c>
      <c r="D546" s="9" t="e">
        <f t="shared" si="32"/>
        <v>#N/A</v>
      </c>
      <c r="E546" s="9" t="e">
        <v>#N/A</v>
      </c>
      <c r="F546" s="9" t="s">
        <v>2395</v>
      </c>
      <c r="G546" s="9" t="e">
        <f t="shared" si="33"/>
        <v>#N/A</v>
      </c>
      <c r="H546" s="9" t="e">
        <f>VLOOKUP(B546,[1]RXNS!$B:$D,3,FALSE)</f>
        <v>#N/A</v>
      </c>
      <c r="I546" s="9" t="e">
        <f>VLOOKUP(B546,[1]RXNS!$B:$E,4,FALSE)</f>
        <v>#N/A</v>
      </c>
      <c r="J546" s="9" t="s">
        <v>2396</v>
      </c>
      <c r="K546" s="13"/>
      <c r="L546" s="9" t="e">
        <f t="shared" si="34"/>
        <v>#N/A</v>
      </c>
      <c r="M546" s="9" t="e">
        <f t="shared" si="35"/>
        <v>#N/A</v>
      </c>
      <c r="N546" s="9" t="s">
        <v>2397</v>
      </c>
      <c r="O546" s="9">
        <v>-1000</v>
      </c>
      <c r="P546" s="9">
        <v>1000</v>
      </c>
      <c r="Q546" s="13"/>
      <c r="R546" s="13"/>
      <c r="S546" s="13"/>
      <c r="T546" s="9" t="s">
        <v>1276</v>
      </c>
      <c r="U546" s="13"/>
      <c r="V546" s="9" t="s">
        <v>30</v>
      </c>
      <c r="W546" s="13"/>
      <c r="X546" s="9">
        <v>2</v>
      </c>
    </row>
    <row r="547" spans="1:24">
      <c r="A547" s="13"/>
      <c r="B547" s="9" t="s">
        <v>2398</v>
      </c>
      <c r="C547" s="9" t="e">
        <f>VLOOKUP(B547,[1]RXNS!$B:$C,1,)</f>
        <v>#N/A</v>
      </c>
      <c r="D547" s="9" t="e">
        <f t="shared" si="32"/>
        <v>#N/A</v>
      </c>
      <c r="E547" s="9" t="e">
        <v>#N/A</v>
      </c>
      <c r="F547" s="9" t="s">
        <v>2399</v>
      </c>
      <c r="G547" s="9" t="e">
        <f t="shared" si="33"/>
        <v>#N/A</v>
      </c>
      <c r="H547" s="9" t="e">
        <f>VLOOKUP(B547,[1]RXNS!$B:$D,3,FALSE)</f>
        <v>#N/A</v>
      </c>
      <c r="I547" s="9" t="s">
        <v>2400</v>
      </c>
      <c r="J547" s="9" t="s">
        <v>2401</v>
      </c>
      <c r="K547" s="9" t="s">
        <v>2400</v>
      </c>
      <c r="L547" s="9" t="e">
        <f t="shared" si="34"/>
        <v>#N/A</v>
      </c>
      <c r="M547" s="9" t="b">
        <f t="shared" si="35"/>
        <v>1</v>
      </c>
      <c r="N547" s="9" t="s">
        <v>2402</v>
      </c>
      <c r="O547" s="9">
        <v>0</v>
      </c>
      <c r="P547" s="9">
        <v>1000</v>
      </c>
      <c r="Q547" s="13"/>
      <c r="R547" s="13"/>
      <c r="S547" s="13"/>
      <c r="T547" s="9" t="s">
        <v>330</v>
      </c>
      <c r="U547" s="13"/>
      <c r="V547" s="9" t="s">
        <v>30</v>
      </c>
      <c r="W547" s="13"/>
      <c r="X547" s="9">
        <v>2</v>
      </c>
    </row>
    <row r="548" spans="1:24">
      <c r="A548" s="13"/>
      <c r="B548" s="9" t="s">
        <v>2403</v>
      </c>
      <c r="C548" s="9" t="e">
        <f>VLOOKUP(B548,[1]RXNS!$B:$C,1,)</f>
        <v>#N/A</v>
      </c>
      <c r="D548" s="9" t="e">
        <f t="shared" si="32"/>
        <v>#N/A</v>
      </c>
      <c r="E548" s="9" t="e">
        <v>#N/A</v>
      </c>
      <c r="F548" s="9" t="s">
        <v>2404</v>
      </c>
      <c r="G548" s="9" t="e">
        <f t="shared" si="33"/>
        <v>#N/A</v>
      </c>
      <c r="H548" s="9" t="e">
        <f>VLOOKUP(B548,[1]RXNS!$B:$D,3,FALSE)</f>
        <v>#N/A</v>
      </c>
      <c r="I548" s="9" t="s">
        <v>2405</v>
      </c>
      <c r="J548" s="9" t="s">
        <v>2406</v>
      </c>
      <c r="K548" s="9" t="s">
        <v>2405</v>
      </c>
      <c r="L548" s="9" t="e">
        <f t="shared" si="34"/>
        <v>#N/A</v>
      </c>
      <c r="M548" s="9" t="b">
        <f t="shared" si="35"/>
        <v>1</v>
      </c>
      <c r="N548" s="9" t="s">
        <v>2407</v>
      </c>
      <c r="O548" s="9">
        <v>-1000</v>
      </c>
      <c r="P548" s="9">
        <v>1000</v>
      </c>
      <c r="Q548" s="13"/>
      <c r="R548" s="13"/>
      <c r="S548" s="13"/>
      <c r="T548" s="9" t="s">
        <v>1296</v>
      </c>
      <c r="U548" s="13"/>
      <c r="V548" s="9" t="s">
        <v>30</v>
      </c>
      <c r="W548" s="13"/>
      <c r="X548" s="9">
        <v>2</v>
      </c>
    </row>
    <row r="549" spans="1:24">
      <c r="A549" s="13"/>
      <c r="B549" s="9" t="s">
        <v>2408</v>
      </c>
      <c r="C549" s="9" t="e">
        <f>VLOOKUP(B549,[1]RXNS!$B:$C,1,)</f>
        <v>#N/A</v>
      </c>
      <c r="D549" s="9" t="e">
        <f t="shared" si="32"/>
        <v>#N/A</v>
      </c>
      <c r="E549" s="9" t="e">
        <v>#N/A</v>
      </c>
      <c r="F549" s="9" t="s">
        <v>2409</v>
      </c>
      <c r="G549" s="9" t="e">
        <f t="shared" si="33"/>
        <v>#N/A</v>
      </c>
      <c r="H549" s="9" t="e">
        <f>VLOOKUP(B549,[1]RXNS!$B:$D,3,FALSE)</f>
        <v>#N/A</v>
      </c>
      <c r="I549" s="9" t="s">
        <v>2410</v>
      </c>
      <c r="J549" s="9" t="s">
        <v>2411</v>
      </c>
      <c r="K549" s="9" t="s">
        <v>2410</v>
      </c>
      <c r="L549" s="9" t="e">
        <f t="shared" si="34"/>
        <v>#N/A</v>
      </c>
      <c r="M549" s="9" t="b">
        <f t="shared" si="35"/>
        <v>1</v>
      </c>
      <c r="N549" s="9" t="s">
        <v>2412</v>
      </c>
      <c r="O549" s="9">
        <v>0</v>
      </c>
      <c r="P549" s="9">
        <v>1000</v>
      </c>
      <c r="Q549" s="13"/>
      <c r="R549" s="13"/>
      <c r="S549" s="13"/>
      <c r="T549" s="9" t="s">
        <v>2294</v>
      </c>
      <c r="U549" s="13"/>
      <c r="V549" s="9" t="s">
        <v>30</v>
      </c>
      <c r="W549" s="13"/>
      <c r="X549" s="9">
        <v>2</v>
      </c>
    </row>
    <row r="550" spans="1:24">
      <c r="A550" s="13"/>
      <c r="B550" s="9" t="s">
        <v>2413</v>
      </c>
      <c r="C550" s="9" t="e">
        <f>VLOOKUP(B550,[1]RXNS!$B:$C,1,)</f>
        <v>#N/A</v>
      </c>
      <c r="D550" s="9" t="e">
        <f t="shared" si="32"/>
        <v>#N/A</v>
      </c>
      <c r="E550" s="9" t="e">
        <v>#N/A</v>
      </c>
      <c r="F550" s="9" t="s">
        <v>2414</v>
      </c>
      <c r="G550" s="9" t="e">
        <f t="shared" si="33"/>
        <v>#N/A</v>
      </c>
      <c r="H550" s="9" t="e">
        <f>VLOOKUP(B550,[1]RXNS!$B:$D,3,FALSE)</f>
        <v>#N/A</v>
      </c>
      <c r="I550" s="9" t="s">
        <v>2415</v>
      </c>
      <c r="J550" s="9" t="s">
        <v>2416</v>
      </c>
      <c r="K550" s="9" t="s">
        <v>2415</v>
      </c>
      <c r="L550" s="9" t="e">
        <f t="shared" si="34"/>
        <v>#N/A</v>
      </c>
      <c r="M550" s="9" t="b">
        <f t="shared" si="35"/>
        <v>1</v>
      </c>
      <c r="N550" s="9" t="s">
        <v>2417</v>
      </c>
      <c r="O550" s="9">
        <v>0</v>
      </c>
      <c r="P550" s="9">
        <v>1000</v>
      </c>
      <c r="Q550" s="13"/>
      <c r="R550" s="13"/>
      <c r="S550" s="13"/>
      <c r="T550" s="9" t="s">
        <v>2294</v>
      </c>
      <c r="U550" s="13"/>
      <c r="V550" s="9" t="s">
        <v>30</v>
      </c>
      <c r="W550" s="13"/>
      <c r="X550" s="9">
        <v>2</v>
      </c>
    </row>
    <row r="551" spans="1:24">
      <c r="A551" s="13"/>
      <c r="B551" s="9" t="s">
        <v>2418</v>
      </c>
      <c r="C551" s="9" t="e">
        <f>VLOOKUP(B551,[1]RXNS!$B:$C,1,)</f>
        <v>#N/A</v>
      </c>
      <c r="D551" s="9" t="e">
        <f t="shared" si="32"/>
        <v>#N/A</v>
      </c>
      <c r="E551" s="9" t="e">
        <v>#N/A</v>
      </c>
      <c r="F551" s="9" t="s">
        <v>2419</v>
      </c>
      <c r="G551" s="9" t="e">
        <f t="shared" si="33"/>
        <v>#N/A</v>
      </c>
      <c r="H551" s="9" t="e">
        <f>VLOOKUP(B551,[1]RXNS!$B:$D,3,FALSE)</f>
        <v>#N/A</v>
      </c>
      <c r="I551" s="9" t="e">
        <f>VLOOKUP(B551,[1]RXNS!$B:$E,4,FALSE)</f>
        <v>#N/A</v>
      </c>
      <c r="J551" s="9" t="s">
        <v>2420</v>
      </c>
      <c r="K551" s="13"/>
      <c r="L551" s="9" t="e">
        <f t="shared" si="34"/>
        <v>#N/A</v>
      </c>
      <c r="M551" s="9" t="e">
        <f t="shared" si="35"/>
        <v>#N/A</v>
      </c>
      <c r="N551" s="9" t="s">
        <v>2421</v>
      </c>
      <c r="O551" s="9">
        <v>-1000</v>
      </c>
      <c r="P551" s="9">
        <v>1000</v>
      </c>
      <c r="Q551" s="13"/>
      <c r="R551" s="13"/>
      <c r="S551" s="13"/>
      <c r="T551" s="9" t="s">
        <v>1370</v>
      </c>
      <c r="U551" s="13"/>
      <c r="V551" s="9" t="s">
        <v>30</v>
      </c>
      <c r="W551" s="13"/>
      <c r="X551" s="9">
        <v>2</v>
      </c>
    </row>
    <row r="552" spans="1:24">
      <c r="A552" s="13"/>
      <c r="B552" s="9" t="s">
        <v>2422</v>
      </c>
      <c r="C552" s="9" t="e">
        <f>VLOOKUP(B552,[1]RXNS!$B:$C,1,)</f>
        <v>#N/A</v>
      </c>
      <c r="D552" s="9" t="e">
        <f t="shared" si="32"/>
        <v>#N/A</v>
      </c>
      <c r="E552" s="9" t="e">
        <v>#N/A</v>
      </c>
      <c r="F552" s="9" t="s">
        <v>2423</v>
      </c>
      <c r="G552" s="9" t="e">
        <f t="shared" si="33"/>
        <v>#N/A</v>
      </c>
      <c r="H552" s="9" t="e">
        <f>VLOOKUP(B552,[1]RXNS!$B:$D,3,FALSE)</f>
        <v>#N/A</v>
      </c>
      <c r="I552" s="9" t="s">
        <v>2424</v>
      </c>
      <c r="J552" s="9" t="s">
        <v>2425</v>
      </c>
      <c r="K552" s="9" t="s">
        <v>2424</v>
      </c>
      <c r="L552" s="9" t="e">
        <f t="shared" si="34"/>
        <v>#N/A</v>
      </c>
      <c r="M552" s="9" t="b">
        <f t="shared" si="35"/>
        <v>1</v>
      </c>
      <c r="N552" s="9" t="s">
        <v>2426</v>
      </c>
      <c r="O552" s="9">
        <v>0</v>
      </c>
      <c r="P552" s="9">
        <v>1000</v>
      </c>
      <c r="Q552" s="13"/>
      <c r="R552" s="13"/>
      <c r="S552" s="13"/>
      <c r="T552" s="9" t="s">
        <v>2294</v>
      </c>
      <c r="U552" s="13"/>
      <c r="V552" s="9" t="s">
        <v>30</v>
      </c>
      <c r="W552" s="13"/>
      <c r="X552" s="9">
        <v>2</v>
      </c>
    </row>
    <row r="553" spans="1:24">
      <c r="A553" s="13"/>
      <c r="B553" s="9" t="s">
        <v>2427</v>
      </c>
      <c r="C553" s="9" t="e">
        <f>VLOOKUP(B553,[1]RXNS!$B:$C,1,)</f>
        <v>#N/A</v>
      </c>
      <c r="D553" s="9" t="e">
        <f t="shared" si="32"/>
        <v>#N/A</v>
      </c>
      <c r="E553" s="9" t="e">
        <v>#N/A</v>
      </c>
      <c r="F553" s="9" t="s">
        <v>2428</v>
      </c>
      <c r="G553" s="9" t="e">
        <f t="shared" si="33"/>
        <v>#N/A</v>
      </c>
      <c r="H553" s="9" t="e">
        <f>VLOOKUP(B553,[1]RXNS!$B:$D,3,FALSE)</f>
        <v>#N/A</v>
      </c>
      <c r="I553" s="9" t="e">
        <f>VLOOKUP(B553,[1]RXNS!$B:$E,4,FALSE)</f>
        <v>#N/A</v>
      </c>
      <c r="J553" s="9" t="s">
        <v>2429</v>
      </c>
      <c r="K553" s="13"/>
      <c r="L553" s="9" t="e">
        <f t="shared" si="34"/>
        <v>#N/A</v>
      </c>
      <c r="M553" s="9" t="e">
        <f t="shared" si="35"/>
        <v>#N/A</v>
      </c>
      <c r="N553" s="9" t="s">
        <v>205</v>
      </c>
      <c r="O553" s="9">
        <v>0</v>
      </c>
      <c r="P553" s="9">
        <v>1000</v>
      </c>
      <c r="Q553" s="13"/>
      <c r="R553" s="13"/>
      <c r="S553" s="13"/>
      <c r="T553" s="9" t="s">
        <v>188</v>
      </c>
      <c r="U553" s="13"/>
      <c r="V553" s="9" t="s">
        <v>30</v>
      </c>
      <c r="W553" s="13"/>
      <c r="X553" s="9">
        <v>2</v>
      </c>
    </row>
    <row r="554" spans="1:24">
      <c r="A554" s="13"/>
      <c r="B554" s="9" t="s">
        <v>2430</v>
      </c>
      <c r="C554" s="9" t="e">
        <f>VLOOKUP(B554,[1]RXNS!$B:$C,1,)</f>
        <v>#N/A</v>
      </c>
      <c r="D554" s="9" t="e">
        <f t="shared" si="32"/>
        <v>#N/A</v>
      </c>
      <c r="E554" s="9" t="e">
        <v>#N/A</v>
      </c>
      <c r="F554" s="9" t="s">
        <v>2428</v>
      </c>
      <c r="G554" s="9" t="e">
        <f t="shared" si="33"/>
        <v>#N/A</v>
      </c>
      <c r="H554" s="9" t="e">
        <f>VLOOKUP(B554,[1]RXNS!$B:$D,3,FALSE)</f>
        <v>#N/A</v>
      </c>
      <c r="I554" s="9" t="e">
        <f>VLOOKUP(B554,[1]RXNS!$B:$E,4,FALSE)</f>
        <v>#N/A</v>
      </c>
      <c r="J554" s="9" t="s">
        <v>2431</v>
      </c>
      <c r="K554" s="13"/>
      <c r="L554" s="9" t="e">
        <f t="shared" si="34"/>
        <v>#N/A</v>
      </c>
      <c r="M554" s="9" t="e">
        <f t="shared" si="35"/>
        <v>#N/A</v>
      </c>
      <c r="N554" s="9" t="s">
        <v>205</v>
      </c>
      <c r="O554" s="9">
        <v>0</v>
      </c>
      <c r="P554" s="9">
        <v>1000</v>
      </c>
      <c r="Q554" s="13"/>
      <c r="R554" s="13"/>
      <c r="S554" s="13"/>
      <c r="T554" s="9" t="s">
        <v>188</v>
      </c>
      <c r="U554" s="13"/>
      <c r="V554" s="9" t="s">
        <v>30</v>
      </c>
      <c r="W554" s="13"/>
      <c r="X554" s="9">
        <v>2</v>
      </c>
    </row>
    <row r="555" spans="1:24">
      <c r="A555" s="13"/>
      <c r="B555" s="9" t="s">
        <v>2432</v>
      </c>
      <c r="C555" s="9" t="e">
        <f>VLOOKUP(B555,[1]RXNS!$B:$C,1,)</f>
        <v>#N/A</v>
      </c>
      <c r="D555" s="9" t="e">
        <f t="shared" si="32"/>
        <v>#N/A</v>
      </c>
      <c r="E555" s="9" t="e">
        <v>#N/A</v>
      </c>
      <c r="F555" s="9" t="s">
        <v>2433</v>
      </c>
      <c r="G555" s="9" t="e">
        <f t="shared" si="33"/>
        <v>#N/A</v>
      </c>
      <c r="H555" s="9" t="e">
        <f>VLOOKUP(B555,[1]RXNS!$B:$D,3,FALSE)</f>
        <v>#N/A</v>
      </c>
      <c r="I555" s="9" t="e">
        <f>VLOOKUP(B555,[1]RXNS!$B:$E,4,FALSE)</f>
        <v>#N/A</v>
      </c>
      <c r="J555" s="9" t="s">
        <v>2434</v>
      </c>
      <c r="K555" s="13"/>
      <c r="L555" s="9" t="e">
        <f t="shared" si="34"/>
        <v>#N/A</v>
      </c>
      <c r="M555" s="9" t="e">
        <f t="shared" si="35"/>
        <v>#N/A</v>
      </c>
      <c r="N555" s="9" t="s">
        <v>205</v>
      </c>
      <c r="O555" s="9">
        <v>0</v>
      </c>
      <c r="P555" s="9">
        <v>1000</v>
      </c>
      <c r="Q555" s="13"/>
      <c r="R555" s="13"/>
      <c r="S555" s="13"/>
      <c r="T555" s="9" t="s">
        <v>188</v>
      </c>
      <c r="U555" s="13"/>
      <c r="V555" s="9" t="s">
        <v>30</v>
      </c>
      <c r="W555" s="13"/>
      <c r="X555" s="9">
        <v>2</v>
      </c>
    </row>
    <row r="556" spans="1:24">
      <c r="A556" s="13"/>
      <c r="B556" s="9" t="s">
        <v>2435</v>
      </c>
      <c r="C556" s="9" t="e">
        <f>VLOOKUP(B556,[1]RXNS!$B:$C,1,)</f>
        <v>#N/A</v>
      </c>
      <c r="D556" s="9" t="e">
        <f t="shared" si="32"/>
        <v>#N/A</v>
      </c>
      <c r="E556" s="9" t="e">
        <v>#N/A</v>
      </c>
      <c r="F556" s="9" t="s">
        <v>2436</v>
      </c>
      <c r="G556" s="9" t="e">
        <f t="shared" si="33"/>
        <v>#N/A</v>
      </c>
      <c r="H556" s="9" t="e">
        <f>VLOOKUP(B556,[1]RXNS!$B:$D,3,FALSE)</f>
        <v>#N/A</v>
      </c>
      <c r="I556" s="9" t="e">
        <f>VLOOKUP(B556,[1]RXNS!$B:$E,4,FALSE)</f>
        <v>#N/A</v>
      </c>
      <c r="J556" s="9" t="s">
        <v>2437</v>
      </c>
      <c r="K556" s="13"/>
      <c r="L556" s="9" t="e">
        <f t="shared" si="34"/>
        <v>#N/A</v>
      </c>
      <c r="M556" s="9" t="e">
        <f t="shared" si="35"/>
        <v>#N/A</v>
      </c>
      <c r="N556" s="9" t="s">
        <v>205</v>
      </c>
      <c r="O556" s="9">
        <v>0</v>
      </c>
      <c r="P556" s="9">
        <v>1000</v>
      </c>
      <c r="Q556" s="13"/>
      <c r="R556" s="13"/>
      <c r="S556" s="13"/>
      <c r="T556" s="9" t="s">
        <v>188</v>
      </c>
      <c r="U556" s="13"/>
      <c r="V556" s="9" t="s">
        <v>30</v>
      </c>
      <c r="W556" s="13"/>
      <c r="X556" s="9">
        <v>2</v>
      </c>
    </row>
    <row r="557" spans="1:24">
      <c r="A557" s="13"/>
      <c r="B557" s="9" t="s">
        <v>2438</v>
      </c>
      <c r="C557" s="9" t="e">
        <f>VLOOKUP(B557,[1]RXNS!$B:$C,1,)</f>
        <v>#N/A</v>
      </c>
      <c r="D557" s="9" t="e">
        <f t="shared" si="32"/>
        <v>#N/A</v>
      </c>
      <c r="E557" s="9" t="e">
        <v>#N/A</v>
      </c>
      <c r="F557" s="9" t="s">
        <v>2436</v>
      </c>
      <c r="G557" s="9" t="e">
        <f t="shared" si="33"/>
        <v>#N/A</v>
      </c>
      <c r="H557" s="9" t="e">
        <f>VLOOKUP(B557,[1]RXNS!$B:$D,3,FALSE)</f>
        <v>#N/A</v>
      </c>
      <c r="I557" s="9" t="e">
        <f>VLOOKUP(B557,[1]RXNS!$B:$E,4,FALSE)</f>
        <v>#N/A</v>
      </c>
      <c r="J557" s="9" t="s">
        <v>2439</v>
      </c>
      <c r="K557" s="13"/>
      <c r="L557" s="9" t="e">
        <f t="shared" si="34"/>
        <v>#N/A</v>
      </c>
      <c r="M557" s="9" t="e">
        <f t="shared" si="35"/>
        <v>#N/A</v>
      </c>
      <c r="N557" s="9" t="s">
        <v>205</v>
      </c>
      <c r="O557" s="9">
        <v>-1000</v>
      </c>
      <c r="P557" s="9">
        <v>1000</v>
      </c>
      <c r="Q557" s="13"/>
      <c r="R557" s="13"/>
      <c r="S557" s="13"/>
      <c r="T557" s="9" t="s">
        <v>188</v>
      </c>
      <c r="U557" s="13"/>
      <c r="V557" s="9" t="s">
        <v>30</v>
      </c>
      <c r="W557" s="13"/>
      <c r="X557" s="9">
        <v>2</v>
      </c>
    </row>
    <row r="558" spans="1:24">
      <c r="A558" s="13"/>
      <c r="B558" s="9" t="s">
        <v>2440</v>
      </c>
      <c r="C558" s="9" t="str">
        <f>VLOOKUP(B558,[1]RXNS!$B:$C,1,)</f>
        <v>HMBS</v>
      </c>
      <c r="D558" s="9" t="b">
        <f t="shared" si="32"/>
        <v>1</v>
      </c>
      <c r="E558" s="9" t="s">
        <v>2441</v>
      </c>
      <c r="F558" s="9" t="s">
        <v>2441</v>
      </c>
      <c r="G558" s="9" t="b">
        <f t="shared" si="33"/>
        <v>1</v>
      </c>
      <c r="H558" s="9" t="str">
        <f>VLOOKUP(B558,[1]RXNS!$B:$D,3,FALSE)</f>
        <v>H2O[c] + 4 Porphobilinogen[c] =&gt; Hydroxymethylbilane[c] + 4 Ammonium[c]</v>
      </c>
      <c r="I558" s="9" t="s">
        <v>2442</v>
      </c>
      <c r="J558" s="9" t="s">
        <v>2443</v>
      </c>
      <c r="K558" s="9" t="s">
        <v>2442</v>
      </c>
      <c r="L558" s="9" t="b">
        <f t="shared" si="34"/>
        <v>1</v>
      </c>
      <c r="M558" s="9" t="b">
        <f t="shared" si="35"/>
        <v>1</v>
      </c>
      <c r="N558" s="13"/>
      <c r="O558" s="9">
        <v>0</v>
      </c>
      <c r="P558" s="9">
        <v>1000</v>
      </c>
      <c r="Q558" s="13"/>
      <c r="R558" s="13"/>
      <c r="S558" s="13"/>
      <c r="T558" s="9" t="s">
        <v>85</v>
      </c>
      <c r="U558" s="13"/>
      <c r="V558" s="9" t="s">
        <v>35</v>
      </c>
      <c r="W558" s="13"/>
      <c r="X558" s="9">
        <v>2</v>
      </c>
    </row>
    <row r="559" spans="1:24">
      <c r="A559" s="13"/>
      <c r="B559" s="9" t="s">
        <v>2444</v>
      </c>
      <c r="C559" s="9" t="str">
        <f>VLOOKUP(B559,[1]RXNS!$B:$C,1,)</f>
        <v>HMGCOAR</v>
      </c>
      <c r="D559" s="9" t="b">
        <f t="shared" si="32"/>
        <v>1</v>
      </c>
      <c r="E559" s="9" t="s">
        <v>2445</v>
      </c>
      <c r="F559" s="9" t="s">
        <v>2445</v>
      </c>
      <c r="G559" s="9" t="b">
        <f t="shared" si="33"/>
        <v>1</v>
      </c>
      <c r="H559" s="9" t="str">
        <f>VLOOKUP(B559,[1]RXNS!$B:$D,3,FALSE)</f>
        <v>Coenzyme A[c] + (R)-Mevalonate[c] + 2 Nicotinamide adenine dinucleotide phosphate[c] &lt;=&gt; 2 H+[c] + Hydroxymethylglutaryl-CoA[c] + 2 Nicotinamide adenine dinucleotide phosphate - reduced[c]</v>
      </c>
      <c r="I559" s="9" t="s">
        <v>2446</v>
      </c>
      <c r="J559" s="9" t="s">
        <v>2447</v>
      </c>
      <c r="K559" s="9" t="s">
        <v>2446</v>
      </c>
      <c r="L559" s="9" t="b">
        <f t="shared" si="34"/>
        <v>1</v>
      </c>
      <c r="M559" s="9" t="b">
        <f t="shared" si="35"/>
        <v>1</v>
      </c>
      <c r="N559" s="9" t="s">
        <v>2448</v>
      </c>
      <c r="O559" s="9">
        <v>-1000</v>
      </c>
      <c r="P559" s="9">
        <v>1000</v>
      </c>
      <c r="Q559" s="13"/>
      <c r="R559" s="13"/>
      <c r="S559" s="9" t="s">
        <v>2449</v>
      </c>
      <c r="T559" s="9" t="s">
        <v>573</v>
      </c>
      <c r="U559" s="13"/>
      <c r="V559" s="9" t="s">
        <v>30</v>
      </c>
      <c r="W559" s="13"/>
      <c r="X559" s="9">
        <v>2</v>
      </c>
    </row>
    <row r="560" spans="1:24">
      <c r="A560" s="13"/>
      <c r="B560" s="9" t="s">
        <v>2450</v>
      </c>
      <c r="C560" s="9" t="str">
        <f>VLOOKUP(B560,[1]RXNS!$B:$C,1,)</f>
        <v>HMGCOAS</v>
      </c>
      <c r="D560" s="9" t="b">
        <f t="shared" si="32"/>
        <v>1</v>
      </c>
      <c r="E560" s="9" t="s">
        <v>2451</v>
      </c>
      <c r="F560" s="9" t="s">
        <v>2451</v>
      </c>
      <c r="G560" s="9" t="b">
        <f t="shared" si="33"/>
        <v>1</v>
      </c>
      <c r="H560" s="9" t="str">
        <f>VLOOKUP(B560,[1]RXNS!$B:$D,3,FALSE)</f>
        <v>Coenzyme A[c] + H+[c] + Hydroxymethylglutaryl-CoA[c] &lt;=&gt; Acetoacetyl-CoA[c] + Acetyl-CoA[c] + H2O[c]</v>
      </c>
      <c r="I560" s="9" t="s">
        <v>2452</v>
      </c>
      <c r="J560" s="9" t="s">
        <v>2453</v>
      </c>
      <c r="K560" s="9" t="s">
        <v>2452</v>
      </c>
      <c r="L560" s="9" t="b">
        <f t="shared" si="34"/>
        <v>1</v>
      </c>
      <c r="M560" s="9" t="b">
        <f t="shared" si="35"/>
        <v>1</v>
      </c>
      <c r="N560" s="9" t="s">
        <v>2454</v>
      </c>
      <c r="O560" s="9">
        <v>-1000</v>
      </c>
      <c r="P560" s="9">
        <v>1000</v>
      </c>
      <c r="Q560" s="13"/>
      <c r="R560" s="13"/>
      <c r="S560" s="9" t="s">
        <v>2455</v>
      </c>
      <c r="T560" s="9" t="s">
        <v>573</v>
      </c>
      <c r="U560" s="13"/>
      <c r="V560" s="9" t="s">
        <v>30</v>
      </c>
      <c r="W560" s="13"/>
      <c r="X560" s="9">
        <v>2</v>
      </c>
    </row>
    <row r="561" spans="1:24">
      <c r="A561" s="13"/>
      <c r="B561" s="9" t="s">
        <v>2456</v>
      </c>
      <c r="C561" s="9" t="str">
        <f>VLOOKUP(B561,[1]RXNS!$B:$C,1,)</f>
        <v>HMPK1</v>
      </c>
      <c r="D561" s="9" t="b">
        <f t="shared" si="32"/>
        <v>1</v>
      </c>
      <c r="E561" s="9" t="s">
        <v>2457</v>
      </c>
      <c r="F561" s="9" t="s">
        <v>2457</v>
      </c>
      <c r="G561" s="9" t="b">
        <f t="shared" si="33"/>
        <v>1</v>
      </c>
      <c r="H561" s="9" t="str">
        <f>VLOOKUP(B561,[1]RXNS!$B:$D,3,FALSE)</f>
        <v>4-Amino-5-hydroxymethyl-2-methylpyrimidine[c] + ATP[c] =&gt; 4-Amino-2-methyl-5-phosphomethylpyrimidine[c] + ADP[c] + H+[c]</v>
      </c>
      <c r="I561" s="9" t="s">
        <v>2458</v>
      </c>
      <c r="J561" s="9" t="s">
        <v>2459</v>
      </c>
      <c r="K561" s="9" t="s">
        <v>2458</v>
      </c>
      <c r="L561" s="9" t="b">
        <f t="shared" si="34"/>
        <v>1</v>
      </c>
      <c r="M561" s="9" t="b">
        <f t="shared" si="35"/>
        <v>1</v>
      </c>
      <c r="N561" s="9" t="s">
        <v>2460</v>
      </c>
      <c r="O561" s="9">
        <v>0</v>
      </c>
      <c r="P561" s="9">
        <v>1000</v>
      </c>
      <c r="Q561" s="13"/>
      <c r="R561" s="13"/>
      <c r="S561" s="9" t="s">
        <v>2461</v>
      </c>
      <c r="T561" s="9" t="s">
        <v>244</v>
      </c>
      <c r="U561" s="13"/>
      <c r="V561" s="9" t="s">
        <v>30</v>
      </c>
      <c r="W561" s="13"/>
      <c r="X561" s="9">
        <v>2</v>
      </c>
    </row>
    <row r="562" spans="1:24">
      <c r="A562" s="13"/>
      <c r="B562" s="9" t="s">
        <v>2462</v>
      </c>
      <c r="C562" s="9" t="str">
        <f>VLOOKUP(B562,[1]RXNS!$B:$C,1,)</f>
        <v>HMPabc</v>
      </c>
      <c r="D562" s="9" t="b">
        <f t="shared" si="32"/>
        <v>1</v>
      </c>
      <c r="E562" s="9" t="s">
        <v>2463</v>
      </c>
      <c r="F562" s="9" t="s">
        <v>2463</v>
      </c>
      <c r="G562" s="9" t="b">
        <f t="shared" si="33"/>
        <v>1</v>
      </c>
      <c r="H562" s="9" t="str">
        <f>VLOOKUP(B562,[1]RXNS!$B:$D,3,FALSE)</f>
        <v>4-Amino-5-hydroxymethyl-2-methylpyrimidine[e] + ATP[c] + H2O[c] =&gt; 4-Amino-5-hydroxymethyl-2-methylpyrimidine[c] + ADP[c] + H+[c] + Phosphate[c]</v>
      </c>
      <c r="I562" s="9">
        <f>VLOOKUP(B562,[1]RXNS!$B:$E,4,FALSE)</f>
        <v>0</v>
      </c>
      <c r="J562" s="9" t="s">
        <v>2464</v>
      </c>
      <c r="K562" s="13"/>
      <c r="L562" s="9" t="b">
        <f t="shared" si="34"/>
        <v>1</v>
      </c>
      <c r="M562" s="9" t="b">
        <f t="shared" si="35"/>
        <v>0</v>
      </c>
      <c r="N562" s="9" t="s">
        <v>2465</v>
      </c>
      <c r="O562" s="9">
        <v>0</v>
      </c>
      <c r="P562" s="9">
        <v>1000</v>
      </c>
      <c r="Q562" s="13"/>
      <c r="R562" s="13"/>
      <c r="S562" s="13"/>
      <c r="T562" s="9" t="s">
        <v>146</v>
      </c>
      <c r="U562" s="13"/>
      <c r="V562" s="9" t="s">
        <v>30</v>
      </c>
      <c r="W562" s="13"/>
      <c r="X562" s="9">
        <v>2</v>
      </c>
    </row>
    <row r="563" spans="1:24">
      <c r="A563" s="13"/>
      <c r="B563" s="9" t="s">
        <v>2466</v>
      </c>
      <c r="C563" s="9" t="str">
        <f>VLOOKUP(B563,[1]RXNS!$B:$C,1,)</f>
        <v>HOCHL3</v>
      </c>
      <c r="D563" s="9" t="b">
        <f t="shared" si="32"/>
        <v>1</v>
      </c>
      <c r="E563" s="9" t="s">
        <v>2467</v>
      </c>
      <c r="F563" s="9" t="s">
        <v>2467</v>
      </c>
      <c r="G563" s="9" t="b">
        <f t="shared" si="33"/>
        <v>1</v>
      </c>
      <c r="H563" s="9" t="str">
        <f>VLOOKUP(B563,[1]RXNS!$B:$D,3,FALSE)</f>
        <v>(R)-3-Hydroxyoctanoyl-[acyl-carrier protein][c] =&gt; trans-Oct-2-enoyl-[acp][c] + H2O[c]</v>
      </c>
      <c r="I563" s="9" t="s">
        <v>1655</v>
      </c>
      <c r="J563" s="9" t="s">
        <v>2468</v>
      </c>
      <c r="K563" s="9" t="s">
        <v>1655</v>
      </c>
      <c r="L563" s="9" t="b">
        <f t="shared" si="34"/>
        <v>1</v>
      </c>
      <c r="M563" s="9" t="b">
        <f t="shared" si="35"/>
        <v>1</v>
      </c>
      <c r="N563" s="9" t="s">
        <v>1657</v>
      </c>
      <c r="O563" s="9">
        <v>0</v>
      </c>
      <c r="P563" s="9">
        <v>1000</v>
      </c>
      <c r="Q563" s="13"/>
      <c r="R563" s="13"/>
      <c r="S563" s="9" t="s">
        <v>2469</v>
      </c>
      <c r="T563" s="9" t="s">
        <v>34</v>
      </c>
      <c r="U563" s="13"/>
      <c r="V563" s="9" t="s">
        <v>30</v>
      </c>
      <c r="W563" s="13"/>
      <c r="X563" s="9">
        <v>2</v>
      </c>
    </row>
    <row r="564" spans="1:24">
      <c r="A564" s="13"/>
      <c r="B564" s="9" t="s">
        <v>2470</v>
      </c>
      <c r="C564" s="9" t="str">
        <f>VLOOKUP(B564,[1]RXNS!$B:$C,1,)</f>
        <v>HOCR3</v>
      </c>
      <c r="D564" s="9" t="b">
        <f t="shared" si="32"/>
        <v>1</v>
      </c>
      <c r="E564" s="9" t="s">
        <v>2471</v>
      </c>
      <c r="F564" s="9" t="s">
        <v>2471</v>
      </c>
      <c r="G564" s="9" t="b">
        <f t="shared" si="33"/>
        <v>1</v>
      </c>
      <c r="H564" s="9" t="str">
        <f>VLOOKUP(B564,[1]RXNS!$B:$D,3,FALSE)</f>
        <v>3-Oxooctanoyl-[acyl-carrier protein][c] + H+[c] + Nicotinamide adenine dinucleotide phosphate - reduced[c] =&gt; (R)-3-Hydroxyoctanoyl-[acyl-carrier protein][c] + Nicotinamide adenine dinucleotide phosphate[c]</v>
      </c>
      <c r="I564" s="9" t="s">
        <v>1661</v>
      </c>
      <c r="J564" s="9" t="s">
        <v>2472</v>
      </c>
      <c r="K564" s="9" t="s">
        <v>1661</v>
      </c>
      <c r="L564" s="9" t="b">
        <f t="shared" si="34"/>
        <v>1</v>
      </c>
      <c r="M564" s="9" t="b">
        <f t="shared" si="35"/>
        <v>1</v>
      </c>
      <c r="N564" s="9" t="s">
        <v>1663</v>
      </c>
      <c r="O564" s="9">
        <v>0</v>
      </c>
      <c r="P564" s="9">
        <v>1000</v>
      </c>
      <c r="Q564" s="13"/>
      <c r="R564" s="13"/>
      <c r="S564" s="9" t="s">
        <v>2473</v>
      </c>
      <c r="T564" s="9" t="s">
        <v>34</v>
      </c>
      <c r="U564" s="13"/>
      <c r="V564" s="9" t="s">
        <v>30</v>
      </c>
      <c r="W564" s="13"/>
      <c r="X564" s="9">
        <v>2</v>
      </c>
    </row>
    <row r="565" spans="1:24">
      <c r="A565" s="13"/>
      <c r="B565" s="9" t="s">
        <v>2474</v>
      </c>
      <c r="C565" s="9" t="str">
        <f>VLOOKUP(B565,[1]RXNS!$B:$C,1,)</f>
        <v>HODHL8</v>
      </c>
      <c r="D565" s="9" t="b">
        <f t="shared" si="32"/>
        <v>1</v>
      </c>
      <c r="E565" s="9" t="s">
        <v>2475</v>
      </c>
      <c r="F565" s="9" t="s">
        <v>2475</v>
      </c>
      <c r="G565" s="9" t="b">
        <f t="shared" si="33"/>
        <v>1</v>
      </c>
      <c r="H565" s="9" t="str">
        <f>VLOOKUP(B565,[1]RXNS!$B:$D,3,FALSE)</f>
        <v>(3R)-3-Hydroxyoctadecanoyl-[acyl-carrier protein[c] =&gt; trans-Octadec-2-enoyl-[acyl-carrier-protein][c] + H2O[c]</v>
      </c>
      <c r="I565" s="9" t="s">
        <v>1655</v>
      </c>
      <c r="J565" s="9" t="s">
        <v>2476</v>
      </c>
      <c r="K565" s="9" t="s">
        <v>1655</v>
      </c>
      <c r="L565" s="9" t="b">
        <f t="shared" si="34"/>
        <v>1</v>
      </c>
      <c r="M565" s="9" t="b">
        <f t="shared" si="35"/>
        <v>1</v>
      </c>
      <c r="N565" s="9" t="s">
        <v>1657</v>
      </c>
      <c r="O565" s="9">
        <v>0</v>
      </c>
      <c r="P565" s="9">
        <v>1000</v>
      </c>
      <c r="Q565" s="13"/>
      <c r="R565" s="13"/>
      <c r="S565" s="9" t="s">
        <v>2477</v>
      </c>
      <c r="T565" s="9" t="s">
        <v>34</v>
      </c>
      <c r="U565" s="13"/>
      <c r="V565" s="9" t="s">
        <v>30</v>
      </c>
      <c r="W565" s="13"/>
      <c r="X565" s="9">
        <v>2</v>
      </c>
    </row>
    <row r="566" spans="1:24">
      <c r="A566" s="13"/>
      <c r="B566" s="9" t="s">
        <v>2478</v>
      </c>
      <c r="C566" s="9" t="str">
        <f>VLOOKUP(B566,[1]RXNS!$B:$C,1,)</f>
        <v>HODR8</v>
      </c>
      <c r="D566" s="9" t="b">
        <f t="shared" si="32"/>
        <v>1</v>
      </c>
      <c r="E566" s="9" t="s">
        <v>2479</v>
      </c>
      <c r="F566" s="9" t="s">
        <v>2479</v>
      </c>
      <c r="G566" s="9" t="b">
        <f t="shared" si="33"/>
        <v>1</v>
      </c>
      <c r="H566" s="9" t="str">
        <f>VLOOKUP(B566,[1]RXNS!$B:$D,3,FALSE)</f>
        <v>3-Oxooctadecanoyl-[acp][c] + H+[c] + Nicotinamide adenine dinucleotide phosphate - reduced[c] =&gt; (3R)-3-Hydroxyoctadecanoyl-[acyl-carrier protein[c] + Nicotinamide adenine dinucleotide phosphate[c]</v>
      </c>
      <c r="I566" s="9" t="s">
        <v>1661</v>
      </c>
      <c r="J566" s="9" t="s">
        <v>2480</v>
      </c>
      <c r="K566" s="9" t="s">
        <v>1661</v>
      </c>
      <c r="L566" s="9" t="b">
        <f t="shared" si="34"/>
        <v>1</v>
      </c>
      <c r="M566" s="9" t="b">
        <f t="shared" si="35"/>
        <v>1</v>
      </c>
      <c r="N566" s="9" t="s">
        <v>1663</v>
      </c>
      <c r="O566" s="9">
        <v>0</v>
      </c>
      <c r="P566" s="9">
        <v>1000</v>
      </c>
      <c r="Q566" s="13"/>
      <c r="R566" s="13"/>
      <c r="S566" s="9" t="s">
        <v>2481</v>
      </c>
      <c r="T566" s="9" t="s">
        <v>34</v>
      </c>
      <c r="U566" s="13"/>
      <c r="V566" s="9" t="s">
        <v>30</v>
      </c>
      <c r="W566" s="13"/>
      <c r="X566" s="9">
        <v>2</v>
      </c>
    </row>
    <row r="567" spans="1:24">
      <c r="A567" s="13"/>
      <c r="B567" s="9" t="s">
        <v>2482</v>
      </c>
      <c r="C567" s="9" t="str">
        <f>VLOOKUP(B567,[1]RXNS!$B:$C,1,)</f>
        <v>HPPK</v>
      </c>
      <c r="D567" s="9" t="b">
        <f t="shared" si="32"/>
        <v>1</v>
      </c>
      <c r="E567" s="9" t="s">
        <v>2483</v>
      </c>
      <c r="F567" s="9" t="s">
        <v>2483</v>
      </c>
      <c r="G567" s="9" t="b">
        <f t="shared" si="33"/>
        <v>1</v>
      </c>
      <c r="H567" s="9" t="str">
        <f>VLOOKUP(B567,[1]RXNS!$B:$D,3,FALSE)</f>
        <v>2-Amino-4-hydroxy-6-hydroxymethyl-7,8-dihydropteridine[c] + ATP[c] =&gt; 2-Amino-4-hydroxy-6-hydroxymethyl-7,8-dihydropteridine diphosphate[c] + AMP[c] + H+[c]</v>
      </c>
      <c r="I567" s="9" t="s">
        <v>2484</v>
      </c>
      <c r="J567" s="9" t="s">
        <v>2485</v>
      </c>
      <c r="K567" s="9" t="s">
        <v>2484</v>
      </c>
      <c r="L567" s="9" t="b">
        <f t="shared" si="34"/>
        <v>1</v>
      </c>
      <c r="M567" s="9" t="b">
        <f t="shared" si="35"/>
        <v>1</v>
      </c>
      <c r="N567" s="9" t="s">
        <v>2486</v>
      </c>
      <c r="O567" s="9">
        <v>0</v>
      </c>
      <c r="P567" s="9">
        <v>1000</v>
      </c>
      <c r="Q567" s="13"/>
      <c r="R567" s="13"/>
      <c r="S567" s="9" t="s">
        <v>2487</v>
      </c>
      <c r="T567" s="9" t="s">
        <v>830</v>
      </c>
      <c r="U567" s="13"/>
      <c r="V567" s="9" t="s">
        <v>30</v>
      </c>
      <c r="W567" s="13"/>
      <c r="X567" s="9">
        <v>2</v>
      </c>
    </row>
    <row r="568" spans="1:24">
      <c r="A568" s="13"/>
      <c r="B568" s="9" t="s">
        <v>2488</v>
      </c>
      <c r="C568" s="9" t="str">
        <f>VLOOKUP(B568,[1]RXNS!$B:$C,1,)</f>
        <v>HSAT</v>
      </c>
      <c r="D568" s="9" t="b">
        <f t="shared" si="32"/>
        <v>1</v>
      </c>
      <c r="E568" s="9" t="s">
        <v>2489</v>
      </c>
      <c r="F568" s="9" t="s">
        <v>2489</v>
      </c>
      <c r="G568" s="9" t="b">
        <f t="shared" si="33"/>
        <v>1</v>
      </c>
      <c r="H568" s="9" t="str">
        <f>VLOOKUP(B568,[1]RXNS!$B:$D,3,FALSE)</f>
        <v>Acetyl-CoA[c] + L-Homoserine[c] &lt;=&gt; O-Acetyl-L-homoserine[c] + Coenzyme A[c]</v>
      </c>
      <c r="I568" s="9" t="s">
        <v>2490</v>
      </c>
      <c r="J568" s="9" t="s">
        <v>2491</v>
      </c>
      <c r="K568" s="9" t="s">
        <v>2490</v>
      </c>
      <c r="L568" s="9" t="b">
        <f t="shared" si="34"/>
        <v>1</v>
      </c>
      <c r="M568" s="9" t="b">
        <f t="shared" si="35"/>
        <v>1</v>
      </c>
      <c r="N568" s="9" t="s">
        <v>2113</v>
      </c>
      <c r="O568" s="9">
        <v>-1000</v>
      </c>
      <c r="P568" s="9">
        <v>1000</v>
      </c>
      <c r="Q568" s="13"/>
      <c r="R568" s="13"/>
      <c r="S568" s="13"/>
      <c r="T568" s="9" t="s">
        <v>239</v>
      </c>
      <c r="U568" s="13"/>
      <c r="V568" s="9" t="s">
        <v>30</v>
      </c>
      <c r="W568" s="13"/>
      <c r="X568" s="9">
        <v>2</v>
      </c>
    </row>
    <row r="569" spans="1:24">
      <c r="A569" s="13"/>
      <c r="B569" s="9" t="s">
        <v>2492</v>
      </c>
      <c r="C569" s="9" t="str">
        <f>VLOOKUP(B569,[1]RXNS!$B:$C,1,)</f>
        <v>HSDy</v>
      </c>
      <c r="D569" s="9" t="b">
        <f t="shared" si="32"/>
        <v>1</v>
      </c>
      <c r="E569" s="9" t="s">
        <v>2493</v>
      </c>
      <c r="F569" s="9" t="s">
        <v>2493</v>
      </c>
      <c r="G569" s="9" t="b">
        <f t="shared" si="33"/>
        <v>1</v>
      </c>
      <c r="H569" s="9" t="str">
        <f>VLOOKUP(B569,[1]RXNS!$B:$D,3,FALSE)</f>
        <v>L-Homoserine[c] + Nicotinamide adenine dinucleotide phosphate[c] &lt;=&gt; L-Aspartate 4-semialdehyde[c] + H+[c] + Nicotinamide adenine dinucleotide phosphate - reduced[c]</v>
      </c>
      <c r="I569" s="9" t="s">
        <v>2494</v>
      </c>
      <c r="J569" s="9" t="s">
        <v>2495</v>
      </c>
      <c r="K569" s="9" t="s">
        <v>2494</v>
      </c>
      <c r="L569" s="9" t="b">
        <f t="shared" si="34"/>
        <v>1</v>
      </c>
      <c r="M569" s="9" t="b">
        <f t="shared" si="35"/>
        <v>1</v>
      </c>
      <c r="N569" s="9" t="s">
        <v>2496</v>
      </c>
      <c r="O569" s="9">
        <v>-1000</v>
      </c>
      <c r="P569" s="9">
        <v>1000</v>
      </c>
      <c r="Q569" s="13"/>
      <c r="R569" s="13"/>
      <c r="S569" s="13"/>
      <c r="T569" s="9" t="s">
        <v>364</v>
      </c>
      <c r="U569" s="13"/>
      <c r="V569" s="9" t="s">
        <v>30</v>
      </c>
      <c r="W569" s="13"/>
      <c r="X569" s="9">
        <v>2</v>
      </c>
    </row>
    <row r="570" spans="1:24">
      <c r="A570" s="13"/>
      <c r="B570" s="9" t="s">
        <v>2497</v>
      </c>
      <c r="C570" s="9" t="str">
        <f>VLOOKUP(B570,[1]RXNS!$B:$C,1,)</f>
        <v>HTDHL6</v>
      </c>
      <c r="D570" s="9" t="b">
        <f t="shared" si="32"/>
        <v>1</v>
      </c>
      <c r="E570" s="9" t="s">
        <v>1709</v>
      </c>
      <c r="F570" s="9" t="s">
        <v>1709</v>
      </c>
      <c r="G570" s="9" t="b">
        <f t="shared" si="33"/>
        <v>1</v>
      </c>
      <c r="H570" s="9" t="str">
        <f>VLOOKUP(B570,[1]RXNS!$B:$D,3,FALSE)</f>
        <v>(3R)-3-Hydroxytetradecanoyl-[acyl-carrier protein][c] =&gt; trans-Tetradec-2-enoyl-[acyl-carrier protein][c] + H2O[c]</v>
      </c>
      <c r="I570" s="9" t="s">
        <v>1655</v>
      </c>
      <c r="J570" s="9" t="s">
        <v>2498</v>
      </c>
      <c r="K570" s="9" t="s">
        <v>1655</v>
      </c>
      <c r="L570" s="9" t="b">
        <f t="shared" si="34"/>
        <v>1</v>
      </c>
      <c r="M570" s="9" t="b">
        <f t="shared" si="35"/>
        <v>1</v>
      </c>
      <c r="N570" s="9" t="s">
        <v>1657</v>
      </c>
      <c r="O570" s="9">
        <v>0</v>
      </c>
      <c r="P570" s="9">
        <v>1000</v>
      </c>
      <c r="Q570" s="13"/>
      <c r="R570" s="13"/>
      <c r="S570" s="9" t="s">
        <v>2499</v>
      </c>
      <c r="T570" s="9" t="s">
        <v>34</v>
      </c>
      <c r="U570" s="13"/>
      <c r="V570" s="9" t="s">
        <v>30</v>
      </c>
      <c r="W570" s="13"/>
      <c r="X570" s="9">
        <v>2</v>
      </c>
    </row>
    <row r="571" spans="1:24">
      <c r="A571" s="13"/>
      <c r="B571" s="9" t="s">
        <v>2500</v>
      </c>
      <c r="C571" s="9" t="str">
        <f>VLOOKUP(B571,[1]RXNS!$B:$C,1,)</f>
        <v>HTDR6</v>
      </c>
      <c r="D571" s="9" t="b">
        <f t="shared" si="32"/>
        <v>1</v>
      </c>
      <c r="E571" s="9" t="s">
        <v>2501</v>
      </c>
      <c r="F571" s="9" t="s">
        <v>2501</v>
      </c>
      <c r="G571" s="9" t="b">
        <f t="shared" si="33"/>
        <v>1</v>
      </c>
      <c r="H571" s="9" t="str">
        <f>VLOOKUP(B571,[1]RXNS!$B:$D,3,FALSE)</f>
        <v>3-Oxotetradecanoyl-[acyl-carrier protein][c] + H+[c] + Nicotinamide adenine dinucleotide phosphate - reduced[c] =&gt; (3R)-3-Hydroxytetradecanoyl-[acyl-carrier protein][c] + Nicotinamide adenine dinucleotide phosphate[c]</v>
      </c>
      <c r="I571" s="9" t="s">
        <v>1661</v>
      </c>
      <c r="J571" s="9" t="s">
        <v>2502</v>
      </c>
      <c r="K571" s="9" t="s">
        <v>1661</v>
      </c>
      <c r="L571" s="9" t="b">
        <f t="shared" si="34"/>
        <v>1</v>
      </c>
      <c r="M571" s="9" t="b">
        <f t="shared" si="35"/>
        <v>1</v>
      </c>
      <c r="N571" s="9" t="s">
        <v>1663</v>
      </c>
      <c r="O571" s="9">
        <v>0</v>
      </c>
      <c r="P571" s="9">
        <v>1000</v>
      </c>
      <c r="Q571" s="13"/>
      <c r="R571" s="13"/>
      <c r="S571" s="9" t="s">
        <v>2503</v>
      </c>
      <c r="T571" s="9" t="s">
        <v>34</v>
      </c>
      <c r="U571" s="13"/>
      <c r="V571" s="9" t="s">
        <v>30</v>
      </c>
      <c r="W571" s="13"/>
      <c r="X571" s="9">
        <v>2</v>
      </c>
    </row>
    <row r="572" spans="1:24">
      <c r="A572" s="13"/>
      <c r="B572" s="9" t="s">
        <v>2504</v>
      </c>
      <c r="C572" s="9" t="str">
        <f>VLOOKUP(B572,[1]RXNS!$B:$C,1,)</f>
        <v>HXANt2</v>
      </c>
      <c r="D572" s="9" t="b">
        <f t="shared" si="32"/>
        <v>1</v>
      </c>
      <c r="E572" s="9" t="s">
        <v>2505</v>
      </c>
      <c r="F572" s="9" t="s">
        <v>2505</v>
      </c>
      <c r="G572" s="9" t="b">
        <f t="shared" si="33"/>
        <v>1</v>
      </c>
      <c r="H572" s="9" t="str">
        <f>VLOOKUP(B572,[1]RXNS!$B:$D,3,FALSE)</f>
        <v>H+[e] + Hypoxanthine[e] =&gt; H+[c] + Hypoxanthine[c]</v>
      </c>
      <c r="I572" s="9">
        <f>VLOOKUP(B572,[1]RXNS!$B:$E,4,FALSE)</f>
        <v>0</v>
      </c>
      <c r="J572" s="9" t="s">
        <v>2506</v>
      </c>
      <c r="K572" s="13"/>
      <c r="L572" s="9" t="b">
        <f t="shared" si="34"/>
        <v>1</v>
      </c>
      <c r="M572" s="9" t="b">
        <f t="shared" si="35"/>
        <v>0</v>
      </c>
      <c r="N572" s="9" t="s">
        <v>2507</v>
      </c>
      <c r="O572" s="9">
        <v>0</v>
      </c>
      <c r="P572" s="9">
        <v>1000</v>
      </c>
      <c r="Q572" s="13"/>
      <c r="R572" s="13"/>
      <c r="S572" s="13"/>
      <c r="T572" s="9" t="s">
        <v>146</v>
      </c>
      <c r="U572" s="13"/>
      <c r="V572" s="9" t="s">
        <v>30</v>
      </c>
      <c r="W572" s="13"/>
      <c r="X572" s="9">
        <v>2</v>
      </c>
    </row>
    <row r="573" spans="1:24">
      <c r="A573" s="13"/>
      <c r="B573" s="9" t="s">
        <v>2508</v>
      </c>
      <c r="C573" s="9" t="str">
        <f>VLOOKUP(B573,[1]RXNS!$B:$C,1,)</f>
        <v>HXPRT</v>
      </c>
      <c r="D573" s="9" t="b">
        <f t="shared" si="32"/>
        <v>1</v>
      </c>
      <c r="E573" s="9" t="s">
        <v>2509</v>
      </c>
      <c r="F573" s="9" t="s">
        <v>2509</v>
      </c>
      <c r="G573" s="9" t="b">
        <f t="shared" si="33"/>
        <v>1</v>
      </c>
      <c r="H573" s="9" t="str">
        <f>VLOOKUP(B573,[1]RXNS!$B:$D,3,FALSE)</f>
        <v>Hypoxanthine[c] + 5-Phospho-alpha-D-ribose 1-diphosphate[c] =&gt; IMP[c] + Diphosphate[c]</v>
      </c>
      <c r="I573" s="9" t="s">
        <v>2510</v>
      </c>
      <c r="J573" s="9" t="s">
        <v>2511</v>
      </c>
      <c r="K573" s="9" t="s">
        <v>2510</v>
      </c>
      <c r="L573" s="9" t="b">
        <f t="shared" si="34"/>
        <v>1</v>
      </c>
      <c r="M573" s="9" t="b">
        <f t="shared" si="35"/>
        <v>1</v>
      </c>
      <c r="N573" s="9" t="s">
        <v>199</v>
      </c>
      <c r="O573" s="9">
        <v>0</v>
      </c>
      <c r="P573" s="9">
        <v>1000</v>
      </c>
      <c r="Q573" s="13"/>
      <c r="R573" s="13"/>
      <c r="S573" s="9" t="s">
        <v>2512</v>
      </c>
      <c r="T573" s="9" t="s">
        <v>153</v>
      </c>
      <c r="U573" s="13"/>
      <c r="V573" s="9" t="s">
        <v>30</v>
      </c>
      <c r="W573" s="13"/>
      <c r="X573" s="9">
        <v>2</v>
      </c>
    </row>
    <row r="574" spans="1:24">
      <c r="A574" s="13"/>
      <c r="B574" s="9" t="s">
        <v>2513</v>
      </c>
      <c r="C574" s="9" t="str">
        <f>VLOOKUP(B574,[1]RXNS!$B:$C,1,)</f>
        <v>HYPOE</v>
      </c>
      <c r="D574" s="9" t="b">
        <f t="shared" si="32"/>
        <v>1</v>
      </c>
      <c r="E574" s="9" t="s">
        <v>2514</v>
      </c>
      <c r="F574" s="9" t="s">
        <v>2514</v>
      </c>
      <c r="G574" s="9" t="b">
        <f t="shared" si="33"/>
        <v>1</v>
      </c>
      <c r="H574" s="9" t="str">
        <f>VLOOKUP(B574,[1]RXNS!$B:$D,3,FALSE)</f>
        <v>H2O[c] + Pyridoxamine 5'-phosphate[c] =&gt; Phosphate[c] + Pyridoxamine[c]</v>
      </c>
      <c r="I574" s="9" t="s">
        <v>2331</v>
      </c>
      <c r="J574" s="9" t="s">
        <v>2515</v>
      </c>
      <c r="K574" s="9" t="s">
        <v>2331</v>
      </c>
      <c r="L574" s="9" t="b">
        <f t="shared" si="34"/>
        <v>1</v>
      </c>
      <c r="M574" s="9" t="b">
        <f t="shared" si="35"/>
        <v>1</v>
      </c>
      <c r="N574" s="9" t="s">
        <v>2516</v>
      </c>
      <c r="O574" s="9">
        <v>0</v>
      </c>
      <c r="P574" s="9">
        <v>1000</v>
      </c>
      <c r="Q574" s="13"/>
      <c r="R574" s="13"/>
      <c r="S574" s="13"/>
      <c r="T574" s="9" t="s">
        <v>272</v>
      </c>
      <c r="U574" s="13"/>
      <c r="V574" s="9" t="s">
        <v>30</v>
      </c>
      <c r="W574" s="13"/>
      <c r="X574" s="9">
        <v>2</v>
      </c>
    </row>
    <row r="575" spans="1:24">
      <c r="A575" s="13"/>
      <c r="B575" s="9" t="s">
        <v>2517</v>
      </c>
      <c r="C575" s="9" t="str">
        <f>VLOOKUP(B575,[1]RXNS!$B:$C,1,)</f>
        <v>ICDHy</v>
      </c>
      <c r="D575" s="9" t="b">
        <f t="shared" si="32"/>
        <v>1</v>
      </c>
      <c r="E575" s="9" t="s">
        <v>2518</v>
      </c>
      <c r="F575" s="9" t="s">
        <v>2518</v>
      </c>
      <c r="G575" s="9" t="b">
        <f t="shared" si="33"/>
        <v>1</v>
      </c>
      <c r="H575" s="9" t="str">
        <f>VLOOKUP(B575,[1]RXNS!$B:$D,3,FALSE)</f>
        <v>Isocitrate[c] + Nicotinamide adenine dinucleotide phosphate[c] &lt;=&gt; 2-Oxoglutarate[c] + CO2[c] + Nicotinamide adenine dinucleotide phosphate - reduced[c]</v>
      </c>
      <c r="I575" s="9" t="s">
        <v>2519</v>
      </c>
      <c r="J575" s="9" t="s">
        <v>2520</v>
      </c>
      <c r="K575" s="9" t="s">
        <v>2519</v>
      </c>
      <c r="L575" s="9" t="b">
        <f t="shared" si="34"/>
        <v>1</v>
      </c>
      <c r="M575" s="9" t="b">
        <f t="shared" si="35"/>
        <v>1</v>
      </c>
      <c r="N575" s="9" t="s">
        <v>2521</v>
      </c>
      <c r="O575" s="9">
        <v>-1000</v>
      </c>
      <c r="P575" s="9">
        <v>1000</v>
      </c>
      <c r="Q575" s="13"/>
      <c r="R575" s="13"/>
      <c r="S575" s="13"/>
      <c r="T575" s="9" t="s">
        <v>1296</v>
      </c>
      <c r="U575" s="13"/>
      <c r="V575" s="9" t="s">
        <v>30</v>
      </c>
      <c r="W575" s="13"/>
      <c r="X575" s="9">
        <v>2</v>
      </c>
    </row>
    <row r="576" spans="1:24">
      <c r="A576" s="13"/>
      <c r="B576" s="9" t="s">
        <v>2522</v>
      </c>
      <c r="C576" s="9" t="str">
        <f>VLOOKUP(B576,[1]RXNS!$B:$C,1,)</f>
        <v>ILETRS</v>
      </c>
      <c r="D576" s="9" t="b">
        <f t="shared" si="32"/>
        <v>1</v>
      </c>
      <c r="E576" s="9" t="s">
        <v>2523</v>
      </c>
      <c r="F576" s="9" t="s">
        <v>2523</v>
      </c>
      <c r="G576" s="9" t="b">
        <f t="shared" si="33"/>
        <v>1</v>
      </c>
      <c r="H576" s="9" t="str">
        <f>VLOOKUP(B576,[1]RXNS!$B:$D,3,FALSE)</f>
        <v>ATP[c] + L-Isoleucine[c] + tRNA(Ile)[c] =&gt; AMP[c] + L-Isoleucyl-tRNA(Ile)[c] + Diphosphate[c]</v>
      </c>
      <c r="I576" s="9" t="s">
        <v>2524</v>
      </c>
      <c r="J576" s="9" t="s">
        <v>2525</v>
      </c>
      <c r="K576" s="9" t="s">
        <v>2524</v>
      </c>
      <c r="L576" s="9" t="b">
        <f t="shared" si="34"/>
        <v>1</v>
      </c>
      <c r="M576" s="9" t="b">
        <f t="shared" si="35"/>
        <v>1</v>
      </c>
      <c r="N576" s="9" t="s">
        <v>2526</v>
      </c>
      <c r="O576" s="9">
        <v>0</v>
      </c>
      <c r="P576" s="9">
        <v>1000</v>
      </c>
      <c r="Q576" s="13"/>
      <c r="R576" s="13"/>
      <c r="S576" s="13"/>
      <c r="T576" s="9" t="s">
        <v>278</v>
      </c>
      <c r="U576" s="13"/>
      <c r="V576" s="9" t="s">
        <v>30</v>
      </c>
      <c r="W576" s="13"/>
      <c r="X576" s="9">
        <v>2</v>
      </c>
    </row>
    <row r="577" spans="1:24">
      <c r="A577" s="13"/>
      <c r="B577" s="9" t="s">
        <v>2527</v>
      </c>
      <c r="C577" s="9" t="str">
        <f>VLOOKUP(B577,[1]RXNS!$B:$C,1,)</f>
        <v>ILEt2</v>
      </c>
      <c r="D577" s="9" t="b">
        <f t="shared" si="32"/>
        <v>1</v>
      </c>
      <c r="E577" s="9" t="s">
        <v>2528</v>
      </c>
      <c r="F577" s="9" t="s">
        <v>2528</v>
      </c>
      <c r="G577" s="9" t="b">
        <f t="shared" si="33"/>
        <v>1</v>
      </c>
      <c r="H577" s="9" t="str">
        <f>VLOOKUP(B577,[1]RXNS!$B:$D,3,FALSE)</f>
        <v>H+[e] + L-Isoleucine[e] =&gt; H+[c] + L-Isoleucine[c]</v>
      </c>
      <c r="I577" s="9">
        <f>VLOOKUP(B577,[1]RXNS!$B:$E,4,FALSE)</f>
        <v>0</v>
      </c>
      <c r="J577" s="9" t="s">
        <v>2529</v>
      </c>
      <c r="K577" s="13"/>
      <c r="L577" s="9" t="b">
        <f t="shared" si="34"/>
        <v>1</v>
      </c>
      <c r="M577" s="9" t="b">
        <f t="shared" si="35"/>
        <v>0</v>
      </c>
      <c r="N577" s="9" t="s">
        <v>2530</v>
      </c>
      <c r="O577" s="9">
        <v>0</v>
      </c>
      <c r="P577" s="9">
        <v>1000</v>
      </c>
      <c r="Q577" s="13"/>
      <c r="R577" s="13"/>
      <c r="S577" s="13"/>
      <c r="T577" s="9" t="s">
        <v>146</v>
      </c>
      <c r="U577" s="13"/>
      <c r="V577" s="9" t="s">
        <v>30</v>
      </c>
      <c r="W577" s="13"/>
      <c r="X577" s="9">
        <v>2</v>
      </c>
    </row>
    <row r="578" spans="1:24">
      <c r="A578" s="13"/>
      <c r="B578" s="9" t="s">
        <v>2531</v>
      </c>
      <c r="C578" s="9" t="str">
        <f>VLOOKUP(B578,[1]RXNS!$B:$C,1,)</f>
        <v>ILEt6</v>
      </c>
      <c r="D578" s="9" t="b">
        <f t="shared" ref="D578:D641" si="36">EXACT(B578,C578)</f>
        <v>1</v>
      </c>
      <c r="E578" s="9" t="s">
        <v>2532</v>
      </c>
      <c r="F578" s="9" t="s">
        <v>2532</v>
      </c>
      <c r="G578" s="9" t="b">
        <f t="shared" ref="G578:G641" si="37">EXACT(E578,F578)</f>
        <v>1</v>
      </c>
      <c r="H578" s="9" t="str">
        <f>VLOOKUP(B578,[1]RXNS!$B:$D,3,FALSE)</f>
        <v>H+[e] + L-Isoleucine[e] &lt;=&gt; H+[c] + L-Isoleucine[c]</v>
      </c>
      <c r="I578" s="9">
        <f>VLOOKUP(B578,[1]RXNS!$B:$E,4,FALSE)</f>
        <v>0</v>
      </c>
      <c r="J578" s="9" t="s">
        <v>2533</v>
      </c>
      <c r="K578" s="13"/>
      <c r="L578" s="9" t="b">
        <f t="shared" ref="L578:L641" si="38">EXACT(H578,J578)</f>
        <v>1</v>
      </c>
      <c r="M578" s="9" t="b">
        <f t="shared" ref="M578:M641" si="39">EXACT(I578,K578)</f>
        <v>0</v>
      </c>
      <c r="N578" s="9" t="s">
        <v>2534</v>
      </c>
      <c r="O578" s="9">
        <v>-1000</v>
      </c>
      <c r="P578" s="9">
        <v>1000</v>
      </c>
      <c r="Q578" s="13"/>
      <c r="R578" s="13"/>
      <c r="S578" s="13"/>
      <c r="T578" s="9" t="s">
        <v>146</v>
      </c>
      <c r="U578" s="13"/>
      <c r="V578" s="9" t="s">
        <v>30</v>
      </c>
      <c r="W578" s="13"/>
      <c r="X578" s="9">
        <v>2</v>
      </c>
    </row>
    <row r="579" spans="1:24">
      <c r="A579" s="13"/>
      <c r="B579" s="9" t="s">
        <v>2535</v>
      </c>
      <c r="C579" s="9" t="str">
        <f>VLOOKUP(B579,[1]RXNS!$B:$C,1,)</f>
        <v>IMPC</v>
      </c>
      <c r="D579" s="9" t="b">
        <f t="shared" si="36"/>
        <v>1</v>
      </c>
      <c r="E579" s="9" t="s">
        <v>2536</v>
      </c>
      <c r="F579" s="9" t="s">
        <v>2536</v>
      </c>
      <c r="G579" s="9" t="b">
        <f t="shared" si="37"/>
        <v>1</v>
      </c>
      <c r="H579" s="9" t="str">
        <f>VLOOKUP(B579,[1]RXNS!$B:$D,3,FALSE)</f>
        <v>H2O[c] + IMP[c] &lt;=&gt; 5-Formamido-1-(5-phospho-D-ribosyl)imidazole-4-carboxamide[c]</v>
      </c>
      <c r="I579" s="9" t="s">
        <v>2537</v>
      </c>
      <c r="J579" s="9" t="s">
        <v>2538</v>
      </c>
      <c r="K579" s="9" t="s">
        <v>2537</v>
      </c>
      <c r="L579" s="9" t="b">
        <f t="shared" si="38"/>
        <v>1</v>
      </c>
      <c r="M579" s="9" t="b">
        <f t="shared" si="39"/>
        <v>1</v>
      </c>
      <c r="N579" s="9" t="s">
        <v>249</v>
      </c>
      <c r="O579" s="9">
        <v>-1000</v>
      </c>
      <c r="P579" s="9">
        <v>1000</v>
      </c>
      <c r="Q579" s="13"/>
      <c r="R579" s="13"/>
      <c r="S579" s="9" t="s">
        <v>2539</v>
      </c>
      <c r="T579" s="9" t="s">
        <v>153</v>
      </c>
      <c r="U579" s="13"/>
      <c r="V579" s="9" t="s">
        <v>30</v>
      </c>
      <c r="W579" s="13"/>
      <c r="X579" s="9">
        <v>2</v>
      </c>
    </row>
    <row r="580" spans="1:24">
      <c r="A580" s="13"/>
      <c r="B580" s="9" t="s">
        <v>2540</v>
      </c>
      <c r="C580" s="9" t="str">
        <f>VLOOKUP(B580,[1]RXNS!$B:$C,1,)</f>
        <v>INSt2r</v>
      </c>
      <c r="D580" s="9" t="b">
        <f t="shared" si="36"/>
        <v>1</v>
      </c>
      <c r="E580" s="9" t="s">
        <v>2541</v>
      </c>
      <c r="F580" s="9" t="s">
        <v>2541</v>
      </c>
      <c r="G580" s="9" t="b">
        <f t="shared" si="37"/>
        <v>1</v>
      </c>
      <c r="H580" s="9" t="str">
        <f>VLOOKUP(B580,[1]RXNS!$B:$D,3,FALSE)</f>
        <v>H+[e] + Inosine[e] &lt;=&gt; H+[c] + Inosine[c]</v>
      </c>
      <c r="I580" s="9">
        <f>VLOOKUP(B580,[1]RXNS!$B:$E,4,FALSE)</f>
        <v>0</v>
      </c>
      <c r="J580" s="9" t="s">
        <v>2542</v>
      </c>
      <c r="K580" s="13"/>
      <c r="L580" s="9" t="b">
        <f t="shared" si="38"/>
        <v>1</v>
      </c>
      <c r="M580" s="9" t="b">
        <f t="shared" si="39"/>
        <v>0</v>
      </c>
      <c r="N580" s="13"/>
      <c r="O580" s="9">
        <v>-1000</v>
      </c>
      <c r="P580" s="9">
        <v>1000</v>
      </c>
      <c r="Q580" s="13"/>
      <c r="R580" s="13"/>
      <c r="S580" s="13"/>
      <c r="T580" s="9" t="s">
        <v>146</v>
      </c>
      <c r="U580" s="13"/>
      <c r="V580" s="9" t="s">
        <v>35</v>
      </c>
      <c r="W580" s="13"/>
      <c r="X580" s="9">
        <v>2</v>
      </c>
    </row>
    <row r="581" spans="1:24">
      <c r="A581" s="13"/>
      <c r="B581" s="9" t="s">
        <v>2543</v>
      </c>
      <c r="C581" s="9" t="str">
        <f>VLOOKUP(B581,[1]RXNS!$B:$C,1,)</f>
        <v>IPDDI</v>
      </c>
      <c r="D581" s="9" t="b">
        <f t="shared" si="36"/>
        <v>1</v>
      </c>
      <c r="E581" s="9" t="s">
        <v>2544</v>
      </c>
      <c r="F581" s="9" t="s">
        <v>2544</v>
      </c>
      <c r="G581" s="9" t="b">
        <f t="shared" si="37"/>
        <v>1</v>
      </c>
      <c r="H581" s="9" t="str">
        <f>VLOOKUP(B581,[1]RXNS!$B:$D,3,FALSE)</f>
        <v>Isopentenyl diphosphate[c] &lt;=&gt; Dimethylallyl diphosphate[c]</v>
      </c>
      <c r="I581" s="9" t="s">
        <v>2545</v>
      </c>
      <c r="J581" s="9" t="s">
        <v>2546</v>
      </c>
      <c r="K581" s="9" t="s">
        <v>2545</v>
      </c>
      <c r="L581" s="9" t="b">
        <f t="shared" si="38"/>
        <v>1</v>
      </c>
      <c r="M581" s="9" t="b">
        <f t="shared" si="39"/>
        <v>1</v>
      </c>
      <c r="N581" s="9" t="s">
        <v>2547</v>
      </c>
      <c r="O581" s="9">
        <v>-1000</v>
      </c>
      <c r="P581" s="9">
        <v>1000</v>
      </c>
      <c r="Q581" s="13"/>
      <c r="R581" s="13"/>
      <c r="S581" s="9" t="s">
        <v>2548</v>
      </c>
      <c r="T581" s="9" t="s">
        <v>573</v>
      </c>
      <c r="U581" s="13"/>
      <c r="V581" s="9" t="s">
        <v>30</v>
      </c>
      <c r="W581" s="13"/>
      <c r="X581" s="9">
        <v>2</v>
      </c>
    </row>
    <row r="582" spans="1:24">
      <c r="A582" s="13"/>
      <c r="B582" s="9" t="s">
        <v>2549</v>
      </c>
      <c r="C582" s="9" t="str">
        <f>VLOOKUP(B582,[1]RXNS!$B:$C,1,)</f>
        <v>Kabc</v>
      </c>
      <c r="D582" s="9" t="b">
        <f t="shared" si="36"/>
        <v>1</v>
      </c>
      <c r="E582" s="9" t="s">
        <v>2550</v>
      </c>
      <c r="F582" s="9" t="s">
        <v>2550</v>
      </c>
      <c r="G582" s="9" t="b">
        <f t="shared" si="37"/>
        <v>1</v>
      </c>
      <c r="H582" s="9" t="str">
        <f>VLOOKUP(B582,[1]RXNS!$B:$D,3,FALSE)</f>
        <v>ATP[c] + H2O[c] + K+[e] =&gt; ADP[c] + H+[c] + K+[c] + Phosphate[c]</v>
      </c>
      <c r="I582" s="9">
        <f>VLOOKUP(B582,[1]RXNS!$B:$E,4,FALSE)</f>
        <v>0</v>
      </c>
      <c r="J582" s="9" t="s">
        <v>2551</v>
      </c>
      <c r="K582" s="13"/>
      <c r="L582" s="9" t="b">
        <f t="shared" si="38"/>
        <v>1</v>
      </c>
      <c r="M582" s="9" t="b">
        <f t="shared" si="39"/>
        <v>0</v>
      </c>
      <c r="N582" s="9" t="s">
        <v>2552</v>
      </c>
      <c r="O582" s="9">
        <v>0</v>
      </c>
      <c r="P582" s="9">
        <v>1000</v>
      </c>
      <c r="Q582" s="13"/>
      <c r="R582" s="13"/>
      <c r="S582" s="13"/>
      <c r="T582" s="9" t="s">
        <v>146</v>
      </c>
      <c r="U582" s="13"/>
      <c r="V582" s="9" t="s">
        <v>30</v>
      </c>
      <c r="W582" s="13"/>
      <c r="X582" s="9">
        <v>2</v>
      </c>
    </row>
    <row r="583" spans="1:24">
      <c r="A583" s="13"/>
      <c r="B583" s="9" t="s">
        <v>2553</v>
      </c>
      <c r="C583" s="9" t="str">
        <f>VLOOKUP(B583,[1]RXNS!$B:$C,1,)</f>
        <v>LCTSt6</v>
      </c>
      <c r="D583" s="9" t="b">
        <f t="shared" si="36"/>
        <v>1</v>
      </c>
      <c r="E583" s="9" t="s">
        <v>2554</v>
      </c>
      <c r="F583" s="9" t="s">
        <v>2554</v>
      </c>
      <c r="G583" s="9" t="b">
        <f t="shared" si="37"/>
        <v>1</v>
      </c>
      <c r="H583" s="9" t="str">
        <f>VLOOKUP(B583,[1]RXNS!$B:$D,3,FALSE)</f>
        <v>H+[e] + Lactose[e] &lt;=&gt; H+[c] + Lactose[c]</v>
      </c>
      <c r="I583" s="9">
        <f>VLOOKUP(B583,[1]RXNS!$B:$E,4,FALSE)</f>
        <v>0</v>
      </c>
      <c r="J583" s="9" t="s">
        <v>2555</v>
      </c>
      <c r="K583" s="13"/>
      <c r="L583" s="9" t="b">
        <f t="shared" si="38"/>
        <v>1</v>
      </c>
      <c r="M583" s="9" t="b">
        <f t="shared" si="39"/>
        <v>0</v>
      </c>
      <c r="N583" s="9" t="s">
        <v>1402</v>
      </c>
      <c r="O583" s="9">
        <v>-1000</v>
      </c>
      <c r="P583" s="9">
        <v>1000</v>
      </c>
      <c r="Q583" s="13"/>
      <c r="R583" s="13"/>
      <c r="S583" s="13"/>
      <c r="T583" s="9" t="s">
        <v>146</v>
      </c>
      <c r="U583" s="13"/>
      <c r="V583" s="9" t="s">
        <v>30</v>
      </c>
      <c r="W583" s="13"/>
      <c r="X583" s="9">
        <v>2</v>
      </c>
    </row>
    <row r="584" spans="1:24">
      <c r="A584" s="13"/>
      <c r="B584" s="9" t="s">
        <v>2556</v>
      </c>
      <c r="C584" s="9" t="str">
        <f>VLOOKUP(B584,[1]RXNS!$B:$C,1,)</f>
        <v>LDH_D</v>
      </c>
      <c r="D584" s="9" t="b">
        <f t="shared" si="36"/>
        <v>1</v>
      </c>
      <c r="E584" s="9" t="s">
        <v>2557</v>
      </c>
      <c r="F584" s="9" t="s">
        <v>2557</v>
      </c>
      <c r="G584" s="9" t="b">
        <f t="shared" si="37"/>
        <v>1</v>
      </c>
      <c r="H584" s="9" t="str">
        <f>VLOOKUP(B584,[1]RXNS!$B:$D,3,FALSE)</f>
        <v>D-Lactate[c] + Nicotinamide adenine dinucleotide[c] &lt;=&gt; H+[c] + Nicotinamide adenine dinucleotide - reduced[c] + Pyruvate[c]</v>
      </c>
      <c r="I584" s="9" t="s">
        <v>2558</v>
      </c>
      <c r="J584" s="9" t="s">
        <v>2559</v>
      </c>
      <c r="K584" s="9" t="s">
        <v>2558</v>
      </c>
      <c r="L584" s="9" t="b">
        <f t="shared" si="38"/>
        <v>1</v>
      </c>
      <c r="M584" s="9" t="b">
        <f t="shared" si="39"/>
        <v>1</v>
      </c>
      <c r="N584" s="9" t="s">
        <v>2560</v>
      </c>
      <c r="O584" s="9">
        <v>-1000</v>
      </c>
      <c r="P584" s="9">
        <v>1000</v>
      </c>
      <c r="Q584" s="13"/>
      <c r="R584" s="13"/>
      <c r="S584" s="9" t="s">
        <v>2561</v>
      </c>
      <c r="T584" s="9" t="s">
        <v>74</v>
      </c>
      <c r="U584" s="13"/>
      <c r="V584" s="9" t="s">
        <v>30</v>
      </c>
      <c r="W584" s="13"/>
      <c r="X584" s="9">
        <v>2</v>
      </c>
    </row>
    <row r="585" spans="1:24">
      <c r="A585" s="13"/>
      <c r="B585" s="9" t="s">
        <v>2562</v>
      </c>
      <c r="C585" s="9" t="str">
        <f>VLOOKUP(B585,[1]RXNS!$B:$C,1,)</f>
        <v>LDH_L</v>
      </c>
      <c r="D585" s="9" t="b">
        <f t="shared" si="36"/>
        <v>1</v>
      </c>
      <c r="E585" s="9" t="s">
        <v>2563</v>
      </c>
      <c r="F585" s="9" t="s">
        <v>2563</v>
      </c>
      <c r="G585" s="9" t="b">
        <f t="shared" si="37"/>
        <v>1</v>
      </c>
      <c r="H585" s="9" t="str">
        <f>VLOOKUP(B585,[1]RXNS!$B:$D,3,FALSE)</f>
        <v>L-Lactate[c] + Nicotinamide adenine dinucleotide[c] &lt;=&gt; H+[c] + Nicotinamide adenine dinucleotide - reduced[c] + Pyruvate[c]</v>
      </c>
      <c r="I585" s="9" t="s">
        <v>2564</v>
      </c>
      <c r="J585" s="9" t="s">
        <v>2565</v>
      </c>
      <c r="K585" s="9" t="s">
        <v>2564</v>
      </c>
      <c r="L585" s="9" t="b">
        <f t="shared" si="38"/>
        <v>1</v>
      </c>
      <c r="M585" s="9" t="b">
        <f t="shared" si="39"/>
        <v>1</v>
      </c>
      <c r="N585" s="9" t="s">
        <v>2566</v>
      </c>
      <c r="O585" s="9">
        <v>-1000</v>
      </c>
      <c r="P585" s="9">
        <v>1000</v>
      </c>
      <c r="Q585" s="13"/>
      <c r="R585" s="13"/>
      <c r="S585" s="9" t="s">
        <v>2567</v>
      </c>
      <c r="T585" s="9" t="s">
        <v>74</v>
      </c>
      <c r="U585" s="13"/>
      <c r="V585" s="9" t="s">
        <v>30</v>
      </c>
      <c r="W585" s="13"/>
      <c r="X585" s="9">
        <v>2</v>
      </c>
    </row>
    <row r="586" spans="1:24">
      <c r="A586" s="13"/>
      <c r="B586" s="9" t="s">
        <v>2568</v>
      </c>
      <c r="C586" s="9" t="str">
        <f>VLOOKUP(B586,[1]RXNS!$B:$C,1,)</f>
        <v>LEUTRS</v>
      </c>
      <c r="D586" s="9" t="b">
        <f t="shared" si="36"/>
        <v>1</v>
      </c>
      <c r="E586" s="9" t="s">
        <v>2569</v>
      </c>
      <c r="F586" s="9" t="s">
        <v>2569</v>
      </c>
      <c r="G586" s="9" t="b">
        <f t="shared" si="37"/>
        <v>1</v>
      </c>
      <c r="H586" s="9" t="str">
        <f>VLOOKUP(B586,[1]RXNS!$B:$D,3,FALSE)</f>
        <v>ATP[c] + L-Leucine[c] + tRNA(Leu)[c] =&gt; AMP[c] + L-Leucyl-tRNA(Leu)[c] + Diphosphate[c]</v>
      </c>
      <c r="I586" s="9" t="s">
        <v>2570</v>
      </c>
      <c r="J586" s="9" t="s">
        <v>2571</v>
      </c>
      <c r="K586" s="9" t="s">
        <v>2570</v>
      </c>
      <c r="L586" s="9" t="b">
        <f t="shared" si="38"/>
        <v>1</v>
      </c>
      <c r="M586" s="9" t="b">
        <f t="shared" si="39"/>
        <v>1</v>
      </c>
      <c r="N586" s="9" t="s">
        <v>2572</v>
      </c>
      <c r="O586" s="9">
        <v>0</v>
      </c>
      <c r="P586" s="9">
        <v>1000</v>
      </c>
      <c r="Q586" s="13"/>
      <c r="R586" s="13"/>
      <c r="S586" s="13"/>
      <c r="T586" s="9" t="s">
        <v>278</v>
      </c>
      <c r="U586" s="13"/>
      <c r="V586" s="9" t="s">
        <v>30</v>
      </c>
      <c r="W586" s="13"/>
      <c r="X586" s="9">
        <v>2</v>
      </c>
    </row>
    <row r="587" spans="1:24">
      <c r="A587" s="13"/>
      <c r="B587" s="9" t="s">
        <v>2573</v>
      </c>
      <c r="C587" s="9" t="str">
        <f>VLOOKUP(B587,[1]RXNS!$B:$C,1,)</f>
        <v>LEUt2</v>
      </c>
      <c r="D587" s="9" t="b">
        <f t="shared" si="36"/>
        <v>1</v>
      </c>
      <c r="E587" s="9" t="s">
        <v>2574</v>
      </c>
      <c r="F587" s="9" t="s">
        <v>2574</v>
      </c>
      <c r="G587" s="9" t="b">
        <f t="shared" si="37"/>
        <v>1</v>
      </c>
      <c r="H587" s="9" t="str">
        <f>VLOOKUP(B587,[1]RXNS!$B:$D,3,FALSE)</f>
        <v>H+[e] + L-Leucine[e] =&gt; H+[c] + L-Leucine[c]</v>
      </c>
      <c r="I587" s="9">
        <f>VLOOKUP(B587,[1]RXNS!$B:$E,4,FALSE)</f>
        <v>0</v>
      </c>
      <c r="J587" s="9" t="s">
        <v>2575</v>
      </c>
      <c r="K587" s="13"/>
      <c r="L587" s="9" t="b">
        <f t="shared" si="38"/>
        <v>1</v>
      </c>
      <c r="M587" s="9" t="b">
        <f t="shared" si="39"/>
        <v>0</v>
      </c>
      <c r="N587" s="9" t="s">
        <v>2530</v>
      </c>
      <c r="O587" s="9">
        <v>0</v>
      </c>
      <c r="P587" s="9">
        <v>1000</v>
      </c>
      <c r="Q587" s="13"/>
      <c r="R587" s="13"/>
      <c r="S587" s="13"/>
      <c r="T587" s="9" t="s">
        <v>146</v>
      </c>
      <c r="U587" s="13"/>
      <c r="V587" s="9" t="s">
        <v>30</v>
      </c>
      <c r="W587" s="13"/>
      <c r="X587" s="9">
        <v>2</v>
      </c>
    </row>
    <row r="588" spans="1:24">
      <c r="A588" s="13"/>
      <c r="B588" s="9" t="s">
        <v>2576</v>
      </c>
      <c r="C588" s="9" t="str">
        <f>VLOOKUP(B588,[1]RXNS!$B:$C,1,)</f>
        <v>LEUt6</v>
      </c>
      <c r="D588" s="9" t="b">
        <f t="shared" si="36"/>
        <v>1</v>
      </c>
      <c r="E588" s="9" t="s">
        <v>2577</v>
      </c>
      <c r="F588" s="9" t="s">
        <v>2577</v>
      </c>
      <c r="G588" s="9" t="b">
        <f t="shared" si="37"/>
        <v>1</v>
      </c>
      <c r="H588" s="9" t="str">
        <f>VLOOKUP(B588,[1]RXNS!$B:$D,3,FALSE)</f>
        <v>H+[e] + L-Leucine[e] &lt;=&gt; H+[c] + L-Leucine[c]</v>
      </c>
      <c r="I588" s="9">
        <f>VLOOKUP(B588,[1]RXNS!$B:$E,4,FALSE)</f>
        <v>0</v>
      </c>
      <c r="J588" s="9" t="s">
        <v>2578</v>
      </c>
      <c r="K588" s="13"/>
      <c r="L588" s="9" t="b">
        <f t="shared" si="38"/>
        <v>1</v>
      </c>
      <c r="M588" s="9" t="b">
        <f t="shared" si="39"/>
        <v>0</v>
      </c>
      <c r="N588" s="9" t="s">
        <v>2534</v>
      </c>
      <c r="O588" s="9">
        <v>-1000</v>
      </c>
      <c r="P588" s="9">
        <v>1000</v>
      </c>
      <c r="Q588" s="13"/>
      <c r="R588" s="13"/>
      <c r="S588" s="13"/>
      <c r="T588" s="9" t="s">
        <v>146</v>
      </c>
      <c r="U588" s="13"/>
      <c r="V588" s="9" t="s">
        <v>30</v>
      </c>
      <c r="W588" s="13"/>
      <c r="X588" s="9">
        <v>2</v>
      </c>
    </row>
    <row r="589" spans="1:24">
      <c r="A589" s="13"/>
      <c r="B589" s="9" t="s">
        <v>2579</v>
      </c>
      <c r="C589" s="9" t="str">
        <f>VLOOKUP(B589,[1]RXNS!$B:$C,1,)</f>
        <v>LIP_LRE</v>
      </c>
      <c r="D589" s="9" t="b">
        <f t="shared" si="36"/>
        <v>1</v>
      </c>
      <c r="E589" s="9" t="s">
        <v>2580</v>
      </c>
      <c r="F589" s="9" t="s">
        <v>2580</v>
      </c>
      <c r="G589" s="9" t="b">
        <f t="shared" si="37"/>
        <v>1</v>
      </c>
      <c r="H589" s="9" t="str">
        <f>VLOOKUP(B589,[1]RXNS!$B:$D,3,FALSE)</f>
        <v>0.02 Cardiolipin (LRE specific)[c] + 0.23 1-lysyl-phosphatidyl glycerol (LRE specific)[c] + 0.75 Phospatidylglycerol (LRE specific)[c] =&gt; Lipids specific for L.reuteri[c]</v>
      </c>
      <c r="I589" s="9">
        <f>VLOOKUP(B589,[1]RXNS!$B:$E,4,FALSE)</f>
        <v>0</v>
      </c>
      <c r="J589" s="9" t="s">
        <v>2581</v>
      </c>
      <c r="K589" s="13"/>
      <c r="L589" s="9" t="b">
        <f t="shared" si="38"/>
        <v>0</v>
      </c>
      <c r="M589" s="9" t="b">
        <f t="shared" si="39"/>
        <v>0</v>
      </c>
      <c r="N589" s="13"/>
      <c r="O589" s="9">
        <v>0</v>
      </c>
      <c r="P589" s="9">
        <v>1000</v>
      </c>
      <c r="Q589" s="13"/>
      <c r="R589" s="13"/>
      <c r="S589" s="13"/>
      <c r="T589" s="9" t="s">
        <v>29</v>
      </c>
      <c r="U589" s="13"/>
      <c r="V589" s="9" t="s">
        <v>35</v>
      </c>
      <c r="W589" s="13"/>
      <c r="X589" s="9">
        <v>2</v>
      </c>
    </row>
    <row r="590" spans="1:24">
      <c r="A590" s="13"/>
      <c r="B590" s="9" t="s">
        <v>2582</v>
      </c>
      <c r="C590" s="9" t="str">
        <f>VLOOKUP(B590,[1]RXNS!$B:$C,1,)</f>
        <v>LPGS_LRE</v>
      </c>
      <c r="D590" s="9" t="b">
        <f t="shared" si="36"/>
        <v>1</v>
      </c>
      <c r="E590" s="9" t="s">
        <v>2583</v>
      </c>
      <c r="F590" s="9" t="s">
        <v>2583</v>
      </c>
      <c r="G590" s="9" t="b">
        <f t="shared" si="37"/>
        <v>1</v>
      </c>
      <c r="H590" s="9" t="str">
        <f>VLOOKUP(B590,[1]RXNS!$B:$D,3,FALSE)</f>
        <v>L-Lysine-tRNA (Lys)[c] + Phospatidylglycerol (LRE specific)[c] =&gt; 1-lysyl-phosphatidyl glycerol (LRE specific)[c] + tRNA(Lys)[c]</v>
      </c>
      <c r="I590" s="9" t="s">
        <v>2584</v>
      </c>
      <c r="J590" s="9" t="s">
        <v>2585</v>
      </c>
      <c r="K590" s="9" t="s">
        <v>2584</v>
      </c>
      <c r="L590" s="9" t="b">
        <f t="shared" si="38"/>
        <v>0</v>
      </c>
      <c r="M590" s="9" t="b">
        <f t="shared" si="39"/>
        <v>1</v>
      </c>
      <c r="N590" s="9" t="s">
        <v>2586</v>
      </c>
      <c r="O590" s="9">
        <v>0</v>
      </c>
      <c r="P590" s="9">
        <v>1000</v>
      </c>
      <c r="Q590" s="13"/>
      <c r="R590" s="13"/>
      <c r="S590" s="13"/>
      <c r="T590" s="9" t="s">
        <v>29</v>
      </c>
      <c r="U590" s="13"/>
      <c r="V590" s="9" t="s">
        <v>30</v>
      </c>
      <c r="W590" s="13"/>
      <c r="X590" s="9">
        <v>2</v>
      </c>
    </row>
    <row r="591" spans="1:24">
      <c r="A591" s="13"/>
      <c r="B591" s="9" t="s">
        <v>2587</v>
      </c>
      <c r="C591" s="9" t="str">
        <f>VLOOKUP(B591,[1]RXNS!$B:$C,1,)</f>
        <v>LTAS_LRE</v>
      </c>
      <c r="D591" s="9" t="b">
        <f t="shared" si="36"/>
        <v>1</v>
      </c>
      <c r="E591" s="9" t="s">
        <v>2588</v>
      </c>
      <c r="F591" s="9" t="s">
        <v>2588</v>
      </c>
      <c r="G591" s="9" t="b">
        <f t="shared" si="37"/>
        <v>1</v>
      </c>
      <c r="H591" s="9" t="str">
        <f>VLOOKUP(B591,[1]RXNS!$B:$D,3,FALSE)</f>
        <v>Diglucosyl-diacylglycerol[c] + 20 Phospatidylglycerol (LRE specific)[c] =&gt; lipoteichoic acid (n=25, LRE specific)[c] + 20 1,2-Diacylglycerol, LRE specific[c]</v>
      </c>
      <c r="I591" s="9">
        <f>VLOOKUP(B591,[1]RXNS!$B:$E,4,FALSE)</f>
        <v>0</v>
      </c>
      <c r="J591" s="9" t="s">
        <v>2589</v>
      </c>
      <c r="K591" s="13"/>
      <c r="L591" s="9" t="b">
        <f t="shared" si="38"/>
        <v>0</v>
      </c>
      <c r="M591" s="9" t="b">
        <f t="shared" si="39"/>
        <v>0</v>
      </c>
      <c r="N591" s="13"/>
      <c r="O591" s="9">
        <v>0</v>
      </c>
      <c r="P591" s="9">
        <v>1000</v>
      </c>
      <c r="Q591" s="13"/>
      <c r="R591" s="13"/>
      <c r="S591" s="13"/>
      <c r="T591" s="9" t="s">
        <v>348</v>
      </c>
      <c r="U591" s="13"/>
      <c r="V591" s="9" t="s">
        <v>35</v>
      </c>
      <c r="W591" s="13"/>
      <c r="X591" s="9">
        <v>2</v>
      </c>
    </row>
    <row r="592" spans="1:24">
      <c r="A592" s="13"/>
      <c r="B592" s="9" t="s">
        <v>2590</v>
      </c>
      <c r="C592" s="9" t="str">
        <f>VLOOKUP(B592,[1]RXNS!$B:$C,1,)</f>
        <v>LYSDC</v>
      </c>
      <c r="D592" s="9" t="b">
        <f t="shared" si="36"/>
        <v>1</v>
      </c>
      <c r="E592" s="9" t="s">
        <v>2591</v>
      </c>
      <c r="F592" s="9" t="s">
        <v>2591</v>
      </c>
      <c r="G592" s="9" t="b">
        <f t="shared" si="37"/>
        <v>1</v>
      </c>
      <c r="H592" s="9" t="str">
        <f>VLOOKUP(B592,[1]RXNS!$B:$D,3,FALSE)</f>
        <v>H+[c] + L-Lysine[c] =&gt; 1,5-Diaminopentane[c] + CO2[c]</v>
      </c>
      <c r="I592" s="9" t="s">
        <v>2592</v>
      </c>
      <c r="J592" s="9" t="s">
        <v>2593</v>
      </c>
      <c r="K592" s="9" t="s">
        <v>2592</v>
      </c>
      <c r="L592" s="9" t="b">
        <f t="shared" si="38"/>
        <v>1</v>
      </c>
      <c r="M592" s="9" t="b">
        <f t="shared" si="39"/>
        <v>1</v>
      </c>
      <c r="N592" s="9" t="s">
        <v>2594</v>
      </c>
      <c r="O592" s="9">
        <v>0</v>
      </c>
      <c r="P592" s="9">
        <v>1000</v>
      </c>
      <c r="Q592" s="13"/>
      <c r="R592" s="13"/>
      <c r="S592" s="9" t="s">
        <v>2595</v>
      </c>
      <c r="T592" s="9" t="s">
        <v>188</v>
      </c>
      <c r="U592" s="13"/>
      <c r="V592" s="9" t="s">
        <v>30</v>
      </c>
      <c r="W592" s="13"/>
      <c r="X592" s="9">
        <v>2</v>
      </c>
    </row>
    <row r="593" spans="1:24">
      <c r="A593" s="13"/>
      <c r="B593" s="9" t="s">
        <v>2596</v>
      </c>
      <c r="C593" s="9" t="str">
        <f>VLOOKUP(B593,[1]RXNS!$B:$C,1,)</f>
        <v>LYSTRS</v>
      </c>
      <c r="D593" s="9" t="b">
        <f t="shared" si="36"/>
        <v>1</v>
      </c>
      <c r="E593" s="9" t="s">
        <v>2597</v>
      </c>
      <c r="F593" s="9" t="s">
        <v>2597</v>
      </c>
      <c r="G593" s="9" t="b">
        <f t="shared" si="37"/>
        <v>1</v>
      </c>
      <c r="H593" s="9" t="str">
        <f>VLOOKUP(B593,[1]RXNS!$B:$D,3,FALSE)</f>
        <v>ATP[c] + L-Lysine[c] + tRNA(Lys)[c] =&gt; AMP[c] + L-Lysine-tRNA (Lys)[c] + Diphosphate[c]</v>
      </c>
      <c r="I593" s="9" t="s">
        <v>2598</v>
      </c>
      <c r="J593" s="9" t="s">
        <v>2599</v>
      </c>
      <c r="K593" s="9" t="s">
        <v>2598</v>
      </c>
      <c r="L593" s="9" t="b">
        <f t="shared" si="38"/>
        <v>1</v>
      </c>
      <c r="M593" s="9" t="b">
        <f t="shared" si="39"/>
        <v>1</v>
      </c>
      <c r="N593" s="9" t="s">
        <v>1882</v>
      </c>
      <c r="O593" s="9">
        <v>0</v>
      </c>
      <c r="P593" s="9">
        <v>1000</v>
      </c>
      <c r="Q593" s="13"/>
      <c r="R593" s="13"/>
      <c r="S593" s="13"/>
      <c r="T593" s="9" t="s">
        <v>278</v>
      </c>
      <c r="U593" s="13"/>
      <c r="V593" s="9" t="s">
        <v>30</v>
      </c>
      <c r="W593" s="13"/>
      <c r="X593" s="9">
        <v>2</v>
      </c>
    </row>
    <row r="594" spans="1:24">
      <c r="A594" s="13"/>
      <c r="B594" s="9" t="s">
        <v>2600</v>
      </c>
      <c r="C594" s="9" t="str">
        <f>VLOOKUP(B594,[1]RXNS!$B:$C,1,)</f>
        <v>LYSt6</v>
      </c>
      <c r="D594" s="9" t="b">
        <f t="shared" si="36"/>
        <v>1</v>
      </c>
      <c r="E594" s="9" t="s">
        <v>2601</v>
      </c>
      <c r="F594" s="9" t="s">
        <v>2601</v>
      </c>
      <c r="G594" s="9" t="b">
        <f t="shared" si="37"/>
        <v>1</v>
      </c>
      <c r="H594" s="9" t="str">
        <f>VLOOKUP(B594,[1]RXNS!$B:$D,3,FALSE)</f>
        <v>H+[e] + L-Lysine[e] &lt;=&gt; H+[c] + L-Lysine[c]</v>
      </c>
      <c r="I594" s="9">
        <f>VLOOKUP(B594,[1]RXNS!$B:$E,4,FALSE)</f>
        <v>0</v>
      </c>
      <c r="J594" s="9" t="s">
        <v>2602</v>
      </c>
      <c r="K594" s="13"/>
      <c r="L594" s="9" t="b">
        <f t="shared" si="38"/>
        <v>1</v>
      </c>
      <c r="M594" s="9" t="b">
        <f t="shared" si="39"/>
        <v>0</v>
      </c>
      <c r="N594" s="9" t="s">
        <v>2603</v>
      </c>
      <c r="O594" s="9">
        <v>-1000</v>
      </c>
      <c r="P594" s="9">
        <v>1000</v>
      </c>
      <c r="Q594" s="13"/>
      <c r="R594" s="13"/>
      <c r="S594" s="13"/>
      <c r="T594" s="9" t="s">
        <v>146</v>
      </c>
      <c r="U594" s="13"/>
      <c r="V594" s="9" t="s">
        <v>30</v>
      </c>
      <c r="W594" s="13"/>
      <c r="X594" s="9">
        <v>2</v>
      </c>
    </row>
    <row r="595" spans="1:24">
      <c r="A595" s="13"/>
      <c r="B595" s="9" t="s">
        <v>2604</v>
      </c>
      <c r="C595" s="9" t="str">
        <f>VLOOKUP(B595,[1]RXNS!$B:$C,1,)</f>
        <v>L_LACt2</v>
      </c>
      <c r="D595" s="9" t="b">
        <f t="shared" si="36"/>
        <v>1</v>
      </c>
      <c r="E595" s="9" t="s">
        <v>2605</v>
      </c>
      <c r="F595" s="9" t="s">
        <v>2605</v>
      </c>
      <c r="G595" s="9" t="b">
        <f t="shared" si="37"/>
        <v>1</v>
      </c>
      <c r="H595" s="9" t="str">
        <f>VLOOKUP(B595,[1]RXNS!$B:$D,3,FALSE)</f>
        <v>2 H+[e] + L-Lactate[e] &lt;=&gt; 2 H+[c] + L-Lactate[c]</v>
      </c>
      <c r="I595" s="9">
        <f>VLOOKUP(B595,[1]RXNS!$B:$E,4,FALSE)</f>
        <v>0</v>
      </c>
      <c r="J595" s="9" t="s">
        <v>2606</v>
      </c>
      <c r="K595" s="13"/>
      <c r="L595" s="9" t="b">
        <f t="shared" si="38"/>
        <v>1</v>
      </c>
      <c r="M595" s="9" t="b">
        <f t="shared" si="39"/>
        <v>0</v>
      </c>
      <c r="N595" s="13"/>
      <c r="O595" s="9">
        <v>-1000</v>
      </c>
      <c r="P595" s="9">
        <v>1000</v>
      </c>
      <c r="Q595" s="13"/>
      <c r="R595" s="13"/>
      <c r="S595" s="13"/>
      <c r="T595" s="9" t="s">
        <v>146</v>
      </c>
      <c r="U595" s="13"/>
      <c r="V595" s="9" t="s">
        <v>35</v>
      </c>
      <c r="W595" s="13"/>
      <c r="X595" s="9">
        <v>2</v>
      </c>
    </row>
    <row r="596" spans="1:24">
      <c r="A596" s="13"/>
      <c r="B596" s="9" t="s">
        <v>2607</v>
      </c>
      <c r="C596" s="9" t="str">
        <f>VLOOKUP(B596,[1]RXNS!$B:$C,1,)</f>
        <v>M1PD</v>
      </c>
      <c r="D596" s="9" t="b">
        <f t="shared" si="36"/>
        <v>1</v>
      </c>
      <c r="E596" s="9" t="s">
        <v>2608</v>
      </c>
      <c r="F596" s="9" t="s">
        <v>2608</v>
      </c>
      <c r="G596" s="9" t="b">
        <f t="shared" si="37"/>
        <v>1</v>
      </c>
      <c r="H596" s="9" t="str">
        <f>VLOOKUP(B596,[1]RXNS!$B:$D,3,FALSE)</f>
        <v>D-Mannitol 1-phosphate[c] + Nicotinamide adenine dinucleotide[c] &lt;=&gt; D-Fructose 6-phosphate[c] + H+[c] + Nicotinamide adenine dinucleotide - reduced[c]</v>
      </c>
      <c r="I596" s="9" t="s">
        <v>2609</v>
      </c>
      <c r="J596" s="9" t="s">
        <v>2610</v>
      </c>
      <c r="K596" s="9" t="s">
        <v>2609</v>
      </c>
      <c r="L596" s="9" t="b">
        <f t="shared" si="38"/>
        <v>1</v>
      </c>
      <c r="M596" s="9" t="b">
        <f t="shared" si="39"/>
        <v>1</v>
      </c>
      <c r="N596" s="9" t="s">
        <v>2611</v>
      </c>
      <c r="O596" s="9">
        <v>-1000</v>
      </c>
      <c r="P596" s="9">
        <v>1000</v>
      </c>
      <c r="Q596" s="13"/>
      <c r="R596" s="13"/>
      <c r="S596" s="9" t="s">
        <v>2612</v>
      </c>
      <c r="T596" s="9" t="s">
        <v>1272</v>
      </c>
      <c r="U596" s="13"/>
      <c r="V596" s="9" t="s">
        <v>30</v>
      </c>
      <c r="W596" s="13"/>
      <c r="X596" s="9">
        <v>2</v>
      </c>
    </row>
    <row r="597" spans="1:24">
      <c r="A597" s="13"/>
      <c r="B597" s="9" t="s">
        <v>2613</v>
      </c>
      <c r="C597" s="9" t="str">
        <f>VLOOKUP(B597,[1]RXNS!$B:$C,1,)</f>
        <v>MALLAC</v>
      </c>
      <c r="D597" s="9" t="b">
        <f t="shared" si="36"/>
        <v>1</v>
      </c>
      <c r="E597" s="9" t="s">
        <v>2614</v>
      </c>
      <c r="F597" s="9" t="s">
        <v>2614</v>
      </c>
      <c r="G597" s="9" t="b">
        <f t="shared" si="37"/>
        <v>1</v>
      </c>
      <c r="H597" s="9" t="str">
        <f>VLOOKUP(B597,[1]RXNS!$B:$D,3,FALSE)</f>
        <v>H+[c] + L-Malate[c] =&gt; CO2[c] + L-Lactate[c]</v>
      </c>
      <c r="I597" s="9" t="s">
        <v>2615</v>
      </c>
      <c r="J597" s="9" t="s">
        <v>2616</v>
      </c>
      <c r="K597" s="9" t="s">
        <v>2615</v>
      </c>
      <c r="L597" s="9" t="b">
        <f t="shared" si="38"/>
        <v>1</v>
      </c>
      <c r="M597" s="9" t="b">
        <f t="shared" si="39"/>
        <v>1</v>
      </c>
      <c r="N597" s="9" t="s">
        <v>2617</v>
      </c>
      <c r="O597" s="9">
        <v>0</v>
      </c>
      <c r="P597" s="9">
        <v>1000</v>
      </c>
      <c r="Q597" s="13"/>
      <c r="R597" s="13"/>
      <c r="S597" s="9" t="s">
        <v>2618</v>
      </c>
      <c r="T597" s="9" t="s">
        <v>74</v>
      </c>
      <c r="U597" s="13"/>
      <c r="V597" s="9" t="s">
        <v>30</v>
      </c>
      <c r="W597" s="13"/>
      <c r="X597" s="9">
        <v>2</v>
      </c>
    </row>
    <row r="598" spans="1:24">
      <c r="A598" s="13"/>
      <c r="B598" s="9" t="s">
        <v>2619</v>
      </c>
      <c r="C598" s="9" t="str">
        <f>VLOOKUP(B598,[1]RXNS!$B:$C,1,)</f>
        <v>MALP</v>
      </c>
      <c r="D598" s="9" t="b">
        <f t="shared" si="36"/>
        <v>1</v>
      </c>
      <c r="E598" s="9" t="s">
        <v>2620</v>
      </c>
      <c r="F598" s="9" t="s">
        <v>2620</v>
      </c>
      <c r="G598" s="9" t="b">
        <f t="shared" si="37"/>
        <v>1</v>
      </c>
      <c r="H598" s="9" t="str">
        <f>VLOOKUP(B598,[1]RXNS!$B:$D,3,FALSE)</f>
        <v>Maltose[c] + Phosphate[c] &lt;=&gt; beta-D-Glucose 1-phosphate[c] + D-Glucose[c]</v>
      </c>
      <c r="I598" s="9" t="s">
        <v>2621</v>
      </c>
      <c r="J598" s="9" t="s">
        <v>2622</v>
      </c>
      <c r="K598" s="9" t="s">
        <v>2621</v>
      </c>
      <c r="L598" s="9" t="b">
        <f t="shared" si="38"/>
        <v>1</v>
      </c>
      <c r="M598" s="9" t="b">
        <f t="shared" si="39"/>
        <v>1</v>
      </c>
      <c r="N598" s="9" t="s">
        <v>2623</v>
      </c>
      <c r="O598" s="9">
        <v>-1000</v>
      </c>
      <c r="P598" s="9">
        <v>1000</v>
      </c>
      <c r="Q598" s="13"/>
      <c r="R598" s="13"/>
      <c r="S598" s="13"/>
      <c r="T598" s="9" t="s">
        <v>1310</v>
      </c>
      <c r="U598" s="13"/>
      <c r="V598" s="9" t="s">
        <v>30</v>
      </c>
      <c r="W598" s="13"/>
      <c r="X598" s="9">
        <v>2</v>
      </c>
    </row>
    <row r="599" spans="1:24">
      <c r="A599" s="13"/>
      <c r="B599" s="9" t="s">
        <v>2624</v>
      </c>
      <c r="C599" s="9" t="str">
        <f>VLOOKUP(B599,[1]RXNS!$B:$C,1,)</f>
        <v>MALT</v>
      </c>
      <c r="D599" s="9" t="b">
        <f t="shared" si="36"/>
        <v>1</v>
      </c>
      <c r="E599" s="9" t="s">
        <v>2625</v>
      </c>
      <c r="F599" s="9" t="s">
        <v>2625</v>
      </c>
      <c r="G599" s="9" t="b">
        <f t="shared" si="37"/>
        <v>1</v>
      </c>
      <c r="H599" s="9" t="str">
        <f>VLOOKUP(B599,[1]RXNS!$B:$D,3,FALSE)</f>
        <v>H2O[c] + Maltose[c] =&gt; 2 D-Glucose[c]</v>
      </c>
      <c r="I599" s="9" t="s">
        <v>2194</v>
      </c>
      <c r="J599" s="9" t="s">
        <v>2626</v>
      </c>
      <c r="K599" s="9" t="s">
        <v>2194</v>
      </c>
      <c r="L599" s="9" t="b">
        <f t="shared" si="38"/>
        <v>1</v>
      </c>
      <c r="M599" s="9" t="b">
        <f t="shared" si="39"/>
        <v>1</v>
      </c>
      <c r="N599" s="13"/>
      <c r="O599" s="9">
        <v>0</v>
      </c>
      <c r="P599" s="9">
        <v>1000</v>
      </c>
      <c r="Q599" s="13"/>
      <c r="R599" s="13"/>
      <c r="S599" s="13"/>
      <c r="T599" s="9" t="s">
        <v>1310</v>
      </c>
      <c r="U599" s="13"/>
      <c r="V599" s="9" t="s">
        <v>35</v>
      </c>
      <c r="W599" s="13"/>
      <c r="X599" s="9">
        <v>2</v>
      </c>
    </row>
    <row r="600" spans="1:24">
      <c r="A600" s="13"/>
      <c r="B600" s="9" t="s">
        <v>2627</v>
      </c>
      <c r="C600" s="9" t="str">
        <f>VLOOKUP(B600,[1]RXNS!$B:$C,1,)</f>
        <v>MALTt</v>
      </c>
      <c r="D600" s="9" t="b">
        <f t="shared" si="36"/>
        <v>1</v>
      </c>
      <c r="E600" s="9" t="s">
        <v>2628</v>
      </c>
      <c r="F600" s="9" t="s">
        <v>2628</v>
      </c>
      <c r="G600" s="9" t="b">
        <f t="shared" si="37"/>
        <v>1</v>
      </c>
      <c r="H600" s="9" t="str">
        <f>VLOOKUP(B600,[1]RXNS!$B:$D,3,FALSE)</f>
        <v>H+[e] + Maltose C12H22O11[e] &lt;=&gt; H+[c] + Maltose[c]</v>
      </c>
      <c r="I600" s="9">
        <f>VLOOKUP(B600,[1]RXNS!$B:$E,4,FALSE)</f>
        <v>0</v>
      </c>
      <c r="J600" s="9" t="s">
        <v>2629</v>
      </c>
      <c r="K600" s="13"/>
      <c r="L600" s="9" t="b">
        <f t="shared" si="38"/>
        <v>0</v>
      </c>
      <c r="M600" s="9" t="b">
        <f t="shared" si="39"/>
        <v>0</v>
      </c>
      <c r="N600" s="9" t="s">
        <v>2630</v>
      </c>
      <c r="O600" s="9">
        <v>-1000</v>
      </c>
      <c r="P600" s="9">
        <v>1000</v>
      </c>
      <c r="Q600" s="13"/>
      <c r="R600" s="13"/>
      <c r="S600" s="13"/>
      <c r="T600" s="9" t="s">
        <v>146</v>
      </c>
      <c r="U600" s="13"/>
      <c r="V600" s="9" t="s">
        <v>30</v>
      </c>
      <c r="W600" s="13"/>
      <c r="X600" s="9">
        <v>2</v>
      </c>
    </row>
    <row r="601" spans="1:24">
      <c r="A601" s="13"/>
      <c r="B601" s="9" t="s">
        <v>2631</v>
      </c>
      <c r="C601" s="9" t="str">
        <f>VLOOKUP(B601,[1]RXNS!$B:$C,1,)</f>
        <v>MALt6</v>
      </c>
      <c r="D601" s="9" t="b">
        <f t="shared" si="36"/>
        <v>1</v>
      </c>
      <c r="E601" s="9" t="s">
        <v>2632</v>
      </c>
      <c r="F601" s="9" t="s">
        <v>2632</v>
      </c>
      <c r="G601" s="9" t="b">
        <f t="shared" si="37"/>
        <v>1</v>
      </c>
      <c r="H601" s="9" t="str">
        <f>VLOOKUP(B601,[1]RXNS!$B:$D,3,FALSE)</f>
        <v>H+[e] + L-Malate[e] &lt;=&gt; H+[c] + L-Malate[c]</v>
      </c>
      <c r="I601" s="9">
        <f>VLOOKUP(B601,[1]RXNS!$B:$E,4,FALSE)</f>
        <v>0</v>
      </c>
      <c r="J601" s="9" t="s">
        <v>2633</v>
      </c>
      <c r="K601" s="13"/>
      <c r="L601" s="9" t="b">
        <f t="shared" si="38"/>
        <v>1</v>
      </c>
      <c r="M601" s="9" t="b">
        <f t="shared" si="39"/>
        <v>0</v>
      </c>
      <c r="N601" s="13"/>
      <c r="O601" s="9">
        <v>-1000</v>
      </c>
      <c r="P601" s="9">
        <v>1000</v>
      </c>
      <c r="Q601" s="13"/>
      <c r="R601" s="13"/>
      <c r="S601" s="13"/>
      <c r="T601" s="9" t="s">
        <v>146</v>
      </c>
      <c r="U601" s="13"/>
      <c r="V601" s="9" t="s">
        <v>35</v>
      </c>
      <c r="W601" s="13"/>
      <c r="X601" s="9">
        <v>2</v>
      </c>
    </row>
    <row r="602" spans="1:24">
      <c r="A602" s="13"/>
      <c r="B602" s="9" t="s">
        <v>2634</v>
      </c>
      <c r="C602" s="9" t="str">
        <f>VLOOKUP(B602,[1]RXNS!$B:$C,1,)</f>
        <v>MAN6PI</v>
      </c>
      <c r="D602" s="9" t="b">
        <f t="shared" si="36"/>
        <v>1</v>
      </c>
      <c r="E602" s="9" t="s">
        <v>2635</v>
      </c>
      <c r="F602" s="9" t="s">
        <v>2635</v>
      </c>
      <c r="G602" s="9" t="b">
        <f t="shared" si="37"/>
        <v>1</v>
      </c>
      <c r="H602" s="9" t="str">
        <f>VLOOKUP(B602,[1]RXNS!$B:$D,3,FALSE)</f>
        <v>D-Mannose 6-phosphate[c] &lt;=&gt; D-Fructose 6-phosphate[c]</v>
      </c>
      <c r="I602" s="9" t="s">
        <v>2636</v>
      </c>
      <c r="J602" s="9" t="s">
        <v>2637</v>
      </c>
      <c r="K602" s="9" t="s">
        <v>2636</v>
      </c>
      <c r="L602" s="9" t="b">
        <f t="shared" si="38"/>
        <v>1</v>
      </c>
      <c r="M602" s="9" t="b">
        <f t="shared" si="39"/>
        <v>1</v>
      </c>
      <c r="N602" s="13"/>
      <c r="O602" s="9">
        <v>-1000</v>
      </c>
      <c r="P602" s="9">
        <v>1000</v>
      </c>
      <c r="Q602" s="13"/>
      <c r="R602" s="13"/>
      <c r="S602" s="13"/>
      <c r="T602" s="9" t="s">
        <v>1272</v>
      </c>
      <c r="U602" s="13"/>
      <c r="V602" s="9" t="s">
        <v>35</v>
      </c>
      <c r="W602" s="13"/>
      <c r="X602" s="9">
        <v>2</v>
      </c>
    </row>
    <row r="603" spans="1:24">
      <c r="A603" s="13"/>
      <c r="B603" s="9" t="s">
        <v>2638</v>
      </c>
      <c r="C603" s="9" t="str">
        <f>VLOOKUP(B603,[1]RXNS!$B:$C,1,)</f>
        <v>MCMAT2</v>
      </c>
      <c r="D603" s="9" t="b">
        <f t="shared" si="36"/>
        <v>1</v>
      </c>
      <c r="E603" s="9" t="s">
        <v>2639</v>
      </c>
      <c r="F603" s="9" t="s">
        <v>2639</v>
      </c>
      <c r="G603" s="9" t="b">
        <f t="shared" si="37"/>
        <v>1</v>
      </c>
      <c r="H603" s="9" t="str">
        <f>VLOOKUP(B603,[1]RXNS!$B:$D,3,FALSE)</f>
        <v>Butyryl-[acyl-carrier protein][c] + H+[c] + Malonyl-[acyl-carrier protein][c] =&gt; 3-Oxohexanoyl-[acyl-carrier protein][c] + acyl carrier protein[c] + CO2[c]</v>
      </c>
      <c r="I603" s="9" t="s">
        <v>2640</v>
      </c>
      <c r="J603" s="9" t="s">
        <v>2641</v>
      </c>
      <c r="K603" s="9" t="s">
        <v>2640</v>
      </c>
      <c r="L603" s="9" t="b">
        <f t="shared" si="38"/>
        <v>1</v>
      </c>
      <c r="M603" s="9" t="b">
        <f t="shared" si="39"/>
        <v>1</v>
      </c>
      <c r="N603" s="9" t="s">
        <v>1817</v>
      </c>
      <c r="O603" s="9">
        <v>0</v>
      </c>
      <c r="P603" s="9">
        <v>1000</v>
      </c>
      <c r="Q603" s="13"/>
      <c r="R603" s="13"/>
      <c r="S603" s="9" t="s">
        <v>2642</v>
      </c>
      <c r="T603" s="9" t="s">
        <v>34</v>
      </c>
      <c r="U603" s="13"/>
      <c r="V603" s="9" t="s">
        <v>30</v>
      </c>
      <c r="W603" s="13"/>
      <c r="X603" s="9">
        <v>2</v>
      </c>
    </row>
    <row r="604" spans="1:24">
      <c r="A604" s="13"/>
      <c r="B604" s="9" t="s">
        <v>2643</v>
      </c>
      <c r="C604" s="9" t="str">
        <f>VLOOKUP(B604,[1]RXNS!$B:$C,1,)</f>
        <v>MCMAT3</v>
      </c>
      <c r="D604" s="9" t="b">
        <f t="shared" si="36"/>
        <v>1</v>
      </c>
      <c r="E604" s="9" t="s">
        <v>2644</v>
      </c>
      <c r="F604" s="9" t="s">
        <v>2644</v>
      </c>
      <c r="G604" s="9" t="b">
        <f t="shared" si="37"/>
        <v>1</v>
      </c>
      <c r="H604" s="9" t="str">
        <f>VLOOKUP(B604,[1]RXNS!$B:$D,3,FALSE)</f>
        <v>H+[c] + Hexanoyl-[acyl-carrier protein][c] + Malonyl-[acyl-carrier protein][c] =&gt; 3-Oxooctanoyl-[acyl-carrier protein][c] + acyl carrier protein[c] + CO2[c]</v>
      </c>
      <c r="I604" s="9" t="s">
        <v>2640</v>
      </c>
      <c r="J604" s="9" t="s">
        <v>2645</v>
      </c>
      <c r="K604" s="9" t="s">
        <v>2640</v>
      </c>
      <c r="L604" s="9" t="b">
        <f t="shared" si="38"/>
        <v>1</v>
      </c>
      <c r="M604" s="9" t="b">
        <f t="shared" si="39"/>
        <v>1</v>
      </c>
      <c r="N604" s="9" t="s">
        <v>1817</v>
      </c>
      <c r="O604" s="9">
        <v>0</v>
      </c>
      <c r="P604" s="9">
        <v>1000</v>
      </c>
      <c r="Q604" s="13"/>
      <c r="R604" s="13"/>
      <c r="S604" s="9" t="s">
        <v>2646</v>
      </c>
      <c r="T604" s="9" t="s">
        <v>34</v>
      </c>
      <c r="U604" s="13"/>
      <c r="V604" s="9" t="s">
        <v>30</v>
      </c>
      <c r="W604" s="13"/>
      <c r="X604" s="9">
        <v>2</v>
      </c>
    </row>
    <row r="605" spans="1:24">
      <c r="A605" s="13"/>
      <c r="B605" s="9" t="s">
        <v>2647</v>
      </c>
      <c r="C605" s="9" t="str">
        <f>VLOOKUP(B605,[1]RXNS!$B:$C,1,)</f>
        <v>MCMAT4</v>
      </c>
      <c r="D605" s="9" t="b">
        <f t="shared" si="36"/>
        <v>1</v>
      </c>
      <c r="E605" s="9" t="s">
        <v>2648</v>
      </c>
      <c r="F605" s="9" t="s">
        <v>2648</v>
      </c>
      <c r="G605" s="9" t="b">
        <f t="shared" si="37"/>
        <v>1</v>
      </c>
      <c r="H605" s="9" t="str">
        <f>VLOOKUP(B605,[1]RXNS!$B:$D,3,FALSE)</f>
        <v>H+[c] + Malonyl-[acyl-carrier protein][c] + Octanoyl-[acyl-carrier protein][c] =&gt; 3-Oxodecanoyl-[acyl-carrier protein][c] + acyl carrier protein[c] + CO2[c]</v>
      </c>
      <c r="I605" s="9" t="s">
        <v>2640</v>
      </c>
      <c r="J605" s="9" t="s">
        <v>2649</v>
      </c>
      <c r="K605" s="9" t="s">
        <v>2640</v>
      </c>
      <c r="L605" s="9" t="b">
        <f t="shared" si="38"/>
        <v>1</v>
      </c>
      <c r="M605" s="9" t="b">
        <f t="shared" si="39"/>
        <v>1</v>
      </c>
      <c r="N605" s="9" t="s">
        <v>1817</v>
      </c>
      <c r="O605" s="9">
        <v>0</v>
      </c>
      <c r="P605" s="9">
        <v>1000</v>
      </c>
      <c r="Q605" s="13"/>
      <c r="R605" s="13"/>
      <c r="S605" s="9" t="s">
        <v>2650</v>
      </c>
      <c r="T605" s="9" t="s">
        <v>34</v>
      </c>
      <c r="U605" s="13"/>
      <c r="V605" s="9" t="s">
        <v>30</v>
      </c>
      <c r="W605" s="13"/>
      <c r="X605" s="9">
        <v>2</v>
      </c>
    </row>
    <row r="606" spans="1:24">
      <c r="A606" s="13"/>
      <c r="B606" s="9" t="s">
        <v>2651</v>
      </c>
      <c r="C606" s="9" t="str">
        <f>VLOOKUP(B606,[1]RXNS!$B:$C,1,)</f>
        <v>MCMAT5</v>
      </c>
      <c r="D606" s="9" t="b">
        <f t="shared" si="36"/>
        <v>1</v>
      </c>
      <c r="E606" s="9" t="s">
        <v>2652</v>
      </c>
      <c r="F606" s="9" t="s">
        <v>2652</v>
      </c>
      <c r="G606" s="9" t="b">
        <f t="shared" si="37"/>
        <v>1</v>
      </c>
      <c r="H606" s="9" t="str">
        <f>VLOOKUP(B606,[1]RXNS!$B:$D,3,FALSE)</f>
        <v>Decanoyl-[acyl-carrier protein][c] + H+[c] + Malonyl-[acyl-carrier protein][c] =&gt; 3-Oxododecanoyl-[acyl-carrier protein][c] + acyl carrier protein[c] + CO2[c]</v>
      </c>
      <c r="I606" s="9" t="s">
        <v>2653</v>
      </c>
      <c r="J606" s="9" t="s">
        <v>2654</v>
      </c>
      <c r="K606" s="9" t="s">
        <v>2653</v>
      </c>
      <c r="L606" s="9" t="b">
        <f t="shared" si="38"/>
        <v>1</v>
      </c>
      <c r="M606" s="9" t="b">
        <f t="shared" si="39"/>
        <v>1</v>
      </c>
      <c r="N606" s="9" t="s">
        <v>1817</v>
      </c>
      <c r="O606" s="9">
        <v>0</v>
      </c>
      <c r="P606" s="9">
        <v>1000</v>
      </c>
      <c r="Q606" s="13"/>
      <c r="R606" s="13"/>
      <c r="S606" s="9" t="s">
        <v>2655</v>
      </c>
      <c r="T606" s="9" t="s">
        <v>34</v>
      </c>
      <c r="U606" s="13"/>
      <c r="V606" s="9" t="s">
        <v>30</v>
      </c>
      <c r="W606" s="13"/>
      <c r="X606" s="9">
        <v>2</v>
      </c>
    </row>
    <row r="607" spans="1:24">
      <c r="A607" s="13"/>
      <c r="B607" s="9" t="s">
        <v>2656</v>
      </c>
      <c r="C607" s="9" t="str">
        <f>VLOOKUP(B607,[1]RXNS!$B:$C,1,)</f>
        <v>MCMAT6</v>
      </c>
      <c r="D607" s="9" t="b">
        <f t="shared" si="36"/>
        <v>1</v>
      </c>
      <c r="E607" s="9" t="s">
        <v>2657</v>
      </c>
      <c r="F607" s="9" t="s">
        <v>2657</v>
      </c>
      <c r="G607" s="9" t="b">
        <f t="shared" si="37"/>
        <v>1</v>
      </c>
      <c r="H607" s="9" t="str">
        <f>VLOOKUP(B607,[1]RXNS!$B:$D,3,FALSE)</f>
        <v>Dodecanoyl-[acyl-carrier protein][c] + H+[c] + Malonyl-[acyl-carrier protein][c] =&gt; 3-Oxotetradecanoyl-[acyl-carrier protein][c] + acyl carrier protein[c] + CO2[c]</v>
      </c>
      <c r="I607" s="9" t="s">
        <v>2653</v>
      </c>
      <c r="J607" s="9" t="s">
        <v>2658</v>
      </c>
      <c r="K607" s="9" t="s">
        <v>2653</v>
      </c>
      <c r="L607" s="9" t="b">
        <f t="shared" si="38"/>
        <v>1</v>
      </c>
      <c r="M607" s="9" t="b">
        <f t="shared" si="39"/>
        <v>1</v>
      </c>
      <c r="N607" s="9" t="s">
        <v>1817</v>
      </c>
      <c r="O607" s="9">
        <v>0</v>
      </c>
      <c r="P607" s="9">
        <v>1000</v>
      </c>
      <c r="Q607" s="13"/>
      <c r="R607" s="13"/>
      <c r="S607" s="9" t="s">
        <v>2659</v>
      </c>
      <c r="T607" s="9" t="s">
        <v>34</v>
      </c>
      <c r="U607" s="13"/>
      <c r="V607" s="9" t="s">
        <v>30</v>
      </c>
      <c r="W607" s="13"/>
      <c r="X607" s="9">
        <v>2</v>
      </c>
    </row>
    <row r="608" spans="1:24">
      <c r="A608" s="13"/>
      <c r="B608" s="9" t="s">
        <v>2660</v>
      </c>
      <c r="C608" s="9" t="str">
        <f>VLOOKUP(B608,[1]RXNS!$B:$C,1,)</f>
        <v>MCMAT7</v>
      </c>
      <c r="D608" s="9" t="b">
        <f t="shared" si="36"/>
        <v>1</v>
      </c>
      <c r="E608" s="9" t="s">
        <v>2661</v>
      </c>
      <c r="F608" s="9" t="s">
        <v>2661</v>
      </c>
      <c r="G608" s="9" t="b">
        <f t="shared" si="37"/>
        <v>1</v>
      </c>
      <c r="H608" s="9" t="str">
        <f>VLOOKUP(B608,[1]RXNS!$B:$D,3,FALSE)</f>
        <v>H+[c] + Malonyl-[acyl-carrier protein][c] + Tetradecanoyl-[acyl-carrier protein][c] =&gt; 3-Oxohexadecanoyl-[acp][c] + acyl carrier protein[c] + CO2[c]</v>
      </c>
      <c r="I608" s="9" t="s">
        <v>2653</v>
      </c>
      <c r="J608" s="9" t="s">
        <v>2662</v>
      </c>
      <c r="K608" s="9" t="s">
        <v>2653</v>
      </c>
      <c r="L608" s="9" t="b">
        <f t="shared" si="38"/>
        <v>1</v>
      </c>
      <c r="M608" s="9" t="b">
        <f t="shared" si="39"/>
        <v>1</v>
      </c>
      <c r="N608" s="9" t="s">
        <v>1817</v>
      </c>
      <c r="O608" s="9">
        <v>0</v>
      </c>
      <c r="P608" s="9">
        <v>1000</v>
      </c>
      <c r="Q608" s="13"/>
      <c r="R608" s="13"/>
      <c r="S608" s="9" t="s">
        <v>2663</v>
      </c>
      <c r="T608" s="9" t="s">
        <v>34</v>
      </c>
      <c r="U608" s="13"/>
      <c r="V608" s="9" t="s">
        <v>30</v>
      </c>
      <c r="W608" s="13"/>
      <c r="X608" s="9">
        <v>2</v>
      </c>
    </row>
    <row r="609" spans="1:24">
      <c r="A609" s="13"/>
      <c r="B609" s="9" t="s">
        <v>2664</v>
      </c>
      <c r="C609" s="9" t="str">
        <f>VLOOKUP(B609,[1]RXNS!$B:$C,1,)</f>
        <v>MCMAT8</v>
      </c>
      <c r="D609" s="9" t="b">
        <f t="shared" si="36"/>
        <v>1</v>
      </c>
      <c r="E609" s="9" t="s">
        <v>2665</v>
      </c>
      <c r="F609" s="9" t="s">
        <v>2665</v>
      </c>
      <c r="G609" s="9" t="b">
        <f t="shared" si="37"/>
        <v>1</v>
      </c>
      <c r="H609" s="9" t="str">
        <f>VLOOKUP(B609,[1]RXNS!$B:$D,3,FALSE)</f>
        <v>H+[c] + Malonyl-[acyl-carrier protein][c] + Palmitoyl-ACP (n-C16:0ACP)[c] =&gt; 3-Oxooctadecanoyl-[acp][c] + acyl carrier protein[c] + CO2[c]</v>
      </c>
      <c r="I609" s="9" t="s">
        <v>2653</v>
      </c>
      <c r="J609" s="9" t="s">
        <v>2666</v>
      </c>
      <c r="K609" s="9" t="s">
        <v>2653</v>
      </c>
      <c r="L609" s="9" t="b">
        <f t="shared" si="38"/>
        <v>1</v>
      </c>
      <c r="M609" s="9" t="b">
        <f t="shared" si="39"/>
        <v>1</v>
      </c>
      <c r="N609" s="9" t="s">
        <v>1817</v>
      </c>
      <c r="O609" s="9">
        <v>0</v>
      </c>
      <c r="P609" s="9">
        <v>1000</v>
      </c>
      <c r="Q609" s="13"/>
      <c r="R609" s="13"/>
      <c r="S609" s="9" t="s">
        <v>2667</v>
      </c>
      <c r="T609" s="9" t="s">
        <v>34</v>
      </c>
      <c r="U609" s="13"/>
      <c r="V609" s="9" t="s">
        <v>30</v>
      </c>
      <c r="W609" s="13"/>
      <c r="X609" s="9">
        <v>2</v>
      </c>
    </row>
    <row r="610" spans="1:24">
      <c r="A610" s="13"/>
      <c r="B610" s="9" t="s">
        <v>2668</v>
      </c>
      <c r="C610" s="9" t="str">
        <f>VLOOKUP(B610,[1]RXNS!$B:$C,1,)</f>
        <v>MCOATA</v>
      </c>
      <c r="D610" s="9" t="b">
        <f t="shared" si="36"/>
        <v>1</v>
      </c>
      <c r="E610" s="9" t="s">
        <v>2669</v>
      </c>
      <c r="F610" s="9" t="s">
        <v>2669</v>
      </c>
      <c r="G610" s="9" t="b">
        <f t="shared" si="37"/>
        <v>1</v>
      </c>
      <c r="H610" s="9" t="str">
        <f>VLOOKUP(B610,[1]RXNS!$B:$D,3,FALSE)</f>
        <v>acyl carrier protein[c] + Malonyl-CoA[c] &lt;=&gt; Coenzyme A[c] + Malonyl-[acyl-carrier protein][c]</v>
      </c>
      <c r="I610" s="9" t="s">
        <v>2670</v>
      </c>
      <c r="J610" s="9" t="s">
        <v>2671</v>
      </c>
      <c r="K610" s="9" t="s">
        <v>2670</v>
      </c>
      <c r="L610" s="9" t="b">
        <f t="shared" si="38"/>
        <v>1</v>
      </c>
      <c r="M610" s="9" t="b">
        <f t="shared" si="39"/>
        <v>1</v>
      </c>
      <c r="N610" s="9" t="s">
        <v>2672</v>
      </c>
      <c r="O610" s="9">
        <v>-1000</v>
      </c>
      <c r="P610" s="9">
        <v>1000</v>
      </c>
      <c r="Q610" s="13"/>
      <c r="R610" s="13"/>
      <c r="S610" s="9" t="s">
        <v>2673</v>
      </c>
      <c r="T610" s="9" t="s">
        <v>34</v>
      </c>
      <c r="U610" s="13"/>
      <c r="V610" s="9" t="s">
        <v>30</v>
      </c>
      <c r="W610" s="13"/>
      <c r="X610" s="9">
        <v>2</v>
      </c>
    </row>
    <row r="611" spans="1:24">
      <c r="A611" s="13"/>
      <c r="B611" s="9" t="s">
        <v>2674</v>
      </c>
      <c r="C611" s="9" t="str">
        <f>VLOOKUP(B611,[1]RXNS!$B:$C,1,)</f>
        <v>MDH</v>
      </c>
      <c r="D611" s="9" t="b">
        <f t="shared" si="36"/>
        <v>1</v>
      </c>
      <c r="E611" s="9" t="s">
        <v>2675</v>
      </c>
      <c r="F611" s="9" t="s">
        <v>2675</v>
      </c>
      <c r="G611" s="9" t="b">
        <f t="shared" si="37"/>
        <v>1</v>
      </c>
      <c r="H611" s="9" t="str">
        <f>VLOOKUP(B611,[1]RXNS!$B:$D,3,FALSE)</f>
        <v>L-Malate[c] + Nicotinamide adenine dinucleotide[c] &lt;=&gt; H+[c] + Nicotinamide adenine dinucleotide - reduced[c] + Oxaloacetate[c]</v>
      </c>
      <c r="I611" s="9" t="s">
        <v>2676</v>
      </c>
      <c r="J611" s="9" t="s">
        <v>2677</v>
      </c>
      <c r="K611" s="9" t="s">
        <v>2676</v>
      </c>
      <c r="L611" s="9" t="b">
        <f t="shared" si="38"/>
        <v>1</v>
      </c>
      <c r="M611" s="9" t="b">
        <f t="shared" si="39"/>
        <v>1</v>
      </c>
      <c r="N611" s="9" t="s">
        <v>2678</v>
      </c>
      <c r="O611" s="9">
        <v>-1000</v>
      </c>
      <c r="P611" s="9">
        <v>1000</v>
      </c>
      <c r="Q611" s="13"/>
      <c r="R611" s="13"/>
      <c r="S611" s="9" t="s">
        <v>2679</v>
      </c>
      <c r="T611" s="9" t="s">
        <v>1296</v>
      </c>
      <c r="U611" s="13"/>
      <c r="V611" s="9" t="s">
        <v>30</v>
      </c>
      <c r="W611" s="13"/>
      <c r="X611" s="9">
        <v>2</v>
      </c>
    </row>
    <row r="612" spans="1:24">
      <c r="A612" s="13"/>
      <c r="B612" s="9" t="s">
        <v>2680</v>
      </c>
      <c r="C612" s="9" t="str">
        <f>VLOOKUP(B612,[1]RXNS!$B:$C,1,)</f>
        <v>MELIBt</v>
      </c>
      <c r="D612" s="9" t="b">
        <f t="shared" si="36"/>
        <v>1</v>
      </c>
      <c r="E612" s="9" t="s">
        <v>2681</v>
      </c>
      <c r="F612" s="9" t="s">
        <v>2681</v>
      </c>
      <c r="G612" s="9" t="b">
        <f t="shared" si="37"/>
        <v>1</v>
      </c>
      <c r="H612" s="9" t="str">
        <f>VLOOKUP(B612,[1]RXNS!$B:$D,3,FALSE)</f>
        <v>Melibiose C12H22O11[e] &lt;=&gt; Melibiose[c]</v>
      </c>
      <c r="I612" s="9">
        <f>VLOOKUP(B612,[1]RXNS!$B:$E,4,FALSE)</f>
        <v>0</v>
      </c>
      <c r="J612" s="9" t="s">
        <v>2682</v>
      </c>
      <c r="K612" s="13"/>
      <c r="L612" s="9" t="b">
        <f t="shared" si="38"/>
        <v>0</v>
      </c>
      <c r="M612" s="9" t="b">
        <f t="shared" si="39"/>
        <v>0</v>
      </c>
      <c r="N612" s="13"/>
      <c r="O612" s="9">
        <v>-1000</v>
      </c>
      <c r="P612" s="9">
        <v>1000</v>
      </c>
      <c r="Q612" s="13"/>
      <c r="R612" s="13"/>
      <c r="S612" s="13"/>
      <c r="T612" s="9" t="s">
        <v>146</v>
      </c>
      <c r="U612" s="13"/>
      <c r="V612" s="9" t="s">
        <v>35</v>
      </c>
      <c r="W612" s="13"/>
      <c r="X612" s="9">
        <v>2</v>
      </c>
    </row>
    <row r="613" spans="1:24">
      <c r="A613" s="13"/>
      <c r="B613" s="9" t="s">
        <v>2683</v>
      </c>
      <c r="C613" s="9" t="str">
        <f>VLOOKUP(B613,[1]RXNS!$B:$C,1,)</f>
        <v>METACH</v>
      </c>
      <c r="D613" s="9" t="b">
        <f t="shared" si="36"/>
        <v>1</v>
      </c>
      <c r="E613" s="9" t="s">
        <v>2684</v>
      </c>
      <c r="F613" s="9" t="s">
        <v>2684</v>
      </c>
      <c r="G613" s="9" t="b">
        <f t="shared" si="37"/>
        <v>1</v>
      </c>
      <c r="H613" s="9" t="str">
        <f>VLOOKUP(B613,[1]RXNS!$B:$D,3,FALSE)</f>
        <v>O-Acetyl-L-homoserine[c] + Hydrogen sulfide[c] &lt;=&gt; Acetate[c] + H+[c] + L-Homocysteine[c]</v>
      </c>
      <c r="I613" s="9" t="s">
        <v>2685</v>
      </c>
      <c r="J613" s="9" t="s">
        <v>2686</v>
      </c>
      <c r="K613" s="9" t="s">
        <v>2685</v>
      </c>
      <c r="L613" s="9" t="b">
        <f t="shared" si="38"/>
        <v>1</v>
      </c>
      <c r="M613" s="9" t="b">
        <f t="shared" si="39"/>
        <v>1</v>
      </c>
      <c r="N613" s="13"/>
      <c r="O613" s="9">
        <v>-1000</v>
      </c>
      <c r="P613" s="9">
        <v>1000</v>
      </c>
      <c r="Q613" s="13"/>
      <c r="R613" s="13"/>
      <c r="S613" s="13"/>
      <c r="T613" s="9" t="s">
        <v>239</v>
      </c>
      <c r="U613" s="13"/>
      <c r="V613" s="9" t="s">
        <v>35</v>
      </c>
      <c r="W613" s="13"/>
      <c r="X613" s="9">
        <v>2</v>
      </c>
    </row>
    <row r="614" spans="1:24">
      <c r="A614" s="13"/>
      <c r="B614" s="9" t="s">
        <v>2687</v>
      </c>
      <c r="C614" s="9" t="str">
        <f>VLOOKUP(B614,[1]RXNS!$B:$C,1,)</f>
        <v>METAT</v>
      </c>
      <c r="D614" s="9" t="b">
        <f t="shared" si="36"/>
        <v>1</v>
      </c>
      <c r="E614" s="9" t="s">
        <v>2688</v>
      </c>
      <c r="F614" s="9" t="s">
        <v>2688</v>
      </c>
      <c r="G614" s="9" t="b">
        <f t="shared" si="37"/>
        <v>1</v>
      </c>
      <c r="H614" s="9" t="str">
        <f>VLOOKUP(B614,[1]RXNS!$B:$D,3,FALSE)</f>
        <v>ATP[c] + H2O[c] + L-Methionine[c] =&gt; S-Adenosyl-L-methionine[c] + Phosphate[c] + Diphosphate[c]</v>
      </c>
      <c r="I614" s="9" t="s">
        <v>2689</v>
      </c>
      <c r="J614" s="9" t="s">
        <v>2690</v>
      </c>
      <c r="K614" s="9" t="s">
        <v>2689</v>
      </c>
      <c r="L614" s="9" t="b">
        <f t="shared" si="38"/>
        <v>1</v>
      </c>
      <c r="M614" s="9" t="b">
        <f t="shared" si="39"/>
        <v>1</v>
      </c>
      <c r="N614" s="9" t="s">
        <v>2691</v>
      </c>
      <c r="O614" s="9">
        <v>0</v>
      </c>
      <c r="P614" s="9">
        <v>1000</v>
      </c>
      <c r="Q614" s="13"/>
      <c r="R614" s="13"/>
      <c r="S614" s="9" t="s">
        <v>2692</v>
      </c>
      <c r="T614" s="9" t="s">
        <v>239</v>
      </c>
      <c r="U614" s="13"/>
      <c r="V614" s="9" t="s">
        <v>30</v>
      </c>
      <c r="W614" s="13"/>
      <c r="X614" s="9">
        <v>2</v>
      </c>
    </row>
    <row r="615" spans="1:24">
      <c r="A615" s="13"/>
      <c r="B615" s="9" t="s">
        <v>2693</v>
      </c>
      <c r="C615" s="9" t="str">
        <f>VLOOKUP(B615,[1]RXNS!$B:$C,1,)</f>
        <v>METDabc</v>
      </c>
      <c r="D615" s="9" t="b">
        <f t="shared" si="36"/>
        <v>1</v>
      </c>
      <c r="E615" s="9" t="s">
        <v>2694</v>
      </c>
      <c r="F615" s="9" t="s">
        <v>2694</v>
      </c>
      <c r="G615" s="9" t="b">
        <f t="shared" si="37"/>
        <v>1</v>
      </c>
      <c r="H615" s="9" t="str">
        <f>VLOOKUP(B615,[1]RXNS!$B:$D,3,FALSE)</f>
        <v>ATP[c] + H2O[c] + D-Methionine[e] =&gt; ADP[c] + H+[c] + D-Methionine[c] + Phosphate[c]</v>
      </c>
      <c r="I615" s="9">
        <f>VLOOKUP(B615,[1]RXNS!$B:$E,4,FALSE)</f>
        <v>0</v>
      </c>
      <c r="J615" s="9" t="s">
        <v>2695</v>
      </c>
      <c r="K615" s="13"/>
      <c r="L615" s="9" t="b">
        <f t="shared" si="38"/>
        <v>1</v>
      </c>
      <c r="M615" s="9" t="b">
        <f t="shared" si="39"/>
        <v>0</v>
      </c>
      <c r="N615" s="9" t="s">
        <v>2696</v>
      </c>
      <c r="O615" s="9">
        <v>0</v>
      </c>
      <c r="P615" s="9">
        <v>1000</v>
      </c>
      <c r="Q615" s="13"/>
      <c r="R615" s="13"/>
      <c r="S615" s="9" t="s">
        <v>2697</v>
      </c>
      <c r="T615" s="9" t="s">
        <v>146</v>
      </c>
      <c r="U615" s="13"/>
      <c r="V615" s="9" t="s">
        <v>30</v>
      </c>
      <c r="W615" s="13"/>
      <c r="X615" s="9">
        <v>2</v>
      </c>
    </row>
    <row r="616" spans="1:24">
      <c r="A616" s="13"/>
      <c r="B616" s="9" t="s">
        <v>2698</v>
      </c>
      <c r="C616" s="9" t="str">
        <f>VLOOKUP(B616,[1]RXNS!$B:$C,1,)</f>
        <v>METTRS</v>
      </c>
      <c r="D616" s="9" t="b">
        <f t="shared" si="36"/>
        <v>1</v>
      </c>
      <c r="E616" s="9" t="s">
        <v>2699</v>
      </c>
      <c r="F616" s="9" t="s">
        <v>2699</v>
      </c>
      <c r="G616" s="9" t="b">
        <f t="shared" si="37"/>
        <v>1</v>
      </c>
      <c r="H616" s="9" t="str">
        <f>VLOOKUP(B616,[1]RXNS!$B:$D,3,FALSE)</f>
        <v>ATP[c] + L-Methionine[c] + tRNA(Met)[c] =&gt; AMP[c] + L-Methionyl-tRNA (Met)[c] + Diphosphate[c]</v>
      </c>
      <c r="I616" s="9" t="s">
        <v>2700</v>
      </c>
      <c r="J616" s="9" t="s">
        <v>2701</v>
      </c>
      <c r="K616" s="9" t="s">
        <v>2700</v>
      </c>
      <c r="L616" s="9" t="b">
        <f t="shared" si="38"/>
        <v>1</v>
      </c>
      <c r="M616" s="9" t="b">
        <f t="shared" si="39"/>
        <v>1</v>
      </c>
      <c r="N616" s="9" t="s">
        <v>2702</v>
      </c>
      <c r="O616" s="9">
        <v>0</v>
      </c>
      <c r="P616" s="9">
        <v>1000</v>
      </c>
      <c r="Q616" s="13"/>
      <c r="R616" s="13"/>
      <c r="S616" s="9" t="s">
        <v>2703</v>
      </c>
      <c r="T616" s="9" t="s">
        <v>278</v>
      </c>
      <c r="U616" s="13"/>
      <c r="V616" s="9" t="s">
        <v>30</v>
      </c>
      <c r="W616" s="13"/>
      <c r="X616" s="9">
        <v>2</v>
      </c>
    </row>
    <row r="617" spans="1:24">
      <c r="A617" s="13"/>
      <c r="B617" s="9" t="s">
        <v>2704</v>
      </c>
      <c r="C617" s="9" t="str">
        <f>VLOOKUP(B617,[1]RXNS!$B:$C,1,)</f>
        <v>METabc</v>
      </c>
      <c r="D617" s="9" t="b">
        <f t="shared" si="36"/>
        <v>1</v>
      </c>
      <c r="E617" s="9" t="s">
        <v>2705</v>
      </c>
      <c r="F617" s="9" t="s">
        <v>2705</v>
      </c>
      <c r="G617" s="9" t="b">
        <f t="shared" si="37"/>
        <v>1</v>
      </c>
      <c r="H617" s="9" t="str">
        <f>VLOOKUP(B617,[1]RXNS!$B:$D,3,FALSE)</f>
        <v>ATP[c] + H2O[c] + L-Methionine[e] =&gt; ADP[c] + H+[c] + L-Methionine[c] + Phosphate[c]</v>
      </c>
      <c r="I617" s="9">
        <f>VLOOKUP(B617,[1]RXNS!$B:$E,4,FALSE)</f>
        <v>0</v>
      </c>
      <c r="J617" s="9" t="s">
        <v>2706</v>
      </c>
      <c r="K617" s="13"/>
      <c r="L617" s="9" t="b">
        <f t="shared" si="38"/>
        <v>1</v>
      </c>
      <c r="M617" s="9" t="b">
        <f t="shared" si="39"/>
        <v>0</v>
      </c>
      <c r="N617" s="9" t="s">
        <v>2696</v>
      </c>
      <c r="O617" s="9">
        <v>0</v>
      </c>
      <c r="P617" s="9">
        <v>1000</v>
      </c>
      <c r="Q617" s="13"/>
      <c r="R617" s="13"/>
      <c r="S617" s="9" t="s">
        <v>2707</v>
      </c>
      <c r="T617" s="9" t="s">
        <v>146</v>
      </c>
      <c r="U617" s="13"/>
      <c r="V617" s="9" t="s">
        <v>30</v>
      </c>
      <c r="W617" s="13"/>
      <c r="X617" s="9">
        <v>2</v>
      </c>
    </row>
    <row r="618" spans="1:24">
      <c r="A618" s="13"/>
      <c r="B618" s="9" t="s">
        <v>2708</v>
      </c>
      <c r="C618" s="9" t="str">
        <f>VLOOKUP(B618,[1]RXNS!$B:$C,1,)</f>
        <v>METt6</v>
      </c>
      <c r="D618" s="9" t="b">
        <f t="shared" si="36"/>
        <v>1</v>
      </c>
      <c r="E618" s="9" t="s">
        <v>2709</v>
      </c>
      <c r="F618" s="9" t="s">
        <v>2709</v>
      </c>
      <c r="G618" s="9" t="b">
        <f t="shared" si="37"/>
        <v>1</v>
      </c>
      <c r="H618" s="9" t="str">
        <f>VLOOKUP(B618,[1]RXNS!$B:$D,3,FALSE)</f>
        <v>H+[e] + L-Methionine[e] &lt;=&gt; H+[c] + L-Methionine[c]</v>
      </c>
      <c r="I618" s="9">
        <f>VLOOKUP(B618,[1]RXNS!$B:$E,4,FALSE)</f>
        <v>0</v>
      </c>
      <c r="J618" s="9" t="s">
        <v>2710</v>
      </c>
      <c r="K618" s="13"/>
      <c r="L618" s="9" t="b">
        <f t="shared" si="38"/>
        <v>1</v>
      </c>
      <c r="M618" s="9" t="b">
        <f t="shared" si="39"/>
        <v>0</v>
      </c>
      <c r="N618" s="13"/>
      <c r="O618" s="9">
        <v>-1000</v>
      </c>
      <c r="P618" s="9">
        <v>1000</v>
      </c>
      <c r="Q618" s="13"/>
      <c r="R618" s="13"/>
      <c r="S618" s="13"/>
      <c r="T618" s="9" t="s">
        <v>146</v>
      </c>
      <c r="U618" s="13"/>
      <c r="V618" s="9" t="s">
        <v>35</v>
      </c>
      <c r="W618" s="13"/>
      <c r="X618" s="9">
        <v>2</v>
      </c>
    </row>
    <row r="619" spans="1:24">
      <c r="A619" s="13"/>
      <c r="B619" s="9" t="s">
        <v>2711</v>
      </c>
      <c r="C619" s="9" t="str">
        <f>VLOOKUP(B619,[1]RXNS!$B:$C,1,)</f>
        <v>MEVK</v>
      </c>
      <c r="D619" s="9" t="b">
        <f t="shared" si="36"/>
        <v>1</v>
      </c>
      <c r="E619" s="9" t="s">
        <v>2712</v>
      </c>
      <c r="F619" s="9" t="s">
        <v>2712</v>
      </c>
      <c r="G619" s="9" t="b">
        <f t="shared" si="37"/>
        <v>1</v>
      </c>
      <c r="H619" s="9" t="str">
        <f>VLOOKUP(B619,[1]RXNS!$B:$D,3,FALSE)</f>
        <v>ATP[c] + (R)-Mevalonate[c] =&gt; (R)-5-Phosphomevalonate[c] + ADP[c] + H+[c]</v>
      </c>
      <c r="I619" s="9" t="s">
        <v>2713</v>
      </c>
      <c r="J619" s="9" t="s">
        <v>2714</v>
      </c>
      <c r="K619" s="9" t="s">
        <v>2713</v>
      </c>
      <c r="L619" s="9" t="b">
        <f t="shared" si="38"/>
        <v>1</v>
      </c>
      <c r="M619" s="9" t="b">
        <f t="shared" si="39"/>
        <v>1</v>
      </c>
      <c r="N619" s="9" t="s">
        <v>2715</v>
      </c>
      <c r="O619" s="9">
        <v>0</v>
      </c>
      <c r="P619" s="9">
        <v>1000</v>
      </c>
      <c r="Q619" s="13"/>
      <c r="R619" s="13"/>
      <c r="S619" s="13"/>
      <c r="T619" s="9" t="s">
        <v>573</v>
      </c>
      <c r="U619" s="13"/>
      <c r="V619" s="9" t="s">
        <v>30</v>
      </c>
      <c r="W619" s="13"/>
      <c r="X619" s="9">
        <v>2</v>
      </c>
    </row>
    <row r="620" spans="1:24">
      <c r="A620" s="13"/>
      <c r="B620" s="9" t="s">
        <v>2716</v>
      </c>
      <c r="C620" s="9" t="str">
        <f>VLOOKUP(B620,[1]RXNS!$B:$C,1,)</f>
        <v>MEVK2</v>
      </c>
      <c r="D620" s="9" t="b">
        <f t="shared" si="36"/>
        <v>1</v>
      </c>
      <c r="E620" s="9" t="s">
        <v>2717</v>
      </c>
      <c r="F620" s="9" t="s">
        <v>2717</v>
      </c>
      <c r="G620" s="9" t="b">
        <f t="shared" si="37"/>
        <v>1</v>
      </c>
      <c r="H620" s="9" t="str">
        <f>VLOOKUP(B620,[1]RXNS!$B:$D,3,FALSE)</f>
        <v>CTP[c] + (R)-Mevalonate[c] =&gt; (R)-5-Phosphomevalonate[c] + CDP[c] + H+[c]</v>
      </c>
      <c r="I620" s="9" t="s">
        <v>2713</v>
      </c>
      <c r="J620" s="9" t="s">
        <v>2718</v>
      </c>
      <c r="K620" s="9" t="s">
        <v>2713</v>
      </c>
      <c r="L620" s="9" t="b">
        <f t="shared" si="38"/>
        <v>1</v>
      </c>
      <c r="M620" s="9" t="b">
        <f t="shared" si="39"/>
        <v>1</v>
      </c>
      <c r="N620" s="9" t="s">
        <v>2715</v>
      </c>
      <c r="O620" s="9">
        <v>0</v>
      </c>
      <c r="P620" s="9">
        <v>1000</v>
      </c>
      <c r="Q620" s="13"/>
      <c r="R620" s="13"/>
      <c r="S620" s="13"/>
      <c r="T620" s="9" t="s">
        <v>573</v>
      </c>
      <c r="U620" s="13"/>
      <c r="V620" s="9" t="s">
        <v>30</v>
      </c>
      <c r="W620" s="13"/>
      <c r="X620" s="9">
        <v>2</v>
      </c>
    </row>
    <row r="621" spans="1:24">
      <c r="A621" s="13"/>
      <c r="B621" s="9" t="s">
        <v>2719</v>
      </c>
      <c r="C621" s="9" t="str">
        <f>VLOOKUP(B621,[1]RXNS!$B:$C,1,)</f>
        <v>MEVK3</v>
      </c>
      <c r="D621" s="9" t="b">
        <f t="shared" si="36"/>
        <v>1</v>
      </c>
      <c r="E621" s="9" t="s">
        <v>2720</v>
      </c>
      <c r="F621" s="9" t="s">
        <v>2720</v>
      </c>
      <c r="G621" s="9" t="b">
        <f t="shared" si="37"/>
        <v>1</v>
      </c>
      <c r="H621" s="9" t="str">
        <f>VLOOKUP(B621,[1]RXNS!$B:$D,3,FALSE)</f>
        <v>GTP[c] + (R)-Mevalonate[c] =&gt; (R)-5-Phosphomevalonate[c] + GDP[c] + H+[c]</v>
      </c>
      <c r="I621" s="9" t="s">
        <v>2713</v>
      </c>
      <c r="J621" s="9" t="s">
        <v>2721</v>
      </c>
      <c r="K621" s="9" t="s">
        <v>2713</v>
      </c>
      <c r="L621" s="9" t="b">
        <f t="shared" si="38"/>
        <v>1</v>
      </c>
      <c r="M621" s="9" t="b">
        <f t="shared" si="39"/>
        <v>1</v>
      </c>
      <c r="N621" s="9" t="s">
        <v>2715</v>
      </c>
      <c r="O621" s="9">
        <v>0</v>
      </c>
      <c r="P621" s="9">
        <v>1000</v>
      </c>
      <c r="Q621" s="13"/>
      <c r="R621" s="13"/>
      <c r="S621" s="13"/>
      <c r="T621" s="9" t="s">
        <v>573</v>
      </c>
      <c r="U621" s="13"/>
      <c r="V621" s="9" t="s">
        <v>30</v>
      </c>
      <c r="W621" s="13"/>
      <c r="X621" s="9">
        <v>2</v>
      </c>
    </row>
    <row r="622" spans="1:24">
      <c r="A622" s="13"/>
      <c r="B622" s="9" t="s">
        <v>2722</v>
      </c>
      <c r="C622" s="9" t="str">
        <f>VLOOKUP(B622,[1]RXNS!$B:$C,1,)</f>
        <v>MEVK4</v>
      </c>
      <c r="D622" s="9" t="b">
        <f t="shared" si="36"/>
        <v>1</v>
      </c>
      <c r="E622" s="9" t="s">
        <v>2723</v>
      </c>
      <c r="F622" s="9" t="s">
        <v>2723</v>
      </c>
      <c r="G622" s="9" t="b">
        <f t="shared" si="37"/>
        <v>1</v>
      </c>
      <c r="H622" s="9" t="str">
        <f>VLOOKUP(B622,[1]RXNS!$B:$D,3,FALSE)</f>
        <v>(R)-Mevalonate[c] + UTP[c] =&gt; (R)-5-Phosphomevalonate[c] + H+[c] + UDP[c]</v>
      </c>
      <c r="I622" s="9" t="s">
        <v>2713</v>
      </c>
      <c r="J622" s="9" t="s">
        <v>2724</v>
      </c>
      <c r="K622" s="9" t="s">
        <v>2713</v>
      </c>
      <c r="L622" s="9" t="b">
        <f t="shared" si="38"/>
        <v>1</v>
      </c>
      <c r="M622" s="9" t="b">
        <f t="shared" si="39"/>
        <v>1</v>
      </c>
      <c r="N622" s="9" t="s">
        <v>2715</v>
      </c>
      <c r="O622" s="9">
        <v>0</v>
      </c>
      <c r="P622" s="9">
        <v>1000</v>
      </c>
      <c r="Q622" s="13"/>
      <c r="R622" s="13"/>
      <c r="S622" s="13"/>
      <c r="T622" s="9" t="s">
        <v>573</v>
      </c>
      <c r="U622" s="13"/>
      <c r="V622" s="9" t="s">
        <v>30</v>
      </c>
      <c r="W622" s="13"/>
      <c r="X622" s="9">
        <v>2</v>
      </c>
    </row>
    <row r="623" spans="1:24">
      <c r="A623" s="13"/>
      <c r="B623" s="9" t="s">
        <v>2725</v>
      </c>
      <c r="C623" s="9" t="str">
        <f>VLOOKUP(B623,[1]RXNS!$B:$C,1,)</f>
        <v>MGt5</v>
      </c>
      <c r="D623" s="9" t="b">
        <f t="shared" si="36"/>
        <v>1</v>
      </c>
      <c r="E623" s="9" t="s">
        <v>2726</v>
      </c>
      <c r="F623" s="9" t="s">
        <v>2726</v>
      </c>
      <c r="G623" s="9" t="b">
        <f t="shared" si="37"/>
        <v>1</v>
      </c>
      <c r="H623" s="9" t="str">
        <f>VLOOKUP(B623,[1]RXNS!$B:$D,3,FALSE)</f>
        <v>Mg[c] &lt;=&gt; Mg[e]</v>
      </c>
      <c r="I623" s="9">
        <f>VLOOKUP(B623,[1]RXNS!$B:$E,4,FALSE)</f>
        <v>0</v>
      </c>
      <c r="J623" s="9" t="s">
        <v>2727</v>
      </c>
      <c r="K623" s="13"/>
      <c r="L623" s="9" t="b">
        <f t="shared" si="38"/>
        <v>1</v>
      </c>
      <c r="M623" s="9" t="b">
        <f t="shared" si="39"/>
        <v>0</v>
      </c>
      <c r="N623" s="9" t="s">
        <v>606</v>
      </c>
      <c r="O623" s="9">
        <v>-1000</v>
      </c>
      <c r="P623" s="9">
        <v>1000</v>
      </c>
      <c r="Q623" s="13"/>
      <c r="R623" s="13"/>
      <c r="S623" s="9" t="s">
        <v>2728</v>
      </c>
      <c r="T623" s="9" t="s">
        <v>146</v>
      </c>
      <c r="U623" s="13"/>
      <c r="V623" s="9" t="s">
        <v>30</v>
      </c>
      <c r="W623" s="13"/>
      <c r="X623" s="9">
        <v>2</v>
      </c>
    </row>
    <row r="624" spans="1:24">
      <c r="A624" s="13"/>
      <c r="B624" s="9" t="s">
        <v>2729</v>
      </c>
      <c r="C624" s="9" t="str">
        <f>VLOOKUP(B624,[1]RXNS!$B:$C,1,)</f>
        <v>MI1PP</v>
      </c>
      <c r="D624" s="9" t="b">
        <f t="shared" si="36"/>
        <v>1</v>
      </c>
      <c r="E624" s="9" t="s">
        <v>2730</v>
      </c>
      <c r="F624" s="9" t="s">
        <v>2730</v>
      </c>
      <c r="G624" s="9" t="b">
        <f t="shared" si="37"/>
        <v>1</v>
      </c>
      <c r="H624" s="9" t="str">
        <f>VLOOKUP(B624,[1]RXNS!$B:$D,3,FALSE)</f>
        <v>H2O[c] + 1D-myo-Inositol 1-phosphate[c] =&gt; myo-Inositol[c] + Phosphate[c]</v>
      </c>
      <c r="I624" s="9" t="s">
        <v>2731</v>
      </c>
      <c r="J624" s="9" t="s">
        <v>2732</v>
      </c>
      <c r="K624" s="9" t="s">
        <v>2731</v>
      </c>
      <c r="L624" s="9" t="b">
        <f t="shared" si="38"/>
        <v>1</v>
      </c>
      <c r="M624" s="9" t="b">
        <f t="shared" si="39"/>
        <v>1</v>
      </c>
      <c r="N624" s="9" t="s">
        <v>2733</v>
      </c>
      <c r="O624" s="9">
        <v>0</v>
      </c>
      <c r="P624" s="9">
        <v>1000</v>
      </c>
      <c r="Q624" s="13"/>
      <c r="R624" s="13"/>
      <c r="S624" s="9" t="s">
        <v>2734</v>
      </c>
      <c r="T624" s="9" t="s">
        <v>1600</v>
      </c>
      <c r="U624" s="13"/>
      <c r="V624" s="9" t="s">
        <v>30</v>
      </c>
      <c r="W624" s="13"/>
      <c r="X624" s="9">
        <v>2</v>
      </c>
    </row>
    <row r="625" spans="1:24">
      <c r="A625" s="13"/>
      <c r="B625" s="9" t="s">
        <v>2735</v>
      </c>
      <c r="C625" s="9" t="e">
        <f>VLOOKUP(B625,[1]RXNS!$B:$C,1,)</f>
        <v>#N/A</v>
      </c>
      <c r="D625" s="9" t="e">
        <f t="shared" si="36"/>
        <v>#N/A</v>
      </c>
      <c r="E625" s="9" t="e">
        <v>#N/A</v>
      </c>
      <c r="F625" s="9" t="s">
        <v>2736</v>
      </c>
      <c r="G625" s="9" t="e">
        <f t="shared" si="37"/>
        <v>#N/A</v>
      </c>
      <c r="H625" s="9" t="e">
        <f>VLOOKUP(B625,[1]RXNS!$B:$D,3,FALSE)</f>
        <v>#N/A</v>
      </c>
      <c r="I625" s="9" t="e">
        <f>VLOOKUP(B625,[1]RXNS!$B:$E,4,FALSE)</f>
        <v>#N/A</v>
      </c>
      <c r="J625" s="9" t="s">
        <v>2737</v>
      </c>
      <c r="K625" s="13"/>
      <c r="L625" s="9" t="e">
        <f t="shared" si="38"/>
        <v>#N/A</v>
      </c>
      <c r="M625" s="9" t="e">
        <f t="shared" si="39"/>
        <v>#N/A</v>
      </c>
      <c r="N625" s="9" t="s">
        <v>2738</v>
      </c>
      <c r="O625" s="9">
        <v>0</v>
      </c>
      <c r="P625" s="9">
        <v>1000</v>
      </c>
      <c r="Q625" s="13"/>
      <c r="R625" s="13"/>
      <c r="S625" s="13"/>
      <c r="T625" s="13"/>
      <c r="U625" s="13"/>
      <c r="V625" s="9" t="s">
        <v>30</v>
      </c>
      <c r="W625" s="13"/>
      <c r="X625" s="9">
        <v>2</v>
      </c>
    </row>
    <row r="626" spans="1:24">
      <c r="A626" s="13"/>
      <c r="B626" s="9" t="s">
        <v>2739</v>
      </c>
      <c r="C626" s="9" t="str">
        <f>VLOOKUP(B626,[1]RXNS!$B:$C,1,)</f>
        <v>MNTD</v>
      </c>
      <c r="D626" s="9" t="b">
        <f t="shared" si="36"/>
        <v>1</v>
      </c>
      <c r="E626" s="9" t="s">
        <v>2740</v>
      </c>
      <c r="F626" s="9" t="s">
        <v>2740</v>
      </c>
      <c r="G626" s="9" t="b">
        <f t="shared" si="37"/>
        <v>1</v>
      </c>
      <c r="H626" s="9" t="str">
        <f>VLOOKUP(B626,[1]RXNS!$B:$D,3,FALSE)</f>
        <v>D-Mannitol[c] + Nicotinamide adenine dinucleotide[c] &lt;=&gt; D-Fructose[c] + H+[c] + Nicotinamide adenine dinucleotide - reduced[c]</v>
      </c>
      <c r="I626" s="9" t="s">
        <v>2741</v>
      </c>
      <c r="J626" s="9" t="s">
        <v>2742</v>
      </c>
      <c r="K626" s="9" t="s">
        <v>2741</v>
      </c>
      <c r="L626" s="9" t="b">
        <f t="shared" si="38"/>
        <v>1</v>
      </c>
      <c r="M626" s="9" t="b">
        <f t="shared" si="39"/>
        <v>1</v>
      </c>
      <c r="N626" s="9" t="s">
        <v>2743</v>
      </c>
      <c r="O626" s="9">
        <v>-1000</v>
      </c>
      <c r="P626" s="9">
        <v>1000</v>
      </c>
      <c r="Q626" s="13"/>
      <c r="R626" s="13"/>
      <c r="S626" s="13"/>
      <c r="T626" s="9" t="s">
        <v>1272</v>
      </c>
      <c r="U626" s="13"/>
      <c r="V626" s="9" t="s">
        <v>30</v>
      </c>
      <c r="W626" s="13"/>
      <c r="X626" s="9">
        <v>2</v>
      </c>
    </row>
    <row r="627" spans="1:24">
      <c r="A627" s="13"/>
      <c r="B627" s="9" t="s">
        <v>2744</v>
      </c>
      <c r="C627" s="9" t="str">
        <f>VLOOKUP(B627,[1]RXNS!$B:$C,1,)</f>
        <v>MNabc</v>
      </c>
      <c r="D627" s="9" t="b">
        <f t="shared" si="36"/>
        <v>1</v>
      </c>
      <c r="E627" s="9" t="s">
        <v>2745</v>
      </c>
      <c r="F627" s="9" t="s">
        <v>2745</v>
      </c>
      <c r="G627" s="9" t="b">
        <f t="shared" si="37"/>
        <v>1</v>
      </c>
      <c r="H627" s="9" t="str">
        <f>VLOOKUP(B627,[1]RXNS!$B:$D,3,FALSE)</f>
        <v>ATP[c] + H2O[c] + Mn2+[e] =&gt; ADP[c] + H+[c] + Mn2+[c] + Phosphate[c]</v>
      </c>
      <c r="I627" s="9" t="s">
        <v>2746</v>
      </c>
      <c r="J627" s="9" t="s">
        <v>2747</v>
      </c>
      <c r="K627" s="9" t="s">
        <v>2746</v>
      </c>
      <c r="L627" s="9" t="b">
        <f t="shared" si="38"/>
        <v>1</v>
      </c>
      <c r="M627" s="9" t="b">
        <f t="shared" si="39"/>
        <v>1</v>
      </c>
      <c r="N627" s="9" t="s">
        <v>2748</v>
      </c>
      <c r="O627" s="9">
        <v>0</v>
      </c>
      <c r="P627" s="9">
        <v>1000</v>
      </c>
      <c r="Q627" s="13"/>
      <c r="R627" s="13"/>
      <c r="S627" s="9" t="s">
        <v>2749</v>
      </c>
      <c r="T627" s="9" t="s">
        <v>146</v>
      </c>
      <c r="U627" s="13"/>
      <c r="V627" s="9" t="s">
        <v>30</v>
      </c>
      <c r="W627" s="13"/>
      <c r="X627" s="9">
        <v>2</v>
      </c>
    </row>
    <row r="628" spans="1:24">
      <c r="A628" s="13"/>
      <c r="B628" s="9" t="s">
        <v>2750</v>
      </c>
      <c r="C628" s="9" t="str">
        <f>VLOOKUP(B628,[1]RXNS!$B:$C,1,)</f>
        <v>MNt6</v>
      </c>
      <c r="D628" s="9" t="b">
        <f t="shared" si="36"/>
        <v>1</v>
      </c>
      <c r="E628" s="9" t="s">
        <v>2751</v>
      </c>
      <c r="F628" s="9" t="s">
        <v>2751</v>
      </c>
      <c r="G628" s="9" t="b">
        <f t="shared" si="37"/>
        <v>1</v>
      </c>
      <c r="H628" s="9" t="str">
        <f>VLOOKUP(B628,[1]RXNS!$B:$D,3,FALSE)</f>
        <v>H+[e] + Mn2+[e] &lt;=&gt; H+[c] + Mn2+[c]</v>
      </c>
      <c r="I628" s="9">
        <f>VLOOKUP(B628,[1]RXNS!$B:$E,4,FALSE)</f>
        <v>0</v>
      </c>
      <c r="J628" s="9" t="s">
        <v>2752</v>
      </c>
      <c r="K628" s="13"/>
      <c r="L628" s="9" t="b">
        <f t="shared" si="38"/>
        <v>1</v>
      </c>
      <c r="M628" s="9" t="b">
        <f t="shared" si="39"/>
        <v>0</v>
      </c>
      <c r="N628" s="9" t="s">
        <v>2753</v>
      </c>
      <c r="O628" s="9">
        <v>-1000</v>
      </c>
      <c r="P628" s="9">
        <v>1000</v>
      </c>
      <c r="Q628" s="13"/>
      <c r="R628" s="13"/>
      <c r="S628" s="13"/>
      <c r="T628" s="9" t="s">
        <v>146</v>
      </c>
      <c r="U628" s="13"/>
      <c r="V628" s="9" t="s">
        <v>30</v>
      </c>
      <c r="W628" s="13"/>
      <c r="X628" s="9">
        <v>2</v>
      </c>
    </row>
    <row r="629" spans="1:24">
      <c r="A629" s="13"/>
      <c r="B629" s="9" t="s">
        <v>2754</v>
      </c>
      <c r="C629" s="9" t="str">
        <f>VLOOKUP(B629,[1]RXNS!$B:$C,1,)</f>
        <v>MOADCST</v>
      </c>
      <c r="D629" s="9" t="b">
        <f t="shared" si="36"/>
        <v>1</v>
      </c>
      <c r="E629" s="9" t="s">
        <v>2755</v>
      </c>
      <c r="F629" s="9" t="s">
        <v>2755</v>
      </c>
      <c r="G629" s="9" t="b">
        <f t="shared" si="37"/>
        <v>1</v>
      </c>
      <c r="H629" s="9" t="str">
        <f>VLOOKUP(B629,[1]RXNS!$B:$D,3,FALSE)</f>
        <v>MPT synthase small subunit MoaD[c] + ATP[c] + L-Cysteine[c] + H2O[c] =&gt; MPT synthase sulfurylated small subunit (MoaD-SH)[c] + AMP[c] + Diphosphate[c] + L-Serine[c]</v>
      </c>
      <c r="I629" s="9" t="s">
        <v>2756</v>
      </c>
      <c r="J629" s="9" t="s">
        <v>2757</v>
      </c>
      <c r="K629" s="9" t="s">
        <v>2756</v>
      </c>
      <c r="L629" s="9" t="b">
        <f t="shared" si="38"/>
        <v>1</v>
      </c>
      <c r="M629" s="9" t="b">
        <f t="shared" si="39"/>
        <v>1</v>
      </c>
      <c r="N629" s="9" t="s">
        <v>2758</v>
      </c>
      <c r="O629" s="9">
        <v>0</v>
      </c>
      <c r="P629" s="9">
        <v>1000</v>
      </c>
      <c r="Q629" s="13"/>
      <c r="R629" s="13"/>
      <c r="S629" s="13"/>
      <c r="T629" s="9" t="s">
        <v>29</v>
      </c>
      <c r="U629" s="13"/>
      <c r="V629" s="9" t="s">
        <v>30</v>
      </c>
      <c r="W629" s="13"/>
      <c r="X629" s="9">
        <v>2</v>
      </c>
    </row>
    <row r="630" spans="1:24">
      <c r="A630" s="13"/>
      <c r="B630" s="9" t="s">
        <v>2759</v>
      </c>
      <c r="C630" s="9" t="str">
        <f>VLOOKUP(B630,[1]RXNS!$B:$C,1,)</f>
        <v>MTAN</v>
      </c>
      <c r="D630" s="9" t="b">
        <f t="shared" si="36"/>
        <v>1</v>
      </c>
      <c r="E630" s="9" t="s">
        <v>2760</v>
      </c>
      <c r="F630" s="9" t="s">
        <v>2760</v>
      </c>
      <c r="G630" s="9" t="b">
        <f t="shared" si="37"/>
        <v>1</v>
      </c>
      <c r="H630" s="9" t="str">
        <f>VLOOKUP(B630,[1]RXNS!$B:$D,3,FALSE)</f>
        <v>5-Methylthioadenosine[c] + H2O[c] =&gt; 5-Methylthio-D-ribose[c] + Adenine[c]</v>
      </c>
      <c r="I630" s="9" t="s">
        <v>2761</v>
      </c>
      <c r="J630" s="9" t="s">
        <v>2762</v>
      </c>
      <c r="K630" s="9" t="s">
        <v>2761</v>
      </c>
      <c r="L630" s="9" t="b">
        <f t="shared" si="38"/>
        <v>1</v>
      </c>
      <c r="M630" s="9" t="b">
        <f t="shared" si="39"/>
        <v>1</v>
      </c>
      <c r="N630" s="9" t="s">
        <v>237</v>
      </c>
      <c r="O630" s="9">
        <v>0</v>
      </c>
      <c r="P630" s="9">
        <v>1000</v>
      </c>
      <c r="Q630" s="13"/>
      <c r="R630" s="13"/>
      <c r="S630" s="9" t="s">
        <v>2763</v>
      </c>
      <c r="T630" s="9" t="s">
        <v>239</v>
      </c>
      <c r="U630" s="13"/>
      <c r="V630" s="9" t="s">
        <v>30</v>
      </c>
      <c r="W630" s="13"/>
      <c r="X630" s="9">
        <v>2</v>
      </c>
    </row>
    <row r="631" spans="1:24">
      <c r="A631" s="13"/>
      <c r="B631" s="9" t="s">
        <v>2764</v>
      </c>
      <c r="C631" s="9" t="str">
        <f>VLOOKUP(B631,[1]RXNS!$B:$C,1,)</f>
        <v>MTHFC</v>
      </c>
      <c r="D631" s="9" t="b">
        <f t="shared" si="36"/>
        <v>1</v>
      </c>
      <c r="E631" s="9" t="s">
        <v>2765</v>
      </c>
      <c r="F631" s="9" t="s">
        <v>2765</v>
      </c>
      <c r="G631" s="9" t="b">
        <f t="shared" si="37"/>
        <v>1</v>
      </c>
      <c r="H631" s="9" t="str">
        <f>VLOOKUP(B631,[1]RXNS!$B:$D,3,FALSE)</f>
        <v>H2O[c] + 5,10-Methenyltetrahydrofolate[c] &lt;=&gt; 10-Formyltetrahydrofolate[c] + H+[c]</v>
      </c>
      <c r="I631" s="9" t="s">
        <v>2766</v>
      </c>
      <c r="J631" s="9" t="s">
        <v>2767</v>
      </c>
      <c r="K631" s="9" t="s">
        <v>2766</v>
      </c>
      <c r="L631" s="9" t="b">
        <f t="shared" si="38"/>
        <v>1</v>
      </c>
      <c r="M631" s="9" t="b">
        <f t="shared" si="39"/>
        <v>1</v>
      </c>
      <c r="N631" s="9" t="s">
        <v>2768</v>
      </c>
      <c r="O631" s="9">
        <v>-1000</v>
      </c>
      <c r="P631" s="9">
        <v>1000</v>
      </c>
      <c r="Q631" s="13"/>
      <c r="R631" s="13"/>
      <c r="S631" s="9" t="s">
        <v>2769</v>
      </c>
      <c r="T631" s="9" t="s">
        <v>1246</v>
      </c>
      <c r="U631" s="13"/>
      <c r="V631" s="9" t="s">
        <v>30</v>
      </c>
      <c r="W631" s="13"/>
      <c r="X631" s="9">
        <v>2</v>
      </c>
    </row>
    <row r="632" spans="1:24">
      <c r="A632" s="13"/>
      <c r="B632" s="9" t="s">
        <v>2770</v>
      </c>
      <c r="C632" s="9" t="str">
        <f>VLOOKUP(B632,[1]RXNS!$B:$C,1,)</f>
        <v>MTHFD</v>
      </c>
      <c r="D632" s="9" t="b">
        <f t="shared" si="36"/>
        <v>1</v>
      </c>
      <c r="E632" s="9" t="s">
        <v>2771</v>
      </c>
      <c r="F632" s="9" t="s">
        <v>2771</v>
      </c>
      <c r="G632" s="9" t="b">
        <f t="shared" si="37"/>
        <v>1</v>
      </c>
      <c r="H632" s="9" t="str">
        <f>VLOOKUP(B632,[1]RXNS!$B:$D,3,FALSE)</f>
        <v>5,10-Methylenetetrahydrofolate[c] + Nicotinamide adenine dinucleotide phosphate[c] &lt;=&gt; 5,10-Methenyltetrahydrofolate[c] + Nicotinamide adenine dinucleotide phosphate - reduced[c]</v>
      </c>
      <c r="I632" s="9" t="s">
        <v>2772</v>
      </c>
      <c r="J632" s="9" t="s">
        <v>2773</v>
      </c>
      <c r="K632" s="9" t="s">
        <v>2772</v>
      </c>
      <c r="L632" s="9" t="b">
        <f t="shared" si="38"/>
        <v>1</v>
      </c>
      <c r="M632" s="9" t="b">
        <f t="shared" si="39"/>
        <v>1</v>
      </c>
      <c r="N632" s="9" t="s">
        <v>2768</v>
      </c>
      <c r="O632" s="9">
        <v>-1000</v>
      </c>
      <c r="P632" s="9">
        <v>1000</v>
      </c>
      <c r="Q632" s="13"/>
      <c r="R632" s="13"/>
      <c r="S632" s="9" t="s">
        <v>2774</v>
      </c>
      <c r="T632" s="9" t="s">
        <v>1246</v>
      </c>
      <c r="U632" s="13"/>
      <c r="V632" s="9" t="s">
        <v>30</v>
      </c>
      <c r="W632" s="13"/>
      <c r="X632" s="9">
        <v>2</v>
      </c>
    </row>
    <row r="633" spans="1:24">
      <c r="A633" s="13"/>
      <c r="B633" s="9" t="s">
        <v>2775</v>
      </c>
      <c r="C633" s="9" t="str">
        <f>VLOOKUP(B633,[1]RXNS!$B:$C,1,)</f>
        <v>MTHPTGHM</v>
      </c>
      <c r="D633" s="9" t="b">
        <f t="shared" si="36"/>
        <v>1</v>
      </c>
      <c r="E633" s="9" t="s">
        <v>2776</v>
      </c>
      <c r="F633" s="9" t="s">
        <v>2776</v>
      </c>
      <c r="G633" s="9" t="b">
        <f t="shared" si="37"/>
        <v>1</v>
      </c>
      <c r="H633" s="9" t="str">
        <f>VLOOKUP(B633,[1]RXNS!$B:$D,3,FALSE)</f>
        <v>5-Methyltetrahydropteroyltri-L-glutamate[c] + L-Homocysteine[c] =&gt; L-Methionine[c] + Tetrahydropteroyltri-L-glutamate[c]</v>
      </c>
      <c r="I633" s="9" t="s">
        <v>2777</v>
      </c>
      <c r="J633" s="9" t="s">
        <v>2778</v>
      </c>
      <c r="K633" s="9" t="s">
        <v>2777</v>
      </c>
      <c r="L633" s="9" t="b">
        <f t="shared" si="38"/>
        <v>1</v>
      </c>
      <c r="M633" s="9" t="b">
        <f t="shared" si="39"/>
        <v>1</v>
      </c>
      <c r="N633" s="9" t="s">
        <v>2779</v>
      </c>
      <c r="O633" s="9">
        <v>0</v>
      </c>
      <c r="P633" s="9">
        <v>1000</v>
      </c>
      <c r="Q633" s="13"/>
      <c r="R633" s="13"/>
      <c r="S633" s="13"/>
      <c r="T633" s="9" t="s">
        <v>239</v>
      </c>
      <c r="U633" s="13"/>
      <c r="V633" s="9" t="s">
        <v>30</v>
      </c>
      <c r="W633" s="13"/>
      <c r="X633" s="9">
        <v>2</v>
      </c>
    </row>
    <row r="634" spans="1:24">
      <c r="A634" s="13"/>
      <c r="B634" s="9" t="s">
        <v>2780</v>
      </c>
      <c r="C634" s="9" t="str">
        <f>VLOOKUP(B634,[1]RXNS!$B:$C,1,)</f>
        <v>NACUP</v>
      </c>
      <c r="D634" s="9" t="b">
        <f t="shared" si="36"/>
        <v>1</v>
      </c>
      <c r="E634" s="9" t="s">
        <v>2781</v>
      </c>
      <c r="F634" s="9" t="s">
        <v>2781</v>
      </c>
      <c r="G634" s="9" t="b">
        <f t="shared" si="37"/>
        <v>1</v>
      </c>
      <c r="H634" s="9" t="str">
        <f>VLOOKUP(B634,[1]RXNS!$B:$D,3,FALSE)</f>
        <v>Nicotinate[e] =&gt; Nicotinate[c]</v>
      </c>
      <c r="I634" s="9">
        <f>VLOOKUP(B634,[1]RXNS!$B:$E,4,FALSE)</f>
        <v>0</v>
      </c>
      <c r="J634" s="9" t="s">
        <v>2782</v>
      </c>
      <c r="K634" s="13"/>
      <c r="L634" s="9" t="b">
        <f t="shared" si="38"/>
        <v>1</v>
      </c>
      <c r="M634" s="9" t="b">
        <f t="shared" si="39"/>
        <v>0</v>
      </c>
      <c r="N634" s="13"/>
      <c r="O634" s="9">
        <v>0</v>
      </c>
      <c r="P634" s="9">
        <v>1000</v>
      </c>
      <c r="Q634" s="13"/>
      <c r="R634" s="13"/>
      <c r="S634" s="13"/>
      <c r="T634" s="9" t="s">
        <v>146</v>
      </c>
      <c r="U634" s="13"/>
      <c r="V634" s="9" t="s">
        <v>35</v>
      </c>
      <c r="W634" s="13"/>
      <c r="X634" s="9">
        <v>2</v>
      </c>
    </row>
    <row r="635" spans="1:24">
      <c r="A635" s="13"/>
      <c r="B635" s="9" t="s">
        <v>2783</v>
      </c>
      <c r="C635" s="9" t="str">
        <f>VLOOKUP(B635,[1]RXNS!$B:$C,1,)</f>
        <v>NADH4</v>
      </c>
      <c r="D635" s="9" t="b">
        <f t="shared" si="36"/>
        <v>1</v>
      </c>
      <c r="E635" s="9" t="s">
        <v>2784</v>
      </c>
      <c r="F635" s="9" t="s">
        <v>2784</v>
      </c>
      <c r="G635" s="9" t="b">
        <f t="shared" si="37"/>
        <v>1</v>
      </c>
      <c r="H635" s="9" t="str">
        <f>VLOOKUP(B635,[1]RXNS!$B:$D,3,FALSE)</f>
        <v>H+[c] + Menaquinone 7[c] + Nicotinamide adenine dinucleotide - reduced[c] =&gt; Menaquinol 7[c] + Nicotinamide adenine dinucleotide[c]</v>
      </c>
      <c r="I635" s="9">
        <f>VLOOKUP(B635,[1]RXNS!$B:$E,4,FALSE)</f>
        <v>0</v>
      </c>
      <c r="J635" s="9" t="s">
        <v>2785</v>
      </c>
      <c r="K635" s="13"/>
      <c r="L635" s="9" t="b">
        <f t="shared" si="38"/>
        <v>1</v>
      </c>
      <c r="M635" s="9" t="b">
        <f t="shared" si="39"/>
        <v>0</v>
      </c>
      <c r="N635" s="9" t="s">
        <v>2786</v>
      </c>
      <c r="O635" s="9">
        <v>0</v>
      </c>
      <c r="P635" s="9">
        <v>1000</v>
      </c>
      <c r="Q635" s="13"/>
      <c r="R635" s="13"/>
      <c r="S635" s="9" t="s">
        <v>2787</v>
      </c>
      <c r="T635" s="9" t="s">
        <v>520</v>
      </c>
      <c r="U635" s="13"/>
      <c r="V635" s="9" t="s">
        <v>30</v>
      </c>
      <c r="W635" s="13"/>
      <c r="X635" s="9">
        <v>2</v>
      </c>
    </row>
    <row r="636" spans="1:24">
      <c r="A636" s="13"/>
      <c r="B636" s="9" t="s">
        <v>2788</v>
      </c>
      <c r="C636" s="9" t="str">
        <f>VLOOKUP(B636,[1]RXNS!$B:$C,1,)</f>
        <v>NADK</v>
      </c>
      <c r="D636" s="9" t="b">
        <f t="shared" si="36"/>
        <v>1</v>
      </c>
      <c r="E636" s="9" t="s">
        <v>2789</v>
      </c>
      <c r="F636" s="9" t="s">
        <v>2789</v>
      </c>
      <c r="G636" s="9" t="b">
        <f t="shared" si="37"/>
        <v>1</v>
      </c>
      <c r="H636" s="9" t="str">
        <f>VLOOKUP(B636,[1]RXNS!$B:$D,3,FALSE)</f>
        <v>ATP[c] + Nicotinamide adenine dinucleotide[c] =&gt; ADP[c] + H+[c] + Nicotinamide adenine dinucleotide phosphate[c]</v>
      </c>
      <c r="I636" s="9" t="s">
        <v>2790</v>
      </c>
      <c r="J636" s="9" t="s">
        <v>2791</v>
      </c>
      <c r="K636" s="9" t="s">
        <v>2790</v>
      </c>
      <c r="L636" s="9" t="b">
        <f t="shared" si="38"/>
        <v>1</v>
      </c>
      <c r="M636" s="9" t="b">
        <f t="shared" si="39"/>
        <v>1</v>
      </c>
      <c r="N636" s="9" t="s">
        <v>2792</v>
      </c>
      <c r="O636" s="9">
        <v>0</v>
      </c>
      <c r="P636" s="9">
        <v>1000</v>
      </c>
      <c r="Q636" s="13"/>
      <c r="R636" s="13"/>
      <c r="S636" s="13"/>
      <c r="T636" s="9" t="s">
        <v>2793</v>
      </c>
      <c r="U636" s="13"/>
      <c r="V636" s="9" t="s">
        <v>30</v>
      </c>
      <c r="W636" s="13"/>
      <c r="X636" s="9">
        <v>2</v>
      </c>
    </row>
    <row r="637" spans="1:24">
      <c r="A637" s="13"/>
      <c r="B637" s="9" t="s">
        <v>2794</v>
      </c>
      <c r="C637" s="9" t="str">
        <f>VLOOKUP(B637,[1]RXNS!$B:$C,1,)</f>
        <v>NADN</v>
      </c>
      <c r="D637" s="9" t="b">
        <f t="shared" si="36"/>
        <v>1</v>
      </c>
      <c r="E637" s="9" t="s">
        <v>2795</v>
      </c>
      <c r="F637" s="9" t="s">
        <v>2795</v>
      </c>
      <c r="G637" s="9" t="b">
        <f t="shared" si="37"/>
        <v>1</v>
      </c>
      <c r="H637" s="9" t="str">
        <f>VLOOKUP(B637,[1]RXNS!$B:$D,3,FALSE)</f>
        <v>H2O[c] + Nicotinamide adenine dinucleotide[c] =&gt; ADPribose[c] + H+[c] + Nicotinamide[c]</v>
      </c>
      <c r="I637" s="9" t="s">
        <v>2796</v>
      </c>
      <c r="J637" s="9" t="s">
        <v>2797</v>
      </c>
      <c r="K637" s="9" t="s">
        <v>2796</v>
      </c>
      <c r="L637" s="9" t="b">
        <f t="shared" si="38"/>
        <v>1</v>
      </c>
      <c r="M637" s="9" t="b">
        <f t="shared" si="39"/>
        <v>1</v>
      </c>
      <c r="N637" s="13"/>
      <c r="O637" s="9">
        <v>0</v>
      </c>
      <c r="P637" s="9">
        <v>1000</v>
      </c>
      <c r="Q637" s="13"/>
      <c r="R637" s="13"/>
      <c r="S637" s="13"/>
      <c r="T637" s="9" t="s">
        <v>2793</v>
      </c>
      <c r="U637" s="13"/>
      <c r="V637" s="9" t="s">
        <v>35</v>
      </c>
      <c r="W637" s="13"/>
      <c r="X637" s="9">
        <v>2</v>
      </c>
    </row>
    <row r="638" spans="1:24">
      <c r="A638" s="13"/>
      <c r="B638" s="9" t="s">
        <v>2798</v>
      </c>
      <c r="C638" s="9" t="str">
        <f>VLOOKUP(B638,[1]RXNS!$B:$C,1,)</f>
        <v>NADPH12</v>
      </c>
      <c r="D638" s="9" t="b">
        <f t="shared" si="36"/>
        <v>1</v>
      </c>
      <c r="E638" s="9" t="s">
        <v>2799</v>
      </c>
      <c r="F638" s="9" t="s">
        <v>2799</v>
      </c>
      <c r="G638" s="9" t="b">
        <f t="shared" si="37"/>
        <v>1</v>
      </c>
      <c r="H638" s="9" t="str">
        <f>VLOOKUP(B638,[1]RXNS!$B:$D,3,FALSE)</f>
        <v>H+[c] + Nicotinamide adenine dinucleotide phosphate - reduced[c] + Ubiquinone-8[c] =&gt; Nicotinamide adenine dinucleotide phosphate[c] + Ubiquinol-8[c]</v>
      </c>
      <c r="I638" s="9" t="s">
        <v>2800</v>
      </c>
      <c r="J638" s="9" t="s">
        <v>2801</v>
      </c>
      <c r="K638" s="9" t="s">
        <v>2800</v>
      </c>
      <c r="L638" s="9" t="b">
        <f t="shared" si="38"/>
        <v>1</v>
      </c>
      <c r="M638" s="9" t="b">
        <f t="shared" si="39"/>
        <v>1</v>
      </c>
      <c r="N638" s="13"/>
      <c r="O638" s="9">
        <v>0</v>
      </c>
      <c r="P638" s="9">
        <v>1000</v>
      </c>
      <c r="Q638" s="13"/>
      <c r="R638" s="13"/>
      <c r="S638" s="13"/>
      <c r="T638" s="9" t="s">
        <v>520</v>
      </c>
      <c r="U638" s="13"/>
      <c r="V638" s="9" t="s">
        <v>35</v>
      </c>
      <c r="W638" s="13"/>
      <c r="X638" s="9">
        <v>2</v>
      </c>
    </row>
    <row r="639" spans="1:24">
      <c r="A639" s="13"/>
      <c r="B639" s="9" t="s">
        <v>2802</v>
      </c>
      <c r="C639" s="9" t="str">
        <f>VLOOKUP(B639,[1]RXNS!$B:$C,1,)</f>
        <v>NADS1</v>
      </c>
      <c r="D639" s="9" t="b">
        <f t="shared" si="36"/>
        <v>1</v>
      </c>
      <c r="E639" s="9" t="s">
        <v>2803</v>
      </c>
      <c r="F639" s="9" t="s">
        <v>2803</v>
      </c>
      <c r="G639" s="9" t="b">
        <f t="shared" si="37"/>
        <v>1</v>
      </c>
      <c r="H639" s="9" t="str">
        <f>VLOOKUP(B639,[1]RXNS!$B:$D,3,FALSE)</f>
        <v>ATP[c] + Deamino-NAD+[c] + Ammonium[c] =&gt; AMP[c] + H+[c] + Nicotinamide adenine dinucleotide[c] + Diphosphate[c]</v>
      </c>
      <c r="I639" s="9" t="s">
        <v>2804</v>
      </c>
      <c r="J639" s="9" t="s">
        <v>2805</v>
      </c>
      <c r="K639" s="9" t="s">
        <v>2804</v>
      </c>
      <c r="L639" s="9" t="b">
        <f t="shared" si="38"/>
        <v>1</v>
      </c>
      <c r="M639" s="9" t="b">
        <f t="shared" si="39"/>
        <v>1</v>
      </c>
      <c r="N639" s="9" t="s">
        <v>2806</v>
      </c>
      <c r="O639" s="9">
        <v>0</v>
      </c>
      <c r="P639" s="9">
        <v>1000</v>
      </c>
      <c r="Q639" s="13"/>
      <c r="R639" s="13"/>
      <c r="S639" s="9" t="s">
        <v>2807</v>
      </c>
      <c r="T639" s="9" t="s">
        <v>2793</v>
      </c>
      <c r="U639" s="13"/>
      <c r="V639" s="9" t="s">
        <v>30</v>
      </c>
      <c r="W639" s="13"/>
      <c r="X639" s="9">
        <v>2</v>
      </c>
    </row>
    <row r="640" spans="1:24">
      <c r="A640" s="13"/>
      <c r="B640" s="9" t="s">
        <v>2808</v>
      </c>
      <c r="C640" s="9" t="str">
        <f>VLOOKUP(B640,[1]RXNS!$B:$C,1,)</f>
        <v>NAPRT</v>
      </c>
      <c r="D640" s="9" t="b">
        <f t="shared" si="36"/>
        <v>1</v>
      </c>
      <c r="E640" s="9" t="s">
        <v>2809</v>
      </c>
      <c r="F640" s="9" t="s">
        <v>2809</v>
      </c>
      <c r="G640" s="9" t="b">
        <f t="shared" si="37"/>
        <v>1</v>
      </c>
      <c r="H640" s="9" t="str">
        <f>VLOOKUP(B640,[1]RXNS!$B:$D,3,FALSE)</f>
        <v>H+[c] + Nicotinate[c] + 5-Phospho-alpha-D-ribose 1-diphosphate[c] =&gt; Nicotinate D-ribonucleotide[c] + Diphosphate[c]</v>
      </c>
      <c r="I640" s="9" t="s">
        <v>2810</v>
      </c>
      <c r="J640" s="9" t="s">
        <v>2811</v>
      </c>
      <c r="K640" s="9" t="s">
        <v>2810</v>
      </c>
      <c r="L640" s="9" t="b">
        <f t="shared" si="38"/>
        <v>1</v>
      </c>
      <c r="M640" s="9" t="b">
        <f t="shared" si="39"/>
        <v>1</v>
      </c>
      <c r="N640" s="9" t="s">
        <v>2812</v>
      </c>
      <c r="O640" s="9">
        <v>0</v>
      </c>
      <c r="P640" s="9">
        <v>1000</v>
      </c>
      <c r="Q640" s="13"/>
      <c r="R640" s="13"/>
      <c r="S640" s="9" t="s">
        <v>2813</v>
      </c>
      <c r="T640" s="9" t="s">
        <v>2793</v>
      </c>
      <c r="U640" s="13"/>
      <c r="V640" s="9" t="s">
        <v>30</v>
      </c>
      <c r="W640" s="13"/>
      <c r="X640" s="9">
        <v>2</v>
      </c>
    </row>
    <row r="641" spans="1:24">
      <c r="A641" s="13"/>
      <c r="B641" s="9" t="s">
        <v>2814</v>
      </c>
      <c r="C641" s="9" t="str">
        <f>VLOOKUP(B641,[1]RXNS!$B:$C,1,)</f>
        <v>NAt7</v>
      </c>
      <c r="D641" s="9" t="b">
        <f t="shared" si="36"/>
        <v>1</v>
      </c>
      <c r="E641" s="9" t="s">
        <v>2815</v>
      </c>
      <c r="F641" s="9" t="s">
        <v>2815</v>
      </c>
      <c r="G641" s="9" t="b">
        <f t="shared" si="37"/>
        <v>1</v>
      </c>
      <c r="H641" s="9" t="str">
        <f>VLOOKUP(B641,[1]RXNS!$B:$D,3,FALSE)</f>
        <v>H+[e] + Sodium[c] &lt;=&gt; H+[c] + Sodium[e]</v>
      </c>
      <c r="I641" s="9">
        <f>VLOOKUP(B641,[1]RXNS!$B:$E,4,FALSE)</f>
        <v>0</v>
      </c>
      <c r="J641" s="9" t="s">
        <v>2816</v>
      </c>
      <c r="K641" s="13"/>
      <c r="L641" s="9" t="b">
        <f t="shared" si="38"/>
        <v>1</v>
      </c>
      <c r="M641" s="9" t="b">
        <f t="shared" si="39"/>
        <v>0</v>
      </c>
      <c r="N641" s="9" t="s">
        <v>2817</v>
      </c>
      <c r="O641" s="9">
        <v>-1000</v>
      </c>
      <c r="P641" s="9">
        <v>1000</v>
      </c>
      <c r="Q641" s="13"/>
      <c r="R641" s="13"/>
      <c r="S641" s="13"/>
      <c r="T641" s="9" t="s">
        <v>146</v>
      </c>
      <c r="U641" s="13"/>
      <c r="V641" s="9" t="s">
        <v>30</v>
      </c>
      <c r="W641" s="13"/>
      <c r="X641" s="9">
        <v>2</v>
      </c>
    </row>
    <row r="642" spans="1:24">
      <c r="A642" s="13"/>
      <c r="B642" s="9" t="s">
        <v>2818</v>
      </c>
      <c r="C642" s="9" t="str">
        <f>VLOOKUP(B642,[1]RXNS!$B:$C,1,)</f>
        <v>NDPK1</v>
      </c>
      <c r="D642" s="9" t="b">
        <f t="shared" ref="D642:D705" si="40">EXACT(B642,C642)</f>
        <v>1</v>
      </c>
      <c r="E642" s="9" t="s">
        <v>2819</v>
      </c>
      <c r="F642" s="9" t="s">
        <v>2819</v>
      </c>
      <c r="G642" s="9" t="b">
        <f t="shared" ref="G642:G705" si="41">EXACT(E642,F642)</f>
        <v>1</v>
      </c>
      <c r="H642" s="9" t="str">
        <f>VLOOKUP(B642,[1]RXNS!$B:$D,3,FALSE)</f>
        <v>ATP[c] + GDP[c] &lt;=&gt; ADP[c] + GTP[c]</v>
      </c>
      <c r="I642" s="9" t="s">
        <v>2820</v>
      </c>
      <c r="J642" s="9" t="s">
        <v>2821</v>
      </c>
      <c r="K642" s="9" t="s">
        <v>2820</v>
      </c>
      <c r="L642" s="9" t="b">
        <f t="shared" ref="L642:L705" si="42">EXACT(H642,J642)</f>
        <v>0</v>
      </c>
      <c r="M642" s="9" t="b">
        <f t="shared" ref="M642:M705" si="43">EXACT(I642,K642)</f>
        <v>1</v>
      </c>
      <c r="N642" s="9" t="s">
        <v>2822</v>
      </c>
      <c r="O642" s="9">
        <v>0</v>
      </c>
      <c r="P642" s="9">
        <v>1000</v>
      </c>
      <c r="Q642" s="13"/>
      <c r="R642" s="13"/>
      <c r="S642" s="9" t="s">
        <v>2823</v>
      </c>
      <c r="T642" s="9" t="s">
        <v>153</v>
      </c>
      <c r="U642" s="13"/>
      <c r="V642" s="9" t="s">
        <v>30</v>
      </c>
      <c r="W642" s="13"/>
      <c r="X642" s="9">
        <v>2</v>
      </c>
    </row>
    <row r="643" spans="1:24">
      <c r="A643" s="13"/>
      <c r="B643" s="9" t="s">
        <v>2824</v>
      </c>
      <c r="C643" s="9" t="str">
        <f>VLOOKUP(B643,[1]RXNS!$B:$C,1,)</f>
        <v>NDPK2</v>
      </c>
      <c r="D643" s="9" t="b">
        <f t="shared" si="40"/>
        <v>1</v>
      </c>
      <c r="E643" s="9" t="s">
        <v>2825</v>
      </c>
      <c r="F643" s="9" t="s">
        <v>2825</v>
      </c>
      <c r="G643" s="9" t="b">
        <f t="shared" si="41"/>
        <v>1</v>
      </c>
      <c r="H643" s="9" t="str">
        <f>VLOOKUP(B643,[1]RXNS!$B:$D,3,FALSE)</f>
        <v>ATP[c] + UDP[c] &lt;=&gt; ADP[c] + UTP[c]</v>
      </c>
      <c r="I643" s="9" t="s">
        <v>2820</v>
      </c>
      <c r="J643" s="9" t="s">
        <v>2826</v>
      </c>
      <c r="K643" s="9" t="s">
        <v>2820</v>
      </c>
      <c r="L643" s="9" t="b">
        <f t="shared" si="42"/>
        <v>0</v>
      </c>
      <c r="M643" s="9" t="b">
        <f t="shared" si="43"/>
        <v>1</v>
      </c>
      <c r="N643" s="9" t="s">
        <v>2822</v>
      </c>
      <c r="O643" s="9">
        <v>0</v>
      </c>
      <c r="P643" s="9">
        <v>1000</v>
      </c>
      <c r="Q643" s="13"/>
      <c r="R643" s="13"/>
      <c r="S643" s="9" t="s">
        <v>2827</v>
      </c>
      <c r="T643" s="9" t="s">
        <v>648</v>
      </c>
      <c r="U643" s="13"/>
      <c r="V643" s="9" t="s">
        <v>30</v>
      </c>
      <c r="W643" s="13"/>
      <c r="X643" s="9">
        <v>2</v>
      </c>
    </row>
    <row r="644" spans="1:24">
      <c r="A644" s="13"/>
      <c r="B644" s="9" t="s">
        <v>2828</v>
      </c>
      <c r="C644" s="9" t="str">
        <f>VLOOKUP(B644,[1]RXNS!$B:$C,1,)</f>
        <v>NDPK3</v>
      </c>
      <c r="D644" s="9" t="b">
        <f t="shared" si="40"/>
        <v>1</v>
      </c>
      <c r="E644" s="9" t="s">
        <v>2829</v>
      </c>
      <c r="F644" s="9" t="s">
        <v>2829</v>
      </c>
      <c r="G644" s="9" t="b">
        <f t="shared" si="41"/>
        <v>1</v>
      </c>
      <c r="H644" s="9" t="str">
        <f>VLOOKUP(B644,[1]RXNS!$B:$D,3,FALSE)</f>
        <v>ATP[c] + CDP[c] &lt;=&gt; ADP[c] + CTP[c]</v>
      </c>
      <c r="I644" s="9" t="s">
        <v>2820</v>
      </c>
      <c r="J644" s="9" t="s">
        <v>2830</v>
      </c>
      <c r="K644" s="9" t="s">
        <v>2820</v>
      </c>
      <c r="L644" s="9" t="b">
        <f t="shared" si="42"/>
        <v>0</v>
      </c>
      <c r="M644" s="9" t="b">
        <f t="shared" si="43"/>
        <v>1</v>
      </c>
      <c r="N644" s="9" t="s">
        <v>2822</v>
      </c>
      <c r="O644" s="9">
        <v>0</v>
      </c>
      <c r="P644" s="9">
        <v>1000</v>
      </c>
      <c r="Q644" s="13"/>
      <c r="R644" s="13"/>
      <c r="S644" s="9" t="s">
        <v>2831</v>
      </c>
      <c r="T644" s="9" t="s">
        <v>648</v>
      </c>
      <c r="U644" s="13"/>
      <c r="V644" s="9" t="s">
        <v>30</v>
      </c>
      <c r="W644" s="13"/>
      <c r="X644" s="9">
        <v>2</v>
      </c>
    </row>
    <row r="645" spans="1:24">
      <c r="A645" s="13"/>
      <c r="B645" s="9" t="s">
        <v>2832</v>
      </c>
      <c r="C645" s="9" t="str">
        <f>VLOOKUP(B645,[1]RXNS!$B:$C,1,)</f>
        <v>NDPK4</v>
      </c>
      <c r="D645" s="9" t="b">
        <f t="shared" si="40"/>
        <v>1</v>
      </c>
      <c r="E645" s="9" t="s">
        <v>2833</v>
      </c>
      <c r="F645" s="9" t="s">
        <v>2833</v>
      </c>
      <c r="G645" s="9" t="b">
        <f t="shared" si="41"/>
        <v>1</v>
      </c>
      <c r="H645" s="9" t="str">
        <f>VLOOKUP(B645,[1]RXNS!$B:$D,3,FALSE)</f>
        <v>ATP[c] + dTDP[c] &lt;=&gt; ADP[c] + dTTP[c]</v>
      </c>
      <c r="I645" s="9" t="s">
        <v>2820</v>
      </c>
      <c r="J645" s="9" t="s">
        <v>2834</v>
      </c>
      <c r="K645" s="9" t="s">
        <v>2820</v>
      </c>
      <c r="L645" s="9" t="b">
        <f t="shared" si="42"/>
        <v>0</v>
      </c>
      <c r="M645" s="9" t="b">
        <f t="shared" si="43"/>
        <v>1</v>
      </c>
      <c r="N645" s="9" t="s">
        <v>2822</v>
      </c>
      <c r="O645" s="9">
        <v>0</v>
      </c>
      <c r="P645" s="9">
        <v>1000</v>
      </c>
      <c r="Q645" s="13"/>
      <c r="R645" s="13"/>
      <c r="S645" s="9" t="s">
        <v>2835</v>
      </c>
      <c r="T645" s="9" t="s">
        <v>648</v>
      </c>
      <c r="U645" s="13"/>
      <c r="V645" s="9" t="s">
        <v>30</v>
      </c>
      <c r="W645" s="13"/>
      <c r="X645" s="9">
        <v>2</v>
      </c>
    </row>
    <row r="646" spans="1:24">
      <c r="A646" s="13"/>
      <c r="B646" s="9" t="s">
        <v>2836</v>
      </c>
      <c r="C646" s="9" t="str">
        <f>VLOOKUP(B646,[1]RXNS!$B:$C,1,)</f>
        <v>NDPK5</v>
      </c>
      <c r="D646" s="9" t="b">
        <f t="shared" si="40"/>
        <v>1</v>
      </c>
      <c r="E646" s="9" t="s">
        <v>2837</v>
      </c>
      <c r="F646" s="9" t="s">
        <v>2837</v>
      </c>
      <c r="G646" s="9" t="b">
        <f t="shared" si="41"/>
        <v>1</v>
      </c>
      <c r="H646" s="9" t="str">
        <f>VLOOKUP(B646,[1]RXNS!$B:$D,3,FALSE)</f>
        <v>ATP[c] + dGDP[c] &lt;=&gt; ADP[c] + dGTP[c]</v>
      </c>
      <c r="I646" s="9" t="s">
        <v>2820</v>
      </c>
      <c r="J646" s="9" t="s">
        <v>2838</v>
      </c>
      <c r="K646" s="9" t="s">
        <v>2820</v>
      </c>
      <c r="L646" s="9" t="b">
        <f t="shared" si="42"/>
        <v>0</v>
      </c>
      <c r="M646" s="9" t="b">
        <f t="shared" si="43"/>
        <v>1</v>
      </c>
      <c r="N646" s="9" t="s">
        <v>2822</v>
      </c>
      <c r="O646" s="9">
        <v>0</v>
      </c>
      <c r="P646" s="9">
        <v>1000</v>
      </c>
      <c r="Q646" s="13"/>
      <c r="R646" s="13"/>
      <c r="S646" s="9" t="s">
        <v>2839</v>
      </c>
      <c r="T646" s="9" t="s">
        <v>153</v>
      </c>
      <c r="U646" s="13"/>
      <c r="V646" s="9" t="s">
        <v>30</v>
      </c>
      <c r="W646" s="13"/>
      <c r="X646" s="9">
        <v>2</v>
      </c>
    </row>
    <row r="647" spans="1:24">
      <c r="A647" s="13"/>
      <c r="B647" s="9" t="s">
        <v>2840</v>
      </c>
      <c r="C647" s="9" t="str">
        <f>VLOOKUP(B647,[1]RXNS!$B:$C,1,)</f>
        <v>NDPK6</v>
      </c>
      <c r="D647" s="9" t="b">
        <f t="shared" si="40"/>
        <v>1</v>
      </c>
      <c r="E647" s="9" t="s">
        <v>2841</v>
      </c>
      <c r="F647" s="9" t="s">
        <v>2841</v>
      </c>
      <c r="G647" s="9" t="b">
        <f t="shared" si="41"/>
        <v>1</v>
      </c>
      <c r="H647" s="9" t="str">
        <f>VLOOKUP(B647,[1]RXNS!$B:$D,3,FALSE)</f>
        <v>ATP[c] + dUDP[c] &lt;=&gt; ADP[c] + dUTP[c]</v>
      </c>
      <c r="I647" s="9" t="s">
        <v>2820</v>
      </c>
      <c r="J647" s="9" t="s">
        <v>2842</v>
      </c>
      <c r="K647" s="9" t="s">
        <v>2820</v>
      </c>
      <c r="L647" s="9" t="b">
        <f t="shared" si="42"/>
        <v>0</v>
      </c>
      <c r="M647" s="9" t="b">
        <f t="shared" si="43"/>
        <v>1</v>
      </c>
      <c r="N647" s="9" t="s">
        <v>2822</v>
      </c>
      <c r="O647" s="9">
        <v>0</v>
      </c>
      <c r="P647" s="9">
        <v>1000</v>
      </c>
      <c r="Q647" s="13"/>
      <c r="R647" s="13"/>
      <c r="S647" s="9" t="s">
        <v>2843</v>
      </c>
      <c r="T647" s="9" t="s">
        <v>648</v>
      </c>
      <c r="U647" s="13"/>
      <c r="V647" s="9" t="s">
        <v>30</v>
      </c>
      <c r="W647" s="13"/>
      <c r="X647" s="9">
        <v>2</v>
      </c>
    </row>
    <row r="648" spans="1:24">
      <c r="A648" s="13"/>
      <c r="B648" s="9" t="s">
        <v>2844</v>
      </c>
      <c r="C648" s="9" t="str">
        <f>VLOOKUP(B648,[1]RXNS!$B:$C,1,)</f>
        <v>NDPK7</v>
      </c>
      <c r="D648" s="9" t="b">
        <f t="shared" si="40"/>
        <v>1</v>
      </c>
      <c r="E648" s="9" t="s">
        <v>2845</v>
      </c>
      <c r="F648" s="9" t="s">
        <v>2845</v>
      </c>
      <c r="G648" s="9" t="b">
        <f t="shared" si="41"/>
        <v>1</v>
      </c>
      <c r="H648" s="9" t="str">
        <f>VLOOKUP(B648,[1]RXNS!$B:$D,3,FALSE)</f>
        <v>ATP[c] + dCDP[c] &lt;=&gt; ADP[c] + dCTP[c]</v>
      </c>
      <c r="I648" s="9" t="s">
        <v>2820</v>
      </c>
      <c r="J648" s="9" t="s">
        <v>2846</v>
      </c>
      <c r="K648" s="9" t="s">
        <v>2820</v>
      </c>
      <c r="L648" s="9" t="b">
        <f t="shared" si="42"/>
        <v>0</v>
      </c>
      <c r="M648" s="9" t="b">
        <f t="shared" si="43"/>
        <v>1</v>
      </c>
      <c r="N648" s="9" t="s">
        <v>2822</v>
      </c>
      <c r="O648" s="9">
        <v>0</v>
      </c>
      <c r="P648" s="9">
        <v>1000</v>
      </c>
      <c r="Q648" s="13"/>
      <c r="R648" s="13"/>
      <c r="S648" s="9" t="s">
        <v>2847</v>
      </c>
      <c r="T648" s="9" t="s">
        <v>648</v>
      </c>
      <c r="U648" s="13"/>
      <c r="V648" s="9" t="s">
        <v>30</v>
      </c>
      <c r="W648" s="13"/>
      <c r="X648" s="9">
        <v>2</v>
      </c>
    </row>
    <row r="649" spans="1:24">
      <c r="A649" s="13"/>
      <c r="B649" s="9" t="s">
        <v>2848</v>
      </c>
      <c r="C649" s="9" t="str">
        <f>VLOOKUP(B649,[1]RXNS!$B:$C,1,)</f>
        <v>NDPK8</v>
      </c>
      <c r="D649" s="9" t="b">
        <f t="shared" si="40"/>
        <v>1</v>
      </c>
      <c r="E649" s="9" t="s">
        <v>2849</v>
      </c>
      <c r="F649" s="9" t="s">
        <v>2849</v>
      </c>
      <c r="G649" s="9" t="b">
        <f t="shared" si="41"/>
        <v>1</v>
      </c>
      <c r="H649" s="9" t="str">
        <f>VLOOKUP(B649,[1]RXNS!$B:$D,3,FALSE)</f>
        <v>ATP[c] + dADP[c] &lt;=&gt; ADP[c] + dATP[c]</v>
      </c>
      <c r="I649" s="9" t="s">
        <v>2820</v>
      </c>
      <c r="J649" s="9" t="s">
        <v>2850</v>
      </c>
      <c r="K649" s="9" t="s">
        <v>2820</v>
      </c>
      <c r="L649" s="9" t="b">
        <f t="shared" si="42"/>
        <v>0</v>
      </c>
      <c r="M649" s="9" t="b">
        <f t="shared" si="43"/>
        <v>1</v>
      </c>
      <c r="N649" s="9" t="s">
        <v>2822</v>
      </c>
      <c r="O649" s="9">
        <v>0</v>
      </c>
      <c r="P649" s="9">
        <v>1000</v>
      </c>
      <c r="Q649" s="13"/>
      <c r="R649" s="13"/>
      <c r="S649" s="9" t="s">
        <v>2851</v>
      </c>
      <c r="T649" s="9" t="s">
        <v>153</v>
      </c>
      <c r="U649" s="13"/>
      <c r="V649" s="9" t="s">
        <v>30</v>
      </c>
      <c r="W649" s="13"/>
      <c r="X649" s="9">
        <v>2</v>
      </c>
    </row>
    <row r="650" spans="1:24">
      <c r="A650" s="13"/>
      <c r="B650" s="9" t="s">
        <v>2852</v>
      </c>
      <c r="C650" s="9" t="str">
        <f>VLOOKUP(B650,[1]RXNS!$B:$C,1,)</f>
        <v>NDPK9</v>
      </c>
      <c r="D650" s="9" t="b">
        <f t="shared" si="40"/>
        <v>1</v>
      </c>
      <c r="E650" s="9" t="s">
        <v>2853</v>
      </c>
      <c r="F650" s="9" t="s">
        <v>2853</v>
      </c>
      <c r="G650" s="9" t="b">
        <f t="shared" si="41"/>
        <v>1</v>
      </c>
      <c r="H650" s="9" t="str">
        <f>VLOOKUP(B650,[1]RXNS!$B:$D,3,FALSE)</f>
        <v>ATP[c] + IDP[c] &lt;=&gt; ADP[c] + ITP[c]</v>
      </c>
      <c r="I650" s="9" t="s">
        <v>2820</v>
      </c>
      <c r="J650" s="9" t="s">
        <v>2854</v>
      </c>
      <c r="K650" s="9" t="s">
        <v>2820</v>
      </c>
      <c r="L650" s="9" t="b">
        <f t="shared" si="42"/>
        <v>0</v>
      </c>
      <c r="M650" s="9" t="b">
        <f t="shared" si="43"/>
        <v>1</v>
      </c>
      <c r="N650" s="9" t="s">
        <v>2822</v>
      </c>
      <c r="O650" s="9">
        <v>0</v>
      </c>
      <c r="P650" s="9">
        <v>1000</v>
      </c>
      <c r="Q650" s="13"/>
      <c r="R650" s="13"/>
      <c r="S650" s="9" t="s">
        <v>2855</v>
      </c>
      <c r="T650" s="9" t="s">
        <v>153</v>
      </c>
      <c r="U650" s="13"/>
      <c r="V650" s="9" t="s">
        <v>30</v>
      </c>
      <c r="W650" s="13"/>
      <c r="X650" s="9">
        <v>2</v>
      </c>
    </row>
    <row r="651" spans="1:24">
      <c r="A651" s="13"/>
      <c r="B651" s="9" t="s">
        <v>2856</v>
      </c>
      <c r="C651" s="9" t="str">
        <f>VLOOKUP(B651,[1]RXNS!$B:$C,1,)</f>
        <v>NH3t</v>
      </c>
      <c r="D651" s="9" t="b">
        <f t="shared" si="40"/>
        <v>1</v>
      </c>
      <c r="E651" s="9" t="s">
        <v>2857</v>
      </c>
      <c r="F651" s="9" t="s">
        <v>2857</v>
      </c>
      <c r="G651" s="9" t="b">
        <f t="shared" si="41"/>
        <v>1</v>
      </c>
      <c r="H651" s="9" t="str">
        <f>VLOOKUP(B651,[1]RXNS!$B:$D,3,FALSE)</f>
        <v>Ammonia[e] &lt;=&gt; Ammonia[c]</v>
      </c>
      <c r="I651" s="9">
        <f>VLOOKUP(B651,[1]RXNS!$B:$E,4,FALSE)</f>
        <v>0</v>
      </c>
      <c r="J651" s="9" t="s">
        <v>2858</v>
      </c>
      <c r="K651" s="13"/>
      <c r="L651" s="9" t="b">
        <f t="shared" si="42"/>
        <v>1</v>
      </c>
      <c r="M651" s="9" t="b">
        <f t="shared" si="43"/>
        <v>0</v>
      </c>
      <c r="N651" s="13"/>
      <c r="O651" s="9">
        <v>-1000</v>
      </c>
      <c r="P651" s="9">
        <v>1000</v>
      </c>
      <c r="Q651" s="13"/>
      <c r="R651" s="13"/>
      <c r="S651" s="13"/>
      <c r="T651" s="9" t="s">
        <v>146</v>
      </c>
      <c r="U651" s="13"/>
      <c r="V651" s="9" t="s">
        <v>35</v>
      </c>
      <c r="W651" s="13"/>
      <c r="X651" s="9">
        <v>2</v>
      </c>
    </row>
    <row r="652" spans="1:24">
      <c r="A652" s="13"/>
      <c r="B652" s="9" t="s">
        <v>2859</v>
      </c>
      <c r="C652" s="9" t="str">
        <f>VLOOKUP(B652,[1]RXNS!$B:$C,1,)</f>
        <v>NH4DIS</v>
      </c>
      <c r="D652" s="9" t="b">
        <f t="shared" si="40"/>
        <v>1</v>
      </c>
      <c r="E652" s="9" t="s">
        <v>2860</v>
      </c>
      <c r="F652" s="9" t="s">
        <v>2860</v>
      </c>
      <c r="G652" s="9" t="b">
        <f t="shared" si="41"/>
        <v>1</v>
      </c>
      <c r="H652" s="9" t="str">
        <f>VLOOKUP(B652,[1]RXNS!$B:$D,3,FALSE)</f>
        <v>Ammonium[c] &lt;=&gt; H+[c] + Ammonia[c]</v>
      </c>
      <c r="I652" s="9">
        <f>VLOOKUP(B652,[1]RXNS!$B:$E,4,FALSE)</f>
        <v>0</v>
      </c>
      <c r="J652" s="9" t="s">
        <v>2861</v>
      </c>
      <c r="K652" s="13"/>
      <c r="L652" s="9" t="b">
        <f t="shared" si="42"/>
        <v>1</v>
      </c>
      <c r="M652" s="9" t="b">
        <f t="shared" si="43"/>
        <v>0</v>
      </c>
      <c r="N652" s="13"/>
      <c r="O652" s="9">
        <v>-1000</v>
      </c>
      <c r="P652" s="9">
        <v>1000</v>
      </c>
      <c r="Q652" s="13"/>
      <c r="R652" s="13"/>
      <c r="S652" s="13"/>
      <c r="T652" s="9" t="s">
        <v>146</v>
      </c>
      <c r="U652" s="13"/>
      <c r="V652" s="9" t="s">
        <v>35</v>
      </c>
      <c r="W652" s="13"/>
      <c r="X652" s="9">
        <v>2</v>
      </c>
    </row>
    <row r="653" spans="1:24">
      <c r="A653" s="13"/>
      <c r="B653" s="9" t="s">
        <v>2862</v>
      </c>
      <c r="C653" s="9" t="str">
        <f>VLOOKUP(B653,[1]RXNS!$B:$C,1,)</f>
        <v>NNAM</v>
      </c>
      <c r="D653" s="9" t="b">
        <f t="shared" si="40"/>
        <v>1</v>
      </c>
      <c r="E653" s="9" t="s">
        <v>2863</v>
      </c>
      <c r="F653" s="9" t="s">
        <v>2863</v>
      </c>
      <c r="G653" s="9" t="b">
        <f t="shared" si="41"/>
        <v>1</v>
      </c>
      <c r="H653" s="9" t="str">
        <f>VLOOKUP(B653,[1]RXNS!$B:$D,3,FALSE)</f>
        <v>H2O[c] + Nicotinamide[c] =&gt; Nicotinate[c] + Ammonium[c]</v>
      </c>
      <c r="I653" s="9" t="s">
        <v>2864</v>
      </c>
      <c r="J653" s="9" t="s">
        <v>2865</v>
      </c>
      <c r="K653" s="9" t="s">
        <v>2864</v>
      </c>
      <c r="L653" s="9" t="b">
        <f t="shared" si="42"/>
        <v>1</v>
      </c>
      <c r="M653" s="9" t="b">
        <f t="shared" si="43"/>
        <v>1</v>
      </c>
      <c r="N653" s="9" t="s">
        <v>2866</v>
      </c>
      <c r="O653" s="9">
        <v>0</v>
      </c>
      <c r="P653" s="9">
        <v>1000</v>
      </c>
      <c r="Q653" s="13"/>
      <c r="R653" s="13"/>
      <c r="S653" s="9" t="s">
        <v>2867</v>
      </c>
      <c r="T653" s="9" t="s">
        <v>2793</v>
      </c>
      <c r="U653" s="13"/>
      <c r="V653" s="9" t="s">
        <v>30</v>
      </c>
      <c r="W653" s="13"/>
      <c r="X653" s="9">
        <v>2</v>
      </c>
    </row>
    <row r="654" spans="1:24">
      <c r="A654" s="13"/>
      <c r="B654" s="9" t="s">
        <v>2868</v>
      </c>
      <c r="C654" s="9" t="str">
        <f>VLOOKUP(B654,[1]RXNS!$B:$C,1,)</f>
        <v>NNATr</v>
      </c>
      <c r="D654" s="9" t="b">
        <f t="shared" si="40"/>
        <v>1</v>
      </c>
      <c r="E654" s="9" t="s">
        <v>2869</v>
      </c>
      <c r="F654" s="9" t="s">
        <v>2869</v>
      </c>
      <c r="G654" s="9" t="b">
        <f t="shared" si="41"/>
        <v>1</v>
      </c>
      <c r="H654" s="9" t="str">
        <f>VLOOKUP(B654,[1]RXNS!$B:$D,3,FALSE)</f>
        <v>ATP[c] + H+[c] + Nicotinate D-ribonucleotide[c] &lt;=&gt; Deamino-NAD+[c] + Diphosphate[c]</v>
      </c>
      <c r="I654" s="9" t="s">
        <v>2229</v>
      </c>
      <c r="J654" s="9" t="s">
        <v>2870</v>
      </c>
      <c r="K654" s="9" t="s">
        <v>2229</v>
      </c>
      <c r="L654" s="9" t="b">
        <f t="shared" si="42"/>
        <v>1</v>
      </c>
      <c r="M654" s="9" t="b">
        <f t="shared" si="43"/>
        <v>1</v>
      </c>
      <c r="N654" s="9" t="s">
        <v>2871</v>
      </c>
      <c r="O654" s="9">
        <v>-1000</v>
      </c>
      <c r="P654" s="9">
        <v>1000</v>
      </c>
      <c r="Q654" s="13"/>
      <c r="R654" s="13"/>
      <c r="S654" s="9" t="s">
        <v>2872</v>
      </c>
      <c r="T654" s="9" t="s">
        <v>2793</v>
      </c>
      <c r="U654" s="13"/>
      <c r="V654" s="9" t="s">
        <v>30</v>
      </c>
      <c r="W654" s="13"/>
      <c r="X654" s="9">
        <v>2</v>
      </c>
    </row>
    <row r="655" spans="1:24">
      <c r="A655" s="13"/>
      <c r="B655" s="9" t="s">
        <v>2873</v>
      </c>
      <c r="C655" s="9" t="str">
        <f>VLOOKUP(B655,[1]RXNS!$B:$C,1,)</f>
        <v>NNDMBRT</v>
      </c>
      <c r="D655" s="9" t="b">
        <f t="shared" si="40"/>
        <v>1</v>
      </c>
      <c r="E655" s="9" t="s">
        <v>2874</v>
      </c>
      <c r="F655" s="9" t="s">
        <v>2874</v>
      </c>
      <c r="G655" s="9" t="b">
        <f t="shared" si="41"/>
        <v>1</v>
      </c>
      <c r="H655" s="9" t="str">
        <f>VLOOKUP(B655,[1]RXNS!$B:$D,3,FALSE)</f>
        <v>Adenine[c] + Nicotinate D-ribonucleotide[c] =&gt; H+[c] + Nicotinate[c] + adenine ribotide phosphate (7-(5-phospho-伪-D-ribosyl)adenine)[c]</v>
      </c>
      <c r="I655" s="9" t="s">
        <v>2875</v>
      </c>
      <c r="J655" s="9" t="s">
        <v>2876</v>
      </c>
      <c r="K655" s="9" t="s">
        <v>2875</v>
      </c>
      <c r="L655" s="9" t="b">
        <f t="shared" si="42"/>
        <v>0</v>
      </c>
      <c r="M655" s="9" t="b">
        <f t="shared" si="43"/>
        <v>1</v>
      </c>
      <c r="N655" s="13"/>
      <c r="O655" s="9">
        <v>0</v>
      </c>
      <c r="P655" s="9">
        <v>1000</v>
      </c>
      <c r="Q655" s="13"/>
      <c r="R655" s="13"/>
      <c r="S655" s="13"/>
      <c r="T655" s="9" t="s">
        <v>85</v>
      </c>
      <c r="U655" s="13"/>
      <c r="V655" s="9" t="s">
        <v>35</v>
      </c>
      <c r="W655" s="13"/>
      <c r="X655" s="9">
        <v>2</v>
      </c>
    </row>
    <row r="656" spans="1:24">
      <c r="A656" s="13"/>
      <c r="B656" s="9" t="s">
        <v>2877</v>
      </c>
      <c r="C656" s="9" t="str">
        <f>VLOOKUP(B656,[1]RXNS!$B:$C,1,)</f>
        <v>NOX1</v>
      </c>
      <c r="D656" s="9" t="b">
        <f t="shared" si="40"/>
        <v>1</v>
      </c>
      <c r="E656" s="9" t="s">
        <v>2878</v>
      </c>
      <c r="F656" s="9" t="s">
        <v>2878</v>
      </c>
      <c r="G656" s="9" t="b">
        <f t="shared" si="41"/>
        <v>1</v>
      </c>
      <c r="H656" s="9" t="str">
        <f>VLOOKUP(B656,[1]RXNS!$B:$D,3,FALSE)</f>
        <v>H+[c] + Nicotinamide adenine dinucleotide - reduced[c] + O2[c] =&gt; Hydrogen peroxide[c] + Nicotinamide adenine dinucleotide[c]</v>
      </c>
      <c r="I656" s="9" t="s">
        <v>2879</v>
      </c>
      <c r="J656" s="9" t="s">
        <v>2880</v>
      </c>
      <c r="K656" s="9" t="s">
        <v>2879</v>
      </c>
      <c r="L656" s="9" t="b">
        <f t="shared" si="42"/>
        <v>1</v>
      </c>
      <c r="M656" s="9" t="b">
        <f t="shared" si="43"/>
        <v>1</v>
      </c>
      <c r="N656" s="13"/>
      <c r="O656" s="9">
        <v>0</v>
      </c>
      <c r="P656" s="9">
        <v>1000</v>
      </c>
      <c r="Q656" s="13"/>
      <c r="R656" s="13"/>
      <c r="S656" s="13"/>
      <c r="T656" s="9" t="s">
        <v>520</v>
      </c>
      <c r="U656" s="13"/>
      <c r="V656" s="9" t="s">
        <v>35</v>
      </c>
      <c r="W656" s="13"/>
      <c r="X656" s="9">
        <v>2</v>
      </c>
    </row>
    <row r="657" spans="1:24">
      <c r="A657" s="13"/>
      <c r="B657" s="9" t="s">
        <v>2881</v>
      </c>
      <c r="C657" s="9" t="str">
        <f>VLOOKUP(B657,[1]RXNS!$B:$C,1,)</f>
        <v>NOX2</v>
      </c>
      <c r="D657" s="9" t="b">
        <f t="shared" si="40"/>
        <v>1</v>
      </c>
      <c r="E657" s="9" t="s">
        <v>2882</v>
      </c>
      <c r="F657" s="9" t="s">
        <v>2882</v>
      </c>
      <c r="G657" s="9" t="b">
        <f t="shared" si="41"/>
        <v>1</v>
      </c>
      <c r="H657" s="9" t="str">
        <f>VLOOKUP(B657,[1]RXNS!$B:$D,3,FALSE)</f>
        <v>2 H+[c] + 2 Nicotinamide adenine dinucleotide - reduced[c] + O2[c] =&gt; 2 H2O[c] + 2 Nicotinamide adenine dinucleotide[c]</v>
      </c>
      <c r="I657" s="9" t="s">
        <v>2883</v>
      </c>
      <c r="J657" s="9" t="s">
        <v>2884</v>
      </c>
      <c r="K657" s="9" t="s">
        <v>2883</v>
      </c>
      <c r="L657" s="9" t="b">
        <f t="shared" si="42"/>
        <v>1</v>
      </c>
      <c r="M657" s="9" t="b">
        <f t="shared" si="43"/>
        <v>1</v>
      </c>
      <c r="N657" s="13"/>
      <c r="O657" s="9">
        <v>0</v>
      </c>
      <c r="P657" s="9">
        <v>1000</v>
      </c>
      <c r="Q657" s="13"/>
      <c r="R657" s="13"/>
      <c r="S657" s="13"/>
      <c r="T657" s="9" t="s">
        <v>520</v>
      </c>
      <c r="U657" s="13"/>
      <c r="V657" s="9" t="s">
        <v>35</v>
      </c>
      <c r="W657" s="13"/>
      <c r="X657" s="9">
        <v>2</v>
      </c>
    </row>
    <row r="658" spans="1:24">
      <c r="A658" s="13"/>
      <c r="B658" s="9" t="s">
        <v>2885</v>
      </c>
      <c r="C658" s="9" t="str">
        <f>VLOOKUP(B658,[1]RXNS!$B:$C,1,)</f>
        <v>NPHS</v>
      </c>
      <c r="D658" s="9" t="b">
        <f t="shared" si="40"/>
        <v>1</v>
      </c>
      <c r="E658" s="9" t="s">
        <v>2886</v>
      </c>
      <c r="F658" s="9" t="s">
        <v>2886</v>
      </c>
      <c r="G658" s="9" t="b">
        <f t="shared" si="41"/>
        <v>1</v>
      </c>
      <c r="H658" s="9" t="str">
        <f>VLOOKUP(B658,[1]RXNS!$B:$D,3,FALSE)</f>
        <v>O-Succinylbenzoyl-CoA[c] =&gt; Coenzyme A[c] + 1,4-Dihydroxy-2-naphthoate[c]</v>
      </c>
      <c r="I658" s="9" t="s">
        <v>2887</v>
      </c>
      <c r="J658" s="9" t="s">
        <v>2888</v>
      </c>
      <c r="K658" s="9" t="s">
        <v>2887</v>
      </c>
      <c r="L658" s="9" t="b">
        <f t="shared" si="42"/>
        <v>1</v>
      </c>
      <c r="M658" s="9" t="b">
        <f t="shared" si="43"/>
        <v>1</v>
      </c>
      <c r="N658" s="9" t="s">
        <v>2889</v>
      </c>
      <c r="O658" s="9">
        <v>0</v>
      </c>
      <c r="P658" s="9">
        <v>1000</v>
      </c>
      <c r="Q658" s="13"/>
      <c r="R658" s="13"/>
      <c r="S658" s="9" t="s">
        <v>2890</v>
      </c>
      <c r="T658" s="9" t="s">
        <v>355</v>
      </c>
      <c r="U658" s="13"/>
      <c r="V658" s="9" t="s">
        <v>30</v>
      </c>
      <c r="W658" s="13"/>
      <c r="X658" s="9">
        <v>2</v>
      </c>
    </row>
    <row r="659" spans="1:24">
      <c r="A659" s="13"/>
      <c r="B659" s="9" t="s">
        <v>2891</v>
      </c>
      <c r="C659" s="9" t="e">
        <f>VLOOKUP(B659,[1]RXNS!$B:$C,1,)</f>
        <v>#N/A</v>
      </c>
      <c r="D659" s="9" t="e">
        <f t="shared" si="40"/>
        <v>#N/A</v>
      </c>
      <c r="E659" s="9" t="e">
        <v>#N/A</v>
      </c>
      <c r="F659" s="9" t="s">
        <v>2886</v>
      </c>
      <c r="G659" s="9" t="e">
        <f t="shared" si="41"/>
        <v>#N/A</v>
      </c>
      <c r="H659" s="9" t="e">
        <f>VLOOKUP(B659,[1]RXNS!$B:$D,3,FALSE)</f>
        <v>#N/A</v>
      </c>
      <c r="I659" s="9" t="s">
        <v>2887</v>
      </c>
      <c r="J659" s="9" t="s">
        <v>2892</v>
      </c>
      <c r="K659" s="9" t="s">
        <v>2887</v>
      </c>
      <c r="L659" s="9" t="e">
        <f t="shared" si="42"/>
        <v>#N/A</v>
      </c>
      <c r="M659" s="9" t="b">
        <f t="shared" si="43"/>
        <v>1</v>
      </c>
      <c r="N659" s="9" t="s">
        <v>2889</v>
      </c>
      <c r="O659" s="9">
        <v>0</v>
      </c>
      <c r="P659" s="9">
        <v>1000</v>
      </c>
      <c r="Q659" s="13"/>
      <c r="R659" s="13"/>
      <c r="S659" s="13"/>
      <c r="T659" s="9" t="s">
        <v>355</v>
      </c>
      <c r="U659" s="13"/>
      <c r="V659" s="9" t="s">
        <v>30</v>
      </c>
      <c r="W659" s="13"/>
      <c r="X659" s="9">
        <v>2</v>
      </c>
    </row>
    <row r="660" spans="1:24">
      <c r="A660" s="13"/>
      <c r="B660" s="9" t="s">
        <v>2893</v>
      </c>
      <c r="C660" s="9" t="str">
        <f>VLOOKUP(B660,[1]RXNS!$B:$C,1,)</f>
        <v>NTD1</v>
      </c>
      <c r="D660" s="9" t="b">
        <f t="shared" si="40"/>
        <v>1</v>
      </c>
      <c r="E660" s="9" t="s">
        <v>2894</v>
      </c>
      <c r="F660" s="9" t="s">
        <v>2894</v>
      </c>
      <c r="G660" s="9" t="b">
        <f t="shared" si="41"/>
        <v>1</v>
      </c>
      <c r="H660" s="9" t="str">
        <f>VLOOKUP(B660,[1]RXNS!$B:$D,3,FALSE)</f>
        <v>dUMP[c] + H2O[c] =&gt; Deoxyuridine[c] + Phosphate[c]</v>
      </c>
      <c r="I660" s="9" t="s">
        <v>2895</v>
      </c>
      <c r="J660" s="9" t="s">
        <v>2896</v>
      </c>
      <c r="K660" s="9" t="s">
        <v>2895</v>
      </c>
      <c r="L660" s="9" t="b">
        <f t="shared" si="42"/>
        <v>1</v>
      </c>
      <c r="M660" s="9" t="b">
        <f t="shared" si="43"/>
        <v>1</v>
      </c>
      <c r="N660" s="13"/>
      <c r="O660" s="9">
        <v>0</v>
      </c>
      <c r="P660" s="9">
        <v>1000</v>
      </c>
      <c r="Q660" s="13"/>
      <c r="R660" s="13"/>
      <c r="S660" s="13"/>
      <c r="T660" s="9" t="s">
        <v>648</v>
      </c>
      <c r="U660" s="13"/>
      <c r="V660" s="9" t="s">
        <v>35</v>
      </c>
      <c r="W660" s="13"/>
      <c r="X660" s="9">
        <v>2</v>
      </c>
    </row>
    <row r="661" spans="1:24">
      <c r="A661" s="13"/>
      <c r="B661" s="9" t="s">
        <v>2897</v>
      </c>
      <c r="C661" s="9" t="str">
        <f>VLOOKUP(B661,[1]RXNS!$B:$C,1,)</f>
        <v>NTD10</v>
      </c>
      <c r="D661" s="9" t="b">
        <f t="shared" si="40"/>
        <v>1</v>
      </c>
      <c r="E661" s="9" t="s">
        <v>2898</v>
      </c>
      <c r="F661" s="9" t="s">
        <v>2898</v>
      </c>
      <c r="G661" s="9" t="b">
        <f t="shared" si="41"/>
        <v>1</v>
      </c>
      <c r="H661" s="9" t="str">
        <f>VLOOKUP(B661,[1]RXNS!$B:$D,3,FALSE)</f>
        <v>H2O[c] + Xanthosine 5'-phosphate[c] =&gt; Phosphate[c] + Xanthosine[c]</v>
      </c>
      <c r="I661" s="9" t="s">
        <v>2899</v>
      </c>
      <c r="J661" s="9" t="s">
        <v>2900</v>
      </c>
      <c r="K661" s="9" t="s">
        <v>2899</v>
      </c>
      <c r="L661" s="9" t="b">
        <f t="shared" si="42"/>
        <v>1</v>
      </c>
      <c r="M661" s="9" t="b">
        <f t="shared" si="43"/>
        <v>1</v>
      </c>
      <c r="N661" s="13"/>
      <c r="O661" s="9">
        <v>0</v>
      </c>
      <c r="P661" s="9">
        <v>1000</v>
      </c>
      <c r="Q661" s="13"/>
      <c r="R661" s="13"/>
      <c r="S661" s="13"/>
      <c r="T661" s="9" t="s">
        <v>153</v>
      </c>
      <c r="U661" s="13"/>
      <c r="V661" s="9" t="s">
        <v>35</v>
      </c>
      <c r="W661" s="13"/>
      <c r="X661" s="9">
        <v>2</v>
      </c>
    </row>
    <row r="662" spans="1:24">
      <c r="A662" s="13"/>
      <c r="B662" s="9" t="s">
        <v>2901</v>
      </c>
      <c r="C662" s="9" t="str">
        <f>VLOOKUP(B662,[1]RXNS!$B:$C,1,)</f>
        <v>NTD11</v>
      </c>
      <c r="D662" s="9" t="b">
        <f t="shared" si="40"/>
        <v>1</v>
      </c>
      <c r="E662" s="9" t="s">
        <v>2902</v>
      </c>
      <c r="F662" s="9" t="s">
        <v>2902</v>
      </c>
      <c r="G662" s="9" t="b">
        <f t="shared" si="41"/>
        <v>1</v>
      </c>
      <c r="H662" s="9" t="str">
        <f>VLOOKUP(B662,[1]RXNS!$B:$D,3,FALSE)</f>
        <v>H2O[c] + IMP[c] =&gt; Inosine[c] + Phosphate[c]</v>
      </c>
      <c r="I662" s="9" t="s">
        <v>2903</v>
      </c>
      <c r="J662" s="9" t="s">
        <v>2904</v>
      </c>
      <c r="K662" s="9" t="s">
        <v>2903</v>
      </c>
      <c r="L662" s="9" t="b">
        <f t="shared" si="42"/>
        <v>1</v>
      </c>
      <c r="M662" s="9" t="b">
        <f t="shared" si="43"/>
        <v>1</v>
      </c>
      <c r="N662" s="13"/>
      <c r="O662" s="9">
        <v>0</v>
      </c>
      <c r="P662" s="9">
        <v>1000</v>
      </c>
      <c r="Q662" s="13"/>
      <c r="R662" s="13"/>
      <c r="S662" s="13"/>
      <c r="T662" s="9" t="s">
        <v>153</v>
      </c>
      <c r="U662" s="13"/>
      <c r="V662" s="9" t="s">
        <v>35</v>
      </c>
      <c r="W662" s="13"/>
      <c r="X662" s="9">
        <v>2</v>
      </c>
    </row>
    <row r="663" spans="1:24">
      <c r="A663" s="13"/>
      <c r="B663" s="9" t="s">
        <v>2905</v>
      </c>
      <c r="C663" s="9" t="str">
        <f>VLOOKUP(B663,[1]RXNS!$B:$C,1,)</f>
        <v>NTD2</v>
      </c>
      <c r="D663" s="9" t="b">
        <f t="shared" si="40"/>
        <v>1</v>
      </c>
      <c r="E663" s="9" t="s">
        <v>2906</v>
      </c>
      <c r="F663" s="9" t="s">
        <v>2906</v>
      </c>
      <c r="G663" s="9" t="b">
        <f t="shared" si="41"/>
        <v>1</v>
      </c>
      <c r="H663" s="9" t="str">
        <f>VLOOKUP(B663,[1]RXNS!$B:$D,3,FALSE)</f>
        <v>H2O[c] + UMP[c] =&gt; Phosphate[c] + Uridine[c]</v>
      </c>
      <c r="I663" s="9" t="s">
        <v>2899</v>
      </c>
      <c r="J663" s="9" t="s">
        <v>2907</v>
      </c>
      <c r="K663" s="9" t="s">
        <v>2899</v>
      </c>
      <c r="L663" s="9" t="b">
        <f t="shared" si="42"/>
        <v>1</v>
      </c>
      <c r="M663" s="9" t="b">
        <f t="shared" si="43"/>
        <v>1</v>
      </c>
      <c r="N663" s="13"/>
      <c r="O663" s="9">
        <v>0</v>
      </c>
      <c r="P663" s="9">
        <v>1000</v>
      </c>
      <c r="Q663" s="13"/>
      <c r="R663" s="13"/>
      <c r="S663" s="13"/>
      <c r="T663" s="9" t="s">
        <v>648</v>
      </c>
      <c r="U663" s="13"/>
      <c r="V663" s="9" t="s">
        <v>35</v>
      </c>
      <c r="W663" s="13"/>
      <c r="X663" s="9">
        <v>2</v>
      </c>
    </row>
    <row r="664" spans="1:24">
      <c r="A664" s="13"/>
      <c r="B664" s="9" t="s">
        <v>2908</v>
      </c>
      <c r="C664" s="9" t="str">
        <f>VLOOKUP(B664,[1]RXNS!$B:$C,1,)</f>
        <v>NTD3</v>
      </c>
      <c r="D664" s="9" t="b">
        <f t="shared" si="40"/>
        <v>1</v>
      </c>
      <c r="E664" s="9" t="s">
        <v>2909</v>
      </c>
      <c r="F664" s="9" t="s">
        <v>2909</v>
      </c>
      <c r="G664" s="9" t="b">
        <f t="shared" si="41"/>
        <v>1</v>
      </c>
      <c r="H664" s="9" t="str">
        <f>VLOOKUP(B664,[1]RXNS!$B:$D,3,FALSE)</f>
        <v>dCMP[c] + H2O[c] =&gt; Deoxycytidine[c] + Phosphate[c]</v>
      </c>
      <c r="I664" s="9" t="s">
        <v>2895</v>
      </c>
      <c r="J664" s="9" t="s">
        <v>2910</v>
      </c>
      <c r="K664" s="9" t="s">
        <v>2895</v>
      </c>
      <c r="L664" s="9" t="b">
        <f t="shared" si="42"/>
        <v>1</v>
      </c>
      <c r="M664" s="9" t="b">
        <f t="shared" si="43"/>
        <v>1</v>
      </c>
      <c r="N664" s="13"/>
      <c r="O664" s="9">
        <v>0</v>
      </c>
      <c r="P664" s="9">
        <v>1000</v>
      </c>
      <c r="Q664" s="13"/>
      <c r="R664" s="13"/>
      <c r="S664" s="13"/>
      <c r="T664" s="9" t="s">
        <v>648</v>
      </c>
      <c r="U664" s="13"/>
      <c r="V664" s="9" t="s">
        <v>35</v>
      </c>
      <c r="W664" s="13"/>
      <c r="X664" s="9">
        <v>2</v>
      </c>
    </row>
    <row r="665" spans="1:24">
      <c r="A665" s="13"/>
      <c r="B665" s="9" t="s">
        <v>2911</v>
      </c>
      <c r="C665" s="9" t="str">
        <f>VLOOKUP(B665,[1]RXNS!$B:$C,1,)</f>
        <v>NTD4</v>
      </c>
      <c r="D665" s="9" t="b">
        <f t="shared" si="40"/>
        <v>1</v>
      </c>
      <c r="E665" s="9" t="s">
        <v>2912</v>
      </c>
      <c r="F665" s="9" t="s">
        <v>2912</v>
      </c>
      <c r="G665" s="9" t="b">
        <f t="shared" si="41"/>
        <v>1</v>
      </c>
      <c r="H665" s="9" t="str">
        <f>VLOOKUP(B665,[1]RXNS!$B:$D,3,FALSE)</f>
        <v>CMP[c] + H2O[c] =&gt; Cytidine[c] + Phosphate[c]</v>
      </c>
      <c r="I665" s="9" t="s">
        <v>2913</v>
      </c>
      <c r="J665" s="9" t="s">
        <v>2914</v>
      </c>
      <c r="K665" s="9" t="s">
        <v>2913</v>
      </c>
      <c r="L665" s="9" t="b">
        <f t="shared" si="42"/>
        <v>1</v>
      </c>
      <c r="M665" s="9" t="b">
        <f t="shared" si="43"/>
        <v>1</v>
      </c>
      <c r="N665" s="13"/>
      <c r="O665" s="9">
        <v>0</v>
      </c>
      <c r="P665" s="9">
        <v>1000</v>
      </c>
      <c r="Q665" s="13"/>
      <c r="R665" s="13"/>
      <c r="S665" s="13"/>
      <c r="T665" s="9" t="s">
        <v>648</v>
      </c>
      <c r="U665" s="13"/>
      <c r="V665" s="9" t="s">
        <v>35</v>
      </c>
      <c r="W665" s="13"/>
      <c r="X665" s="9">
        <v>2</v>
      </c>
    </row>
    <row r="666" spans="1:24">
      <c r="A666" s="13"/>
      <c r="B666" s="9" t="s">
        <v>2915</v>
      </c>
      <c r="C666" s="9" t="str">
        <f>VLOOKUP(B666,[1]RXNS!$B:$C,1,)</f>
        <v>NTD5</v>
      </c>
      <c r="D666" s="9" t="b">
        <f t="shared" si="40"/>
        <v>1</v>
      </c>
      <c r="E666" s="9" t="s">
        <v>2916</v>
      </c>
      <c r="F666" s="9" t="s">
        <v>2916</v>
      </c>
      <c r="G666" s="9" t="b">
        <f t="shared" si="41"/>
        <v>1</v>
      </c>
      <c r="H666" s="9" t="str">
        <f>VLOOKUP(B666,[1]RXNS!$B:$D,3,FALSE)</f>
        <v>dTMP[c] + H2O[c] =&gt; Phosphate[c] + Thymidine[c]</v>
      </c>
      <c r="I666" s="9" t="s">
        <v>2917</v>
      </c>
      <c r="J666" s="9" t="s">
        <v>2918</v>
      </c>
      <c r="K666" s="9" t="s">
        <v>2917</v>
      </c>
      <c r="L666" s="9" t="b">
        <f t="shared" si="42"/>
        <v>1</v>
      </c>
      <c r="M666" s="9" t="b">
        <f t="shared" si="43"/>
        <v>1</v>
      </c>
      <c r="N666" s="13"/>
      <c r="O666" s="9">
        <v>0</v>
      </c>
      <c r="P666" s="9">
        <v>1000</v>
      </c>
      <c r="Q666" s="13"/>
      <c r="R666" s="13"/>
      <c r="S666" s="13"/>
      <c r="T666" s="9" t="s">
        <v>648</v>
      </c>
      <c r="U666" s="13"/>
      <c r="V666" s="9" t="s">
        <v>35</v>
      </c>
      <c r="W666" s="13"/>
      <c r="X666" s="9">
        <v>2</v>
      </c>
    </row>
    <row r="667" spans="1:24">
      <c r="A667" s="13"/>
      <c r="B667" s="9" t="s">
        <v>2919</v>
      </c>
      <c r="C667" s="9" t="str">
        <f>VLOOKUP(B667,[1]RXNS!$B:$C,1,)</f>
        <v>NTD6</v>
      </c>
      <c r="D667" s="9" t="b">
        <f t="shared" si="40"/>
        <v>1</v>
      </c>
      <c r="E667" s="9" t="s">
        <v>2920</v>
      </c>
      <c r="F667" s="9" t="s">
        <v>2920</v>
      </c>
      <c r="G667" s="9" t="b">
        <f t="shared" si="41"/>
        <v>1</v>
      </c>
      <c r="H667" s="9" t="str">
        <f>VLOOKUP(B667,[1]RXNS!$B:$D,3,FALSE)</f>
        <v>dAMP[c] + H2O[c] =&gt; Deoxyadenosine[c] + Phosphate[c]</v>
      </c>
      <c r="I667" s="9" t="s">
        <v>2895</v>
      </c>
      <c r="J667" s="9" t="s">
        <v>2921</v>
      </c>
      <c r="K667" s="9" t="s">
        <v>2895</v>
      </c>
      <c r="L667" s="9" t="b">
        <f t="shared" si="42"/>
        <v>1</v>
      </c>
      <c r="M667" s="9" t="b">
        <f t="shared" si="43"/>
        <v>1</v>
      </c>
      <c r="N667" s="13"/>
      <c r="O667" s="9">
        <v>0</v>
      </c>
      <c r="P667" s="9">
        <v>1000</v>
      </c>
      <c r="Q667" s="13"/>
      <c r="R667" s="13"/>
      <c r="S667" s="13"/>
      <c r="T667" s="9" t="s">
        <v>153</v>
      </c>
      <c r="U667" s="13"/>
      <c r="V667" s="9" t="s">
        <v>35</v>
      </c>
      <c r="W667" s="13"/>
      <c r="X667" s="9">
        <v>2</v>
      </c>
    </row>
    <row r="668" spans="1:24">
      <c r="A668" s="13"/>
      <c r="B668" s="9" t="s">
        <v>2922</v>
      </c>
      <c r="C668" s="9" t="str">
        <f>VLOOKUP(B668,[1]RXNS!$B:$C,1,)</f>
        <v>NTD7</v>
      </c>
      <c r="D668" s="9" t="b">
        <f t="shared" si="40"/>
        <v>1</v>
      </c>
      <c r="E668" s="9" t="s">
        <v>2923</v>
      </c>
      <c r="F668" s="9" t="s">
        <v>2923</v>
      </c>
      <c r="G668" s="9" t="b">
        <f t="shared" si="41"/>
        <v>1</v>
      </c>
      <c r="H668" s="9" t="str">
        <f>VLOOKUP(B668,[1]RXNS!$B:$D,3,FALSE)</f>
        <v>AMP[c] + H2O[c] =&gt; Adenosine[c] + Phosphate[c]</v>
      </c>
      <c r="I668" s="9" t="s">
        <v>2899</v>
      </c>
      <c r="J668" s="9" t="s">
        <v>2924</v>
      </c>
      <c r="K668" s="9" t="s">
        <v>2899</v>
      </c>
      <c r="L668" s="9" t="b">
        <f t="shared" si="42"/>
        <v>1</v>
      </c>
      <c r="M668" s="9" t="b">
        <f t="shared" si="43"/>
        <v>1</v>
      </c>
      <c r="N668" s="13"/>
      <c r="O668" s="9">
        <v>0</v>
      </c>
      <c r="P668" s="9">
        <v>1000</v>
      </c>
      <c r="Q668" s="13"/>
      <c r="R668" s="13"/>
      <c r="S668" s="13"/>
      <c r="T668" s="9" t="s">
        <v>153</v>
      </c>
      <c r="U668" s="13"/>
      <c r="V668" s="9" t="s">
        <v>35</v>
      </c>
      <c r="W668" s="13"/>
      <c r="X668" s="9">
        <v>2</v>
      </c>
    </row>
    <row r="669" spans="1:24">
      <c r="A669" s="13"/>
      <c r="B669" s="9" t="s">
        <v>2925</v>
      </c>
      <c r="C669" s="9" t="str">
        <f>VLOOKUP(B669,[1]RXNS!$B:$C,1,)</f>
        <v>NTD8</v>
      </c>
      <c r="D669" s="9" t="b">
        <f t="shared" si="40"/>
        <v>1</v>
      </c>
      <c r="E669" s="9" t="s">
        <v>2926</v>
      </c>
      <c r="F669" s="9" t="s">
        <v>2926</v>
      </c>
      <c r="G669" s="9" t="b">
        <f t="shared" si="41"/>
        <v>1</v>
      </c>
      <c r="H669" s="9" t="str">
        <f>VLOOKUP(B669,[1]RXNS!$B:$D,3,FALSE)</f>
        <v>dGMP[c] + H2O[c] =&gt; Deoxyguanosine[c] + Phosphate[c]</v>
      </c>
      <c r="I669" s="9" t="s">
        <v>2895</v>
      </c>
      <c r="J669" s="9" t="s">
        <v>2927</v>
      </c>
      <c r="K669" s="9" t="s">
        <v>2895</v>
      </c>
      <c r="L669" s="9" t="b">
        <f t="shared" si="42"/>
        <v>1</v>
      </c>
      <c r="M669" s="9" t="b">
        <f t="shared" si="43"/>
        <v>1</v>
      </c>
      <c r="N669" s="13"/>
      <c r="O669" s="9">
        <v>0</v>
      </c>
      <c r="P669" s="9">
        <v>1000</v>
      </c>
      <c r="Q669" s="13"/>
      <c r="R669" s="13"/>
      <c r="S669" s="13"/>
      <c r="T669" s="9" t="s">
        <v>153</v>
      </c>
      <c r="U669" s="13"/>
      <c r="V669" s="9" t="s">
        <v>35</v>
      </c>
      <c r="W669" s="13"/>
      <c r="X669" s="9">
        <v>2</v>
      </c>
    </row>
    <row r="670" spans="1:24">
      <c r="A670" s="13"/>
      <c r="B670" s="9" t="s">
        <v>2928</v>
      </c>
      <c r="C670" s="9" t="str">
        <f>VLOOKUP(B670,[1]RXNS!$B:$C,1,)</f>
        <v>NTD9</v>
      </c>
      <c r="D670" s="9" t="b">
        <f t="shared" si="40"/>
        <v>1</v>
      </c>
      <c r="E670" s="9" t="s">
        <v>2929</v>
      </c>
      <c r="F670" s="9" t="s">
        <v>2929</v>
      </c>
      <c r="G670" s="9" t="b">
        <f t="shared" si="41"/>
        <v>1</v>
      </c>
      <c r="H670" s="9" t="str">
        <f>VLOOKUP(B670,[1]RXNS!$B:$D,3,FALSE)</f>
        <v>GMP[c] + H2O[c] =&gt; Guanosine[c] + Phosphate[c]</v>
      </c>
      <c r="I670" s="9" t="s">
        <v>2899</v>
      </c>
      <c r="J670" s="9" t="s">
        <v>2930</v>
      </c>
      <c r="K670" s="9" t="s">
        <v>2899</v>
      </c>
      <c r="L670" s="9" t="b">
        <f t="shared" si="42"/>
        <v>1</v>
      </c>
      <c r="M670" s="9" t="b">
        <f t="shared" si="43"/>
        <v>1</v>
      </c>
      <c r="N670" s="13"/>
      <c r="O670" s="9">
        <v>0</v>
      </c>
      <c r="P670" s="9">
        <v>1000</v>
      </c>
      <c r="Q670" s="13"/>
      <c r="R670" s="13"/>
      <c r="S670" s="13"/>
      <c r="T670" s="9" t="s">
        <v>153</v>
      </c>
      <c r="U670" s="13"/>
      <c r="V670" s="9" t="s">
        <v>35</v>
      </c>
      <c r="W670" s="13"/>
      <c r="X670" s="9">
        <v>2</v>
      </c>
    </row>
    <row r="671" spans="1:24">
      <c r="A671" s="13"/>
      <c r="B671" s="9" t="s">
        <v>2931</v>
      </c>
      <c r="C671" s="9" t="str">
        <f>VLOOKUP(B671,[1]RXNS!$B:$C,1,)</f>
        <v>NTR3B</v>
      </c>
      <c r="D671" s="9" t="b">
        <f t="shared" si="40"/>
        <v>1</v>
      </c>
      <c r="E671" s="9" t="s">
        <v>2932</v>
      </c>
      <c r="F671" s="9" t="s">
        <v>2932</v>
      </c>
      <c r="G671" s="9" t="b">
        <f t="shared" si="41"/>
        <v>1</v>
      </c>
      <c r="H671" s="9" t="str">
        <f>VLOOKUP(B671,[1]RXNS!$B:$D,3,FALSE)</f>
        <v>2 H+[c] + Menaquinol 7[c] + Nitrate[c] =&gt; H2O[c] + 2 H+[e] + Menaquinone 7[c] + Nitrite[c]</v>
      </c>
      <c r="I671" s="9" t="s">
        <v>2933</v>
      </c>
      <c r="J671" s="9" t="s">
        <v>2934</v>
      </c>
      <c r="K671" s="9" t="s">
        <v>2933</v>
      </c>
      <c r="L671" s="9" t="b">
        <f t="shared" si="42"/>
        <v>1</v>
      </c>
      <c r="M671" s="9" t="b">
        <f t="shared" si="43"/>
        <v>1</v>
      </c>
      <c r="N671" s="13"/>
      <c r="O671" s="9">
        <v>0</v>
      </c>
      <c r="P671" s="9">
        <v>1000</v>
      </c>
      <c r="Q671" s="13"/>
      <c r="R671" s="13"/>
      <c r="S671" s="13"/>
      <c r="T671" s="9" t="s">
        <v>1669</v>
      </c>
      <c r="U671" s="13"/>
      <c r="V671" s="9" t="s">
        <v>35</v>
      </c>
      <c r="W671" s="13"/>
      <c r="X671" s="9">
        <v>2</v>
      </c>
    </row>
    <row r="672" spans="1:24">
      <c r="A672" s="13"/>
      <c r="B672" s="9" t="s">
        <v>2935</v>
      </c>
      <c r="C672" s="9" t="str">
        <f>VLOOKUP(B672,[1]RXNS!$B:$C,1,)</f>
        <v>OCBT</v>
      </c>
      <c r="D672" s="9" t="b">
        <f t="shared" si="40"/>
        <v>1</v>
      </c>
      <c r="E672" s="9" t="s">
        <v>2936</v>
      </c>
      <c r="F672" s="9" t="s">
        <v>2936</v>
      </c>
      <c r="G672" s="9" t="b">
        <f t="shared" si="41"/>
        <v>1</v>
      </c>
      <c r="H672" s="9" t="str">
        <f>VLOOKUP(B672,[1]RXNS!$B:$D,3,FALSE)</f>
        <v>Carbamoyl phosphate[c] + L-Ornithine[c] &lt;=&gt; L-Citrulline[c] + H+[c] + Phosphate[c]</v>
      </c>
      <c r="I672" s="9" t="s">
        <v>2937</v>
      </c>
      <c r="J672" s="9" t="s">
        <v>2938</v>
      </c>
      <c r="K672" s="9" t="s">
        <v>2937</v>
      </c>
      <c r="L672" s="9" t="b">
        <f t="shared" si="42"/>
        <v>1</v>
      </c>
      <c r="M672" s="9" t="b">
        <f t="shared" si="43"/>
        <v>1</v>
      </c>
      <c r="N672" s="9" t="s">
        <v>2939</v>
      </c>
      <c r="O672" s="9">
        <v>-1000</v>
      </c>
      <c r="P672" s="9">
        <v>1000</v>
      </c>
      <c r="Q672" s="13"/>
      <c r="R672" s="13"/>
      <c r="S672" s="9" t="s">
        <v>2940</v>
      </c>
      <c r="T672" s="9" t="s">
        <v>96</v>
      </c>
      <c r="U672" s="13"/>
      <c r="V672" s="9" t="s">
        <v>30</v>
      </c>
      <c r="W672" s="13"/>
      <c r="X672" s="9">
        <v>2</v>
      </c>
    </row>
    <row r="673" spans="1:24">
      <c r="A673" s="13"/>
      <c r="B673" s="9" t="s">
        <v>2941</v>
      </c>
      <c r="C673" s="9" t="str">
        <f>VLOOKUP(B673,[1]RXNS!$B:$C,1,)</f>
        <v>OCDMAT8</v>
      </c>
      <c r="D673" s="9" t="b">
        <f t="shared" si="40"/>
        <v>1</v>
      </c>
      <c r="E673" s="9" t="s">
        <v>2942</v>
      </c>
      <c r="F673" s="9" t="s">
        <v>2942</v>
      </c>
      <c r="G673" s="9" t="b">
        <f t="shared" si="41"/>
        <v>1</v>
      </c>
      <c r="H673" s="9" t="str">
        <f>VLOOKUP(B673,[1]RXNS!$B:$D,3,FALSE)</f>
        <v>trans-Octadec-2-enoyl-[acyl-carrier-protein][c] + H+[c] + Nicotinamide adenine dinucleotide - reduced[c] =&gt; Nicotinamide adenine dinucleotide[c] + Octadecanoyl-[acyl-carrier protein][c]</v>
      </c>
      <c r="I673" s="9" t="s">
        <v>798</v>
      </c>
      <c r="J673" s="9" t="s">
        <v>2943</v>
      </c>
      <c r="K673" s="9" t="s">
        <v>798</v>
      </c>
      <c r="L673" s="9" t="b">
        <f t="shared" si="42"/>
        <v>1</v>
      </c>
      <c r="M673" s="9" t="b">
        <f t="shared" si="43"/>
        <v>1</v>
      </c>
      <c r="N673" s="9" t="s">
        <v>539</v>
      </c>
      <c r="O673" s="9">
        <v>0</v>
      </c>
      <c r="P673" s="9">
        <v>1000</v>
      </c>
      <c r="Q673" s="13"/>
      <c r="R673" s="13"/>
      <c r="S673" s="9" t="s">
        <v>2944</v>
      </c>
      <c r="T673" s="9" t="s">
        <v>34</v>
      </c>
      <c r="U673" s="13"/>
      <c r="V673" s="9" t="s">
        <v>30</v>
      </c>
      <c r="W673" s="13"/>
      <c r="X673" s="9">
        <v>2</v>
      </c>
    </row>
    <row r="674" spans="1:24">
      <c r="A674" s="13"/>
      <c r="B674" s="9" t="s">
        <v>2945</v>
      </c>
      <c r="C674" s="9" t="str">
        <f>VLOOKUP(B674,[1]RXNS!$B:$C,1,)</f>
        <v>OCMAT3</v>
      </c>
      <c r="D674" s="9" t="b">
        <f t="shared" si="40"/>
        <v>1</v>
      </c>
      <c r="E674" s="9" t="s">
        <v>2946</v>
      </c>
      <c r="F674" s="9" t="s">
        <v>2946</v>
      </c>
      <c r="G674" s="9" t="b">
        <f t="shared" si="41"/>
        <v>1</v>
      </c>
      <c r="H674" s="9" t="str">
        <f>VLOOKUP(B674,[1]RXNS!$B:$D,3,FALSE)</f>
        <v>trans-Oct-2-enoyl-[acp][c] + H+[c] + Nicotinamide adenine dinucleotide - reduced[c] =&gt; Nicotinamide adenine dinucleotide[c] + Octanoyl-[acyl-carrier protein][c]</v>
      </c>
      <c r="I674" s="9" t="s">
        <v>798</v>
      </c>
      <c r="J674" s="9" t="s">
        <v>2947</v>
      </c>
      <c r="K674" s="9" t="s">
        <v>798</v>
      </c>
      <c r="L674" s="9" t="b">
        <f t="shared" si="42"/>
        <v>1</v>
      </c>
      <c r="M674" s="9" t="b">
        <f t="shared" si="43"/>
        <v>1</v>
      </c>
      <c r="N674" s="9" t="s">
        <v>539</v>
      </c>
      <c r="O674" s="9">
        <v>0</v>
      </c>
      <c r="P674" s="9">
        <v>1000</v>
      </c>
      <c r="Q674" s="13"/>
      <c r="R674" s="13"/>
      <c r="S674" s="9" t="s">
        <v>2948</v>
      </c>
      <c r="T674" s="9" t="s">
        <v>34</v>
      </c>
      <c r="U674" s="13"/>
      <c r="V674" s="9" t="s">
        <v>30</v>
      </c>
      <c r="W674" s="13"/>
      <c r="X674" s="9">
        <v>2</v>
      </c>
    </row>
    <row r="675" spans="1:24">
      <c r="A675" s="13"/>
      <c r="B675" s="9" t="s">
        <v>2949</v>
      </c>
      <c r="C675" s="9" t="str">
        <f>VLOOKUP(B675,[1]RXNS!$B:$C,1,)</f>
        <v>OMPDC</v>
      </c>
      <c r="D675" s="9" t="b">
        <f t="shared" si="40"/>
        <v>1</v>
      </c>
      <c r="E675" s="9" t="s">
        <v>2950</v>
      </c>
      <c r="F675" s="9" t="s">
        <v>2950</v>
      </c>
      <c r="G675" s="9" t="b">
        <f t="shared" si="41"/>
        <v>1</v>
      </c>
      <c r="H675" s="9" t="str">
        <f>VLOOKUP(B675,[1]RXNS!$B:$D,3,FALSE)</f>
        <v>H+[c] + Orotidine 5'-phosphate[c] =&gt; CO2[c] + UMP[c]</v>
      </c>
      <c r="I675" s="9" t="s">
        <v>2951</v>
      </c>
      <c r="J675" s="9" t="s">
        <v>2952</v>
      </c>
      <c r="K675" s="9" t="s">
        <v>2951</v>
      </c>
      <c r="L675" s="9" t="b">
        <f t="shared" si="42"/>
        <v>1</v>
      </c>
      <c r="M675" s="9" t="b">
        <f t="shared" si="43"/>
        <v>1</v>
      </c>
      <c r="N675" s="9" t="s">
        <v>2953</v>
      </c>
      <c r="O675" s="9">
        <v>0</v>
      </c>
      <c r="P675" s="9">
        <v>1000</v>
      </c>
      <c r="Q675" s="13"/>
      <c r="R675" s="13"/>
      <c r="S675" s="9" t="s">
        <v>2954</v>
      </c>
      <c r="T675" s="9" t="s">
        <v>648</v>
      </c>
      <c r="U675" s="13"/>
      <c r="V675" s="9" t="s">
        <v>30</v>
      </c>
      <c r="W675" s="13"/>
      <c r="X675" s="9">
        <v>2</v>
      </c>
    </row>
    <row r="676" spans="1:24">
      <c r="A676" s="13"/>
      <c r="B676" s="9" t="s">
        <v>2955</v>
      </c>
      <c r="C676" s="9" t="str">
        <f>VLOOKUP(B676,[1]RXNS!$B:$C,1,)</f>
        <v>ORNTA</v>
      </c>
      <c r="D676" s="9" t="b">
        <f t="shared" si="40"/>
        <v>1</v>
      </c>
      <c r="E676" s="9" t="s">
        <v>2956</v>
      </c>
      <c r="F676" s="9" t="s">
        <v>2956</v>
      </c>
      <c r="G676" s="9" t="b">
        <f t="shared" si="41"/>
        <v>1</v>
      </c>
      <c r="H676" s="9" t="str">
        <f>VLOOKUP(B676,[1]RXNS!$B:$D,3,FALSE)</f>
        <v>2-Oxoglutarate[c] + L-Ornithine[c] &lt;=&gt; L-Glutamate 5-semialdehyde[c] + L-Glutamate[c]</v>
      </c>
      <c r="I676" s="9" t="s">
        <v>2957</v>
      </c>
      <c r="J676" s="9" t="s">
        <v>2958</v>
      </c>
      <c r="K676" s="9" t="s">
        <v>2957</v>
      </c>
      <c r="L676" s="9" t="b">
        <f t="shared" si="42"/>
        <v>1</v>
      </c>
      <c r="M676" s="9" t="b">
        <f t="shared" si="43"/>
        <v>1</v>
      </c>
      <c r="N676" s="9" t="s">
        <v>47</v>
      </c>
      <c r="O676" s="9">
        <v>-1000</v>
      </c>
      <c r="P676" s="9">
        <v>1000</v>
      </c>
      <c r="Q676" s="13"/>
      <c r="R676" s="13"/>
      <c r="S676" s="13"/>
      <c r="T676" s="9" t="s">
        <v>1341</v>
      </c>
      <c r="U676" s="13"/>
      <c r="V676" s="9" t="s">
        <v>30</v>
      </c>
      <c r="W676" s="13"/>
      <c r="X676" s="9">
        <v>2</v>
      </c>
    </row>
    <row r="677" spans="1:24">
      <c r="A677" s="13"/>
      <c r="B677" s="9" t="s">
        <v>2959</v>
      </c>
      <c r="C677" s="9" t="str">
        <f>VLOOKUP(B677,[1]RXNS!$B:$C,1,)</f>
        <v>ORNTAC</v>
      </c>
      <c r="D677" s="9" t="b">
        <f t="shared" si="40"/>
        <v>1</v>
      </c>
      <c r="E677" s="9" t="s">
        <v>2960</v>
      </c>
      <c r="F677" s="9" t="s">
        <v>2960</v>
      </c>
      <c r="G677" s="9" t="b">
        <f t="shared" si="41"/>
        <v>1</v>
      </c>
      <c r="H677" s="9" t="str">
        <f>VLOOKUP(B677,[1]RXNS!$B:$D,3,FALSE)</f>
        <v>N2-Acetyl-L-ornithine[c] + L-Glutamate[c] &lt;=&gt; N-Acetyl-L-glutamate[c] + L-Ornithine[c]</v>
      </c>
      <c r="I677" s="9" t="s">
        <v>2961</v>
      </c>
      <c r="J677" s="9" t="s">
        <v>2962</v>
      </c>
      <c r="K677" s="9" t="s">
        <v>2961</v>
      </c>
      <c r="L677" s="9" t="b">
        <f t="shared" si="42"/>
        <v>1</v>
      </c>
      <c r="M677" s="9" t="b">
        <f t="shared" si="43"/>
        <v>1</v>
      </c>
      <c r="N677" s="9" t="s">
        <v>2963</v>
      </c>
      <c r="O677" s="9">
        <v>-1000</v>
      </c>
      <c r="P677" s="9">
        <v>1000</v>
      </c>
      <c r="Q677" s="13"/>
      <c r="R677" s="13"/>
      <c r="S677" s="13"/>
      <c r="T677" s="9" t="s">
        <v>96</v>
      </c>
      <c r="U677" s="13"/>
      <c r="V677" s="9" t="s">
        <v>30</v>
      </c>
      <c r="W677" s="13"/>
      <c r="X677" s="9">
        <v>2</v>
      </c>
    </row>
    <row r="678" spans="1:24">
      <c r="A678" s="13"/>
      <c r="B678" s="9" t="s">
        <v>2964</v>
      </c>
      <c r="C678" s="9" t="str">
        <f>VLOOKUP(B678,[1]RXNS!$B:$C,1,)</f>
        <v>ORNt2</v>
      </c>
      <c r="D678" s="9" t="b">
        <f t="shared" si="40"/>
        <v>1</v>
      </c>
      <c r="E678" s="9" t="s">
        <v>2965</v>
      </c>
      <c r="F678" s="9" t="s">
        <v>2965</v>
      </c>
      <c r="G678" s="9" t="b">
        <f t="shared" si="41"/>
        <v>1</v>
      </c>
      <c r="H678" s="9" t="str">
        <f>VLOOKUP(B678,[1]RXNS!$B:$D,3,FALSE)</f>
        <v>H+[e] + L-Ornithine[e] =&gt; H+[c] + L-Ornithine[c]</v>
      </c>
      <c r="I678" s="9">
        <f>VLOOKUP(B678,[1]RXNS!$B:$E,4,FALSE)</f>
        <v>0</v>
      </c>
      <c r="J678" s="9" t="s">
        <v>2966</v>
      </c>
      <c r="K678" s="13"/>
      <c r="L678" s="9" t="b">
        <f t="shared" si="42"/>
        <v>1</v>
      </c>
      <c r="M678" s="9" t="b">
        <f t="shared" si="43"/>
        <v>0</v>
      </c>
      <c r="N678" s="13"/>
      <c r="O678" s="9">
        <v>0</v>
      </c>
      <c r="P678" s="9">
        <v>1000</v>
      </c>
      <c r="Q678" s="13"/>
      <c r="R678" s="13"/>
      <c r="S678" s="13"/>
      <c r="T678" s="9" t="s">
        <v>146</v>
      </c>
      <c r="U678" s="13"/>
      <c r="V678" s="9" t="s">
        <v>35</v>
      </c>
      <c r="W678" s="13"/>
      <c r="X678" s="9">
        <v>2</v>
      </c>
    </row>
    <row r="679" spans="1:24">
      <c r="A679" s="13"/>
      <c r="B679" s="9" t="s">
        <v>2967</v>
      </c>
      <c r="C679" s="9" t="str">
        <f>VLOOKUP(B679,[1]RXNS!$B:$C,1,)</f>
        <v>OROt6</v>
      </c>
      <c r="D679" s="9" t="b">
        <f t="shared" si="40"/>
        <v>1</v>
      </c>
      <c r="E679" s="9" t="s">
        <v>2968</v>
      </c>
      <c r="F679" s="9" t="s">
        <v>2968</v>
      </c>
      <c r="G679" s="9" t="b">
        <f t="shared" si="41"/>
        <v>1</v>
      </c>
      <c r="H679" s="9" t="str">
        <f>VLOOKUP(B679,[1]RXNS!$B:$D,3,FALSE)</f>
        <v>H+[e] + Orotate[e] &lt;=&gt; H+[c] + Orotate[c]</v>
      </c>
      <c r="I679" s="9">
        <f>VLOOKUP(B679,[1]RXNS!$B:$E,4,FALSE)</f>
        <v>0</v>
      </c>
      <c r="J679" s="9" t="s">
        <v>2969</v>
      </c>
      <c r="K679" s="13"/>
      <c r="L679" s="9" t="b">
        <f t="shared" si="42"/>
        <v>1</v>
      </c>
      <c r="M679" s="9" t="b">
        <f t="shared" si="43"/>
        <v>0</v>
      </c>
      <c r="N679" s="13"/>
      <c r="O679" s="9">
        <v>-1000</v>
      </c>
      <c r="P679" s="9">
        <v>1000</v>
      </c>
      <c r="Q679" s="13"/>
      <c r="R679" s="13"/>
      <c r="S679" s="13"/>
      <c r="T679" s="9" t="s">
        <v>146</v>
      </c>
      <c r="U679" s="13"/>
      <c r="V679" s="9" t="s">
        <v>35</v>
      </c>
      <c r="W679" s="13"/>
      <c r="X679" s="9">
        <v>2</v>
      </c>
    </row>
    <row r="680" spans="1:24">
      <c r="A680" s="13"/>
      <c r="B680" s="9" t="s">
        <v>2970</v>
      </c>
      <c r="C680" s="9" t="str">
        <f>VLOOKUP(B680,[1]RXNS!$B:$C,1,)</f>
        <v>ORPT</v>
      </c>
      <c r="D680" s="9" t="b">
        <f t="shared" si="40"/>
        <v>1</v>
      </c>
      <c r="E680" s="9" t="s">
        <v>2971</v>
      </c>
      <c r="F680" s="9" t="s">
        <v>2971</v>
      </c>
      <c r="G680" s="9" t="b">
        <f t="shared" si="41"/>
        <v>1</v>
      </c>
      <c r="H680" s="9" t="str">
        <f>VLOOKUP(B680,[1]RXNS!$B:$D,3,FALSE)</f>
        <v>Orotidine 5'-phosphate[c] + Diphosphate[c] &lt;=&gt; Orotate[c] + 5-Phospho-alpha-D-ribose 1-diphosphate[c]</v>
      </c>
      <c r="I680" s="9" t="s">
        <v>2972</v>
      </c>
      <c r="J680" s="9" t="s">
        <v>2973</v>
      </c>
      <c r="K680" s="9" t="s">
        <v>2972</v>
      </c>
      <c r="L680" s="9" t="b">
        <f t="shared" si="42"/>
        <v>1</v>
      </c>
      <c r="M680" s="9" t="b">
        <f t="shared" si="43"/>
        <v>1</v>
      </c>
      <c r="N680" s="9" t="s">
        <v>2974</v>
      </c>
      <c r="O680" s="9">
        <v>-1000</v>
      </c>
      <c r="P680" s="9">
        <v>1000</v>
      </c>
      <c r="Q680" s="13"/>
      <c r="R680" s="13"/>
      <c r="S680" s="9" t="s">
        <v>2975</v>
      </c>
      <c r="T680" s="9" t="s">
        <v>648</v>
      </c>
      <c r="U680" s="13"/>
      <c r="V680" s="9" t="s">
        <v>30</v>
      </c>
      <c r="W680" s="13"/>
      <c r="X680" s="9">
        <v>2</v>
      </c>
    </row>
    <row r="681" spans="1:24">
      <c r="A681" s="13"/>
      <c r="B681" s="9" t="s">
        <v>2976</v>
      </c>
      <c r="C681" s="9" t="str">
        <f>VLOOKUP(B681,[1]RXNS!$B:$C,1,)</f>
        <v>P5CRr</v>
      </c>
      <c r="D681" s="9" t="b">
        <f t="shared" si="40"/>
        <v>1</v>
      </c>
      <c r="E681" s="9" t="s">
        <v>2977</v>
      </c>
      <c r="F681" s="9" t="s">
        <v>2977</v>
      </c>
      <c r="G681" s="9" t="b">
        <f t="shared" si="41"/>
        <v>1</v>
      </c>
      <c r="H681" s="9" t="str">
        <f>VLOOKUP(B681,[1]RXNS!$B:$D,3,FALSE)</f>
        <v>1-Pyrroline-5-carboxylate[c] + 2 H+[c] + Nicotinamide adenine dinucleotide phosphate - reduced[c] &lt;=&gt; Nicotinamide adenine dinucleotide phosphate[c] + L-Proline[c]</v>
      </c>
      <c r="I681" s="9" t="s">
        <v>2285</v>
      </c>
      <c r="J681" s="9" t="s">
        <v>2978</v>
      </c>
      <c r="K681" s="9" t="s">
        <v>2285</v>
      </c>
      <c r="L681" s="9" t="b">
        <f t="shared" si="42"/>
        <v>1</v>
      </c>
      <c r="M681" s="9" t="b">
        <f t="shared" si="43"/>
        <v>1</v>
      </c>
      <c r="N681" s="9" t="s">
        <v>2979</v>
      </c>
      <c r="O681" s="9">
        <v>-1000</v>
      </c>
      <c r="P681" s="9">
        <v>1000</v>
      </c>
      <c r="Q681" s="13"/>
      <c r="R681" s="13"/>
      <c r="S681" s="13"/>
      <c r="T681" s="9" t="s">
        <v>1341</v>
      </c>
      <c r="U681" s="13"/>
      <c r="V681" s="9" t="s">
        <v>30</v>
      </c>
      <c r="W681" s="13"/>
      <c r="X681" s="9">
        <v>2</v>
      </c>
    </row>
    <row r="682" spans="1:24">
      <c r="A682" s="13"/>
      <c r="B682" s="9" t="s">
        <v>2980</v>
      </c>
      <c r="C682" s="9" t="str">
        <f>VLOOKUP(B682,[1]RXNS!$B:$C,1,)</f>
        <v>PABAt</v>
      </c>
      <c r="D682" s="9" t="b">
        <f t="shared" si="40"/>
        <v>1</v>
      </c>
      <c r="E682" s="9" t="s">
        <v>2981</v>
      </c>
      <c r="F682" s="9" t="s">
        <v>2981</v>
      </c>
      <c r="G682" s="9" t="b">
        <f t="shared" si="41"/>
        <v>1</v>
      </c>
      <c r="H682" s="9" t="str">
        <f>VLOOKUP(B682,[1]RXNS!$B:$D,3,FALSE)</f>
        <v>4-Aminobenzoate[e] &lt;=&gt; 4-Aminobenzoate[c]</v>
      </c>
      <c r="I682" s="9">
        <f>VLOOKUP(B682,[1]RXNS!$B:$E,4,FALSE)</f>
        <v>0</v>
      </c>
      <c r="J682" s="9" t="s">
        <v>2982</v>
      </c>
      <c r="K682" s="13"/>
      <c r="L682" s="9" t="b">
        <f t="shared" si="42"/>
        <v>1</v>
      </c>
      <c r="M682" s="9" t="b">
        <f t="shared" si="43"/>
        <v>0</v>
      </c>
      <c r="N682" s="13"/>
      <c r="O682" s="9">
        <v>-1000</v>
      </c>
      <c r="P682" s="9">
        <v>1000</v>
      </c>
      <c r="Q682" s="13"/>
      <c r="R682" s="13"/>
      <c r="S682" s="13"/>
      <c r="T682" s="9" t="s">
        <v>146</v>
      </c>
      <c r="U682" s="13"/>
      <c r="V682" s="9" t="s">
        <v>35</v>
      </c>
      <c r="W682" s="13"/>
      <c r="X682" s="9">
        <v>2</v>
      </c>
    </row>
    <row r="683" spans="1:24">
      <c r="A683" s="13"/>
      <c r="B683" s="9" t="s">
        <v>2983</v>
      </c>
      <c r="C683" s="9" t="str">
        <f>VLOOKUP(B683,[1]RXNS!$B:$C,1,)</f>
        <v>PAPPT5</v>
      </c>
      <c r="D683" s="9" t="b">
        <f t="shared" si="40"/>
        <v>1</v>
      </c>
      <c r="E683" s="9" t="s">
        <v>2984</v>
      </c>
      <c r="F683" s="9" t="s">
        <v>2984</v>
      </c>
      <c r="G683" s="9" t="b">
        <f t="shared" si="41"/>
        <v>1</v>
      </c>
      <c r="H683" s="9" t="str">
        <f>VLOOKUP(B683,[1]RXNS!$B:$D,3,FALSE)</f>
        <v>Undecaprenyl phosphate[c] + UDP-N-acetylmuramoyl-L-alanyl-D-glutamyl-meso-2,6-diaminopimeloyl-D-alanyl-D-lactate[c] =&gt; Undecaprenyl-diphospho-N-acetylmuramoyl-L-alanyl-D-glutamyl-meso-2,6-diaminopimeloyl-D-alanyl-D-lactate[c] + UMP[c]</v>
      </c>
      <c r="I683" s="9" t="s">
        <v>2291</v>
      </c>
      <c r="J683" s="9" t="s">
        <v>2985</v>
      </c>
      <c r="K683" s="9" t="s">
        <v>2291</v>
      </c>
      <c r="L683" s="9" t="b">
        <f t="shared" si="42"/>
        <v>1</v>
      </c>
      <c r="M683" s="9" t="b">
        <f t="shared" si="43"/>
        <v>1</v>
      </c>
      <c r="N683" s="9" t="s">
        <v>2293</v>
      </c>
      <c r="O683" s="9">
        <v>0</v>
      </c>
      <c r="P683" s="9">
        <v>1000</v>
      </c>
      <c r="Q683" s="13"/>
      <c r="R683" s="13"/>
      <c r="S683" s="13"/>
      <c r="T683" s="9" t="s">
        <v>348</v>
      </c>
      <c r="U683" s="13"/>
      <c r="V683" s="9" t="s">
        <v>30</v>
      </c>
      <c r="W683" s="13"/>
      <c r="X683" s="9">
        <v>2</v>
      </c>
    </row>
    <row r="684" spans="1:24">
      <c r="A684" s="13"/>
      <c r="B684" s="9" t="s">
        <v>2986</v>
      </c>
      <c r="C684" s="9" t="str">
        <f>VLOOKUP(B684,[1]RXNS!$B:$C,1,)</f>
        <v>PAP_LRE</v>
      </c>
      <c r="D684" s="9" t="b">
        <f t="shared" si="40"/>
        <v>1</v>
      </c>
      <c r="E684" s="9" t="s">
        <v>2987</v>
      </c>
      <c r="F684" s="9" t="s">
        <v>2987</v>
      </c>
      <c r="G684" s="9" t="b">
        <f t="shared" si="41"/>
        <v>1</v>
      </c>
      <c r="H684" s="9" t="s">
        <v>2988</v>
      </c>
      <c r="I684" s="9" t="s">
        <v>2989</v>
      </c>
      <c r="J684" s="9" t="s">
        <v>2990</v>
      </c>
      <c r="K684" s="9" t="s">
        <v>2989</v>
      </c>
      <c r="L684" s="9" t="b">
        <f t="shared" si="42"/>
        <v>0</v>
      </c>
      <c r="M684" s="9" t="b">
        <f t="shared" si="43"/>
        <v>1</v>
      </c>
      <c r="N684" s="9" t="s">
        <v>2991</v>
      </c>
      <c r="O684" s="9">
        <v>0</v>
      </c>
      <c r="P684" s="9">
        <v>1000</v>
      </c>
      <c r="Q684" s="13"/>
      <c r="R684" s="13"/>
      <c r="S684" s="13"/>
      <c r="T684" s="9" t="s">
        <v>228</v>
      </c>
      <c r="U684" s="13"/>
      <c r="V684" s="9" t="s">
        <v>30</v>
      </c>
      <c r="W684" s="13"/>
      <c r="X684" s="9">
        <v>2</v>
      </c>
    </row>
    <row r="685" spans="1:24">
      <c r="A685" s="13"/>
      <c r="B685" s="9" t="s">
        <v>2992</v>
      </c>
      <c r="C685" s="9" t="str">
        <f>VLOOKUP(B685,[1]RXNS!$B:$C,1,)</f>
        <v>PDH</v>
      </c>
      <c r="D685" s="9" t="b">
        <f t="shared" si="40"/>
        <v>1</v>
      </c>
      <c r="E685" s="9" t="s">
        <v>2993</v>
      </c>
      <c r="F685" s="9" t="s">
        <v>2993</v>
      </c>
      <c r="G685" s="9" t="b">
        <f t="shared" si="41"/>
        <v>1</v>
      </c>
      <c r="H685" s="9" t="str">
        <f>VLOOKUP(B685,[1]RXNS!$B:$D,3,FALSE)</f>
        <v>Coenzyme A[c] + Nicotinamide adenine dinucleotide[c] + Pyruvate[c] =&gt; Acetyl-CoA[c] + CO2[c] + Nicotinamide adenine dinucleotide - reduced[c]</v>
      </c>
      <c r="I685" s="9" t="s">
        <v>2994</v>
      </c>
      <c r="J685" s="9" t="s">
        <v>2995</v>
      </c>
      <c r="K685" s="9" t="s">
        <v>2994</v>
      </c>
      <c r="L685" s="9" t="b">
        <f t="shared" si="42"/>
        <v>1</v>
      </c>
      <c r="M685" s="9" t="b">
        <f t="shared" si="43"/>
        <v>1</v>
      </c>
      <c r="N685" s="9" t="s">
        <v>2996</v>
      </c>
      <c r="O685" s="9">
        <v>0</v>
      </c>
      <c r="P685" s="9">
        <v>1000</v>
      </c>
      <c r="Q685" s="13"/>
      <c r="R685" s="13"/>
      <c r="S685" s="9" t="s">
        <v>2997</v>
      </c>
      <c r="T685" s="9" t="s">
        <v>330</v>
      </c>
      <c r="U685" s="13"/>
      <c r="V685" s="9" t="s">
        <v>30</v>
      </c>
      <c r="W685" s="13"/>
      <c r="X685" s="9">
        <v>2</v>
      </c>
    </row>
    <row r="686" spans="1:24">
      <c r="A686" s="13"/>
      <c r="B686" s="9" t="s">
        <v>2998</v>
      </c>
      <c r="C686" s="9" t="str">
        <f>VLOOKUP(B686,[1]RXNS!$B:$C,1,)</f>
        <v>PDUL</v>
      </c>
      <c r="D686" s="9" t="b">
        <f t="shared" si="40"/>
        <v>1</v>
      </c>
      <c r="E686" s="9" t="s">
        <v>2999</v>
      </c>
      <c r="F686" s="9" t="s">
        <v>2999</v>
      </c>
      <c r="G686" s="9" t="b">
        <f t="shared" si="41"/>
        <v>1</v>
      </c>
      <c r="H686" s="9" t="str">
        <f>VLOOKUP(B686,[1]RXNS!$B:$D,3,FALSE)</f>
        <v>Phosphate[c] + Propanoyl-CoA[c] &lt;=&gt; Coenzyme A[c] + Propanoyl phosphate[c]</v>
      </c>
      <c r="I686" s="9" t="s">
        <v>3000</v>
      </c>
      <c r="J686" s="9" t="s">
        <v>3001</v>
      </c>
      <c r="K686" s="9" t="s">
        <v>3000</v>
      </c>
      <c r="L686" s="9" t="b">
        <f t="shared" si="42"/>
        <v>1</v>
      </c>
      <c r="M686" s="9" t="b">
        <f t="shared" si="43"/>
        <v>1</v>
      </c>
      <c r="N686" s="13"/>
      <c r="O686" s="9">
        <v>-1000</v>
      </c>
      <c r="P686" s="9">
        <v>1000</v>
      </c>
      <c r="Q686" s="13"/>
      <c r="R686" s="13"/>
      <c r="S686" s="13"/>
      <c r="T686" s="9" t="s">
        <v>314</v>
      </c>
      <c r="U686" s="13"/>
      <c r="V686" s="9" t="s">
        <v>35</v>
      </c>
      <c r="W686" s="13"/>
      <c r="X686" s="9">
        <v>2</v>
      </c>
    </row>
    <row r="687" spans="1:24">
      <c r="A687" s="13"/>
      <c r="B687" s="9" t="s">
        <v>3002</v>
      </c>
      <c r="C687" s="9" t="str">
        <f>VLOOKUP(B687,[1]RXNS!$B:$C,1,)</f>
        <v>PDUL2</v>
      </c>
      <c r="D687" s="9" t="b">
        <f t="shared" si="40"/>
        <v>1</v>
      </c>
      <c r="E687" s="9" t="s">
        <v>3003</v>
      </c>
      <c r="F687" s="9" t="s">
        <v>3003</v>
      </c>
      <c r="G687" s="9" t="b">
        <f t="shared" si="41"/>
        <v>1</v>
      </c>
      <c r="H687" s="9" t="str">
        <f>VLOOKUP(B687,[1]RXNS!$B:$D,3,FALSE)</f>
        <v>3-Hydroxypropionyl-CoA[c] + Phosphate[c] =&gt; 3-Hydroxypropionyl phosphate[c] + Coenzyme A[c]</v>
      </c>
      <c r="I687" s="9" t="s">
        <v>3004</v>
      </c>
      <c r="J687" s="9" t="s">
        <v>3005</v>
      </c>
      <c r="K687" s="9" t="s">
        <v>3004</v>
      </c>
      <c r="L687" s="9" t="b">
        <f t="shared" si="42"/>
        <v>1</v>
      </c>
      <c r="M687" s="9" t="b">
        <f t="shared" si="43"/>
        <v>1</v>
      </c>
      <c r="N687" s="13"/>
      <c r="O687" s="9">
        <v>0</v>
      </c>
      <c r="P687" s="9">
        <v>1000</v>
      </c>
      <c r="Q687" s="13"/>
      <c r="R687" s="13"/>
      <c r="S687" s="13"/>
      <c r="T687" s="9" t="s">
        <v>3006</v>
      </c>
      <c r="U687" s="13"/>
      <c r="V687" s="9" t="s">
        <v>35</v>
      </c>
      <c r="W687" s="13"/>
      <c r="X687" s="9">
        <v>2</v>
      </c>
    </row>
    <row r="688" spans="1:24">
      <c r="A688" s="13"/>
      <c r="B688" s="9" t="s">
        <v>3007</v>
      </c>
      <c r="C688" s="9" t="str">
        <f>VLOOKUP(B688,[1]RXNS!$B:$C,1,)</f>
        <v>PDUP</v>
      </c>
      <c r="D688" s="9" t="b">
        <f t="shared" si="40"/>
        <v>1</v>
      </c>
      <c r="E688" s="9" t="s">
        <v>3008</v>
      </c>
      <c r="F688" s="9" t="s">
        <v>3008</v>
      </c>
      <c r="G688" s="9" t="b">
        <f t="shared" si="41"/>
        <v>1</v>
      </c>
      <c r="H688" s="9" t="str">
        <f>VLOOKUP(B688,[1]RXNS!$B:$D,3,FALSE)</f>
        <v>Coenzyme A[c] + Nicotinamide adenine dinucleotide[c] + Propanal[c] &lt;=&gt; H+[c] + Nicotinamide adenine dinucleotide - reduced[c] + Propanoyl-CoA[c]</v>
      </c>
      <c r="I688" s="9" t="s">
        <v>3009</v>
      </c>
      <c r="J688" s="9" t="s">
        <v>3010</v>
      </c>
      <c r="K688" s="9" t="s">
        <v>3009</v>
      </c>
      <c r="L688" s="9" t="b">
        <f t="shared" si="42"/>
        <v>1</v>
      </c>
      <c r="M688" s="9" t="b">
        <f t="shared" si="43"/>
        <v>1</v>
      </c>
      <c r="N688" s="13"/>
      <c r="O688" s="9">
        <v>-1000</v>
      </c>
      <c r="P688" s="9">
        <v>1000</v>
      </c>
      <c r="Q688" s="13"/>
      <c r="R688" s="13"/>
      <c r="S688" s="13"/>
      <c r="T688" s="9" t="s">
        <v>314</v>
      </c>
      <c r="U688" s="13"/>
      <c r="V688" s="9" t="s">
        <v>35</v>
      </c>
      <c r="W688" s="13"/>
      <c r="X688" s="9">
        <v>2</v>
      </c>
    </row>
    <row r="689" spans="1:24">
      <c r="A689" s="13"/>
      <c r="B689" s="9" t="s">
        <v>3011</v>
      </c>
      <c r="C689" s="9" t="str">
        <f>VLOOKUP(B689,[1]RXNS!$B:$C,1,)</f>
        <v>PDUP2</v>
      </c>
      <c r="D689" s="9" t="b">
        <f t="shared" si="40"/>
        <v>1</v>
      </c>
      <c r="E689" s="9" t="s">
        <v>3012</v>
      </c>
      <c r="F689" s="9" t="s">
        <v>3012</v>
      </c>
      <c r="G689" s="9" t="b">
        <f t="shared" si="41"/>
        <v>1</v>
      </c>
      <c r="H689" s="9" t="str">
        <f>VLOOKUP(B689,[1]RXNS!$B:$D,3,FALSE)</f>
        <v>3-Hydroxypropanal[c] + Coenzyme A[c] + Nicotinamide adenine dinucleotide[c] =&gt; 3-Hydroxypropionyl-CoA[c] + H+[c] + Nicotinamide adenine dinucleotide - reduced[c]</v>
      </c>
      <c r="I689" s="9" t="s">
        <v>3004</v>
      </c>
      <c r="J689" s="9" t="s">
        <v>3013</v>
      </c>
      <c r="K689" s="9" t="s">
        <v>3004</v>
      </c>
      <c r="L689" s="9" t="b">
        <f t="shared" si="42"/>
        <v>1</v>
      </c>
      <c r="M689" s="9" t="b">
        <f t="shared" si="43"/>
        <v>1</v>
      </c>
      <c r="N689" s="9" t="s">
        <v>3014</v>
      </c>
      <c r="O689" s="9">
        <v>0</v>
      </c>
      <c r="P689" s="9">
        <v>1000</v>
      </c>
      <c r="Q689" s="13"/>
      <c r="R689" s="13"/>
      <c r="S689" s="13"/>
      <c r="T689" s="9" t="s">
        <v>3006</v>
      </c>
      <c r="U689" s="13"/>
      <c r="V689" s="9" t="s">
        <v>30</v>
      </c>
      <c r="W689" s="13"/>
      <c r="X689" s="9">
        <v>2</v>
      </c>
    </row>
    <row r="690" spans="1:24">
      <c r="A690" s="13"/>
      <c r="B690" s="9" t="s">
        <v>3015</v>
      </c>
      <c r="C690" s="9" t="str">
        <f>VLOOKUP(B690,[1]RXNS!$B:$C,1,)</f>
        <v>PDUW</v>
      </c>
      <c r="D690" s="9" t="b">
        <f t="shared" si="40"/>
        <v>1</v>
      </c>
      <c r="E690" s="9" t="s">
        <v>3016</v>
      </c>
      <c r="F690" s="9" t="s">
        <v>3016</v>
      </c>
      <c r="G690" s="9" t="b">
        <f t="shared" si="41"/>
        <v>1</v>
      </c>
      <c r="H690" s="9" t="str">
        <f>VLOOKUP(B690,[1]RXNS!$B:$D,3,FALSE)</f>
        <v>ADP[c] + Propanoyl phosphate[c] &lt;=&gt; ATP[c] + Propionate (n-C3:0)[c]</v>
      </c>
      <c r="I690" s="9" t="s">
        <v>3017</v>
      </c>
      <c r="J690" s="9" t="s">
        <v>3018</v>
      </c>
      <c r="K690" s="9" t="s">
        <v>3017</v>
      </c>
      <c r="L690" s="9" t="b">
        <f t="shared" si="42"/>
        <v>1</v>
      </c>
      <c r="M690" s="9" t="b">
        <f t="shared" si="43"/>
        <v>1</v>
      </c>
      <c r="N690" s="9" t="s">
        <v>108</v>
      </c>
      <c r="O690" s="9">
        <v>-1000</v>
      </c>
      <c r="P690" s="9">
        <v>1000</v>
      </c>
      <c r="Q690" s="13"/>
      <c r="R690" s="13"/>
      <c r="S690" s="13"/>
      <c r="T690" s="9" t="s">
        <v>3006</v>
      </c>
      <c r="U690" s="13"/>
      <c r="V690" s="9" t="s">
        <v>30</v>
      </c>
      <c r="W690" s="13"/>
      <c r="X690" s="9">
        <v>2</v>
      </c>
    </row>
    <row r="691" spans="1:24">
      <c r="A691" s="13"/>
      <c r="B691" s="9" t="s">
        <v>3019</v>
      </c>
      <c r="C691" s="9" t="str">
        <f>VLOOKUP(B691,[1]RXNS!$B:$C,1,)</f>
        <v>PDUW2</v>
      </c>
      <c r="D691" s="9" t="b">
        <f t="shared" si="40"/>
        <v>1</v>
      </c>
      <c r="E691" s="9" t="s">
        <v>3020</v>
      </c>
      <c r="F691" s="9" t="s">
        <v>3020</v>
      </c>
      <c r="G691" s="9" t="b">
        <f t="shared" si="41"/>
        <v>1</v>
      </c>
      <c r="H691" s="9" t="str">
        <f>VLOOKUP(B691,[1]RXNS!$B:$D,3,FALSE)</f>
        <v>3-Hydroxypropionyl phosphate[c] + ADP[c] =&gt; 3-Hydroxypropanoate[c] + ATP[c]</v>
      </c>
      <c r="I691" s="9" t="s">
        <v>3004</v>
      </c>
      <c r="J691" s="9" t="s">
        <v>3021</v>
      </c>
      <c r="K691" s="9" t="s">
        <v>3004</v>
      </c>
      <c r="L691" s="9" t="b">
        <f t="shared" si="42"/>
        <v>1</v>
      </c>
      <c r="M691" s="9" t="b">
        <f t="shared" si="43"/>
        <v>1</v>
      </c>
      <c r="N691" s="9" t="s">
        <v>108</v>
      </c>
      <c r="O691" s="9">
        <v>0</v>
      </c>
      <c r="P691" s="9">
        <v>1000</v>
      </c>
      <c r="Q691" s="13"/>
      <c r="R691" s="13"/>
      <c r="S691" s="13"/>
      <c r="T691" s="9" t="s">
        <v>3006</v>
      </c>
      <c r="U691" s="13"/>
      <c r="V691" s="9" t="s">
        <v>30</v>
      </c>
      <c r="W691" s="13"/>
      <c r="X691" s="9">
        <v>2</v>
      </c>
    </row>
    <row r="692" spans="1:24">
      <c r="A692" s="13"/>
      <c r="B692" s="9" t="s">
        <v>3022</v>
      </c>
      <c r="C692" s="9" t="str">
        <f>VLOOKUP(B692,[1]RXNS!$B:$C,1,)</f>
        <v>PFK</v>
      </c>
      <c r="D692" s="9" t="b">
        <f t="shared" si="40"/>
        <v>1</v>
      </c>
      <c r="E692" s="9" t="s">
        <v>3023</v>
      </c>
      <c r="F692" s="9" t="s">
        <v>3023</v>
      </c>
      <c r="G692" s="9" t="b">
        <f t="shared" si="41"/>
        <v>1</v>
      </c>
      <c r="H692" s="9" t="str">
        <f>VLOOKUP(B692,[1]RXNS!$B:$D,3,FALSE)</f>
        <v>ATP[c] + D-Fructose 6-phosphate[c] &lt;=&gt; ADP[c] + D-Fructose 1,6-bisphosphate[c] + H+[c]</v>
      </c>
      <c r="I692" s="9" t="s">
        <v>3024</v>
      </c>
      <c r="J692" s="9" t="s">
        <v>3025</v>
      </c>
      <c r="K692" s="9" t="s">
        <v>3024</v>
      </c>
      <c r="L692" s="9" t="b">
        <f t="shared" si="42"/>
        <v>0</v>
      </c>
      <c r="M692" s="9" t="b">
        <f t="shared" si="43"/>
        <v>1</v>
      </c>
      <c r="N692" s="9" t="s">
        <v>925</v>
      </c>
      <c r="O692" s="9">
        <v>0</v>
      </c>
      <c r="P692" s="9">
        <v>1000</v>
      </c>
      <c r="Q692" s="13"/>
      <c r="R692" s="13"/>
      <c r="S692" s="9" t="s">
        <v>3026</v>
      </c>
      <c r="T692" s="9" t="s">
        <v>330</v>
      </c>
      <c r="U692" s="13"/>
      <c r="V692" s="9" t="s">
        <v>30</v>
      </c>
      <c r="W692" s="13"/>
      <c r="X692" s="9">
        <v>2</v>
      </c>
    </row>
    <row r="693" spans="1:24">
      <c r="A693" s="13"/>
      <c r="B693" s="9" t="s">
        <v>3027</v>
      </c>
      <c r="C693" s="9" t="str">
        <f>VLOOKUP(B693,[1]RXNS!$B:$C,1,)</f>
        <v>PGAMT</v>
      </c>
      <c r="D693" s="9" t="b">
        <f t="shared" si="40"/>
        <v>1</v>
      </c>
      <c r="E693" s="9" t="s">
        <v>3028</v>
      </c>
      <c r="F693" s="9" t="s">
        <v>3028</v>
      </c>
      <c r="G693" s="9" t="b">
        <f t="shared" si="41"/>
        <v>1</v>
      </c>
      <c r="H693" s="9" t="str">
        <f>VLOOKUP(B693,[1]RXNS!$B:$D,3,FALSE)</f>
        <v>D-Glucosamine 1-phosphate[c] &lt;=&gt; D-Glucosamine 6-phosphate[c]</v>
      </c>
      <c r="I693" s="9" t="s">
        <v>3029</v>
      </c>
      <c r="J693" s="9" t="s">
        <v>3030</v>
      </c>
      <c r="K693" s="9" t="s">
        <v>3029</v>
      </c>
      <c r="L693" s="9" t="b">
        <f t="shared" si="42"/>
        <v>1</v>
      </c>
      <c r="M693" s="9" t="b">
        <f t="shared" si="43"/>
        <v>1</v>
      </c>
      <c r="N693" s="9" t="s">
        <v>3031</v>
      </c>
      <c r="O693" s="9">
        <v>-1000</v>
      </c>
      <c r="P693" s="9">
        <v>1000</v>
      </c>
      <c r="Q693" s="13"/>
      <c r="R693" s="13"/>
      <c r="S693" s="9" t="s">
        <v>3032</v>
      </c>
      <c r="T693" s="9" t="s">
        <v>1303</v>
      </c>
      <c r="U693" s="13"/>
      <c r="V693" s="9" t="s">
        <v>30</v>
      </c>
      <c r="W693" s="13"/>
      <c r="X693" s="9">
        <v>2</v>
      </c>
    </row>
    <row r="694" spans="1:24">
      <c r="A694" s="13"/>
      <c r="B694" s="9" t="s">
        <v>3033</v>
      </c>
      <c r="C694" s="9" t="str">
        <f>VLOOKUP(B694,[1]RXNS!$B:$C,1,)</f>
        <v>PGGH</v>
      </c>
      <c r="D694" s="9" t="b">
        <f t="shared" si="40"/>
        <v>1</v>
      </c>
      <c r="E694" s="9" t="s">
        <v>3034</v>
      </c>
      <c r="F694" s="9" t="s">
        <v>3034</v>
      </c>
      <c r="G694" s="9" t="b">
        <f t="shared" si="41"/>
        <v>1</v>
      </c>
      <c r="H694" s="9" t="str">
        <f>VLOOKUP(B694,[1]RXNS!$B:$D,3,FALSE)</f>
        <v>6-Phospho-beta-D-glucosyl-(1,4)-D-glucose[c] + H2O[c] =&gt; D-Glucose 6-phosphate[c] + D-Glucose[c]</v>
      </c>
      <c r="I694" s="9" t="s">
        <v>3035</v>
      </c>
      <c r="J694" s="9" t="s">
        <v>3036</v>
      </c>
      <c r="K694" s="9" t="s">
        <v>3035</v>
      </c>
      <c r="L694" s="9" t="b">
        <f t="shared" si="42"/>
        <v>1</v>
      </c>
      <c r="M694" s="9" t="b">
        <f t="shared" si="43"/>
        <v>1</v>
      </c>
      <c r="N694" s="13"/>
      <c r="O694" s="9">
        <v>0</v>
      </c>
      <c r="P694" s="9">
        <v>1000</v>
      </c>
      <c r="Q694" s="13"/>
      <c r="R694" s="13"/>
      <c r="S694" s="13"/>
      <c r="T694" s="9" t="s">
        <v>1310</v>
      </c>
      <c r="U694" s="13"/>
      <c r="V694" s="9" t="s">
        <v>35</v>
      </c>
      <c r="W694" s="13"/>
      <c r="X694" s="9">
        <v>2</v>
      </c>
    </row>
    <row r="695" spans="1:24">
      <c r="A695" s="13"/>
      <c r="B695" s="9" t="s">
        <v>3037</v>
      </c>
      <c r="C695" s="9" t="str">
        <f>VLOOKUP(B695,[1]RXNS!$B:$C,1,)</f>
        <v>PGGT4</v>
      </c>
      <c r="D695" s="9" t="b">
        <f t="shared" si="40"/>
        <v>1</v>
      </c>
      <c r="E695" s="9" t="s">
        <v>3038</v>
      </c>
      <c r="F695" s="9" t="s">
        <v>3038</v>
      </c>
      <c r="G695" s="9" t="b">
        <f t="shared" si="41"/>
        <v>1</v>
      </c>
      <c r="H695" s="9" t="str">
        <f>VLOOKUP(B695,[1]RXNS!$B:$D,3,FALSE)</f>
        <v>Undecaprenyl-diphospho-N-acetylmuramoyl-(N-acetylglucosamine)-L-alanyl-D-glutamyl-meso-2,6-diaminopimeloyl-D-alanyl-D-lactate[c] =&gt; peptidoglycan with D-lac as C-terminal residue to form pentadepsipeptide[c] + Undecaprenyl diphosphate[c]</v>
      </c>
      <c r="I695" s="9" t="s">
        <v>3039</v>
      </c>
      <c r="J695" s="9" t="s">
        <v>3040</v>
      </c>
      <c r="K695" s="9" t="s">
        <v>3039</v>
      </c>
      <c r="L695" s="9" t="b">
        <f t="shared" si="42"/>
        <v>1</v>
      </c>
      <c r="M695" s="9" t="b">
        <f t="shared" si="43"/>
        <v>1</v>
      </c>
      <c r="N695" s="9" t="s">
        <v>3041</v>
      </c>
      <c r="O695" s="9">
        <v>0</v>
      </c>
      <c r="P695" s="9">
        <v>1000</v>
      </c>
      <c r="Q695" s="13"/>
      <c r="R695" s="13"/>
      <c r="S695" s="13"/>
      <c r="T695" s="9" t="s">
        <v>2294</v>
      </c>
      <c r="U695" s="13"/>
      <c r="V695" s="9" t="s">
        <v>30</v>
      </c>
      <c r="W695" s="13"/>
      <c r="X695" s="9">
        <v>2</v>
      </c>
    </row>
    <row r="696" spans="1:24">
      <c r="A696" s="13"/>
      <c r="B696" s="9" t="s">
        <v>3042</v>
      </c>
      <c r="C696" s="9" t="str">
        <f>VLOOKUP(B696,[1]RXNS!$B:$C,1,)</f>
        <v>PGI</v>
      </c>
      <c r="D696" s="9" t="b">
        <f t="shared" si="40"/>
        <v>1</v>
      </c>
      <c r="E696" s="9" t="s">
        <v>3043</v>
      </c>
      <c r="F696" s="9" t="s">
        <v>3043</v>
      </c>
      <c r="G696" s="9" t="b">
        <f t="shared" si="41"/>
        <v>1</v>
      </c>
      <c r="H696" s="9" t="str">
        <f>VLOOKUP(B696,[1]RXNS!$B:$D,3,FALSE)</f>
        <v>D-Glucose 6-phosphate[c] &lt;=&gt; D-Fructose 6-phosphate[c]</v>
      </c>
      <c r="I696" s="9" t="s">
        <v>3044</v>
      </c>
      <c r="J696" s="9" t="s">
        <v>3045</v>
      </c>
      <c r="K696" s="9" t="s">
        <v>3044</v>
      </c>
      <c r="L696" s="9" t="b">
        <f t="shared" si="42"/>
        <v>1</v>
      </c>
      <c r="M696" s="9" t="b">
        <f t="shared" si="43"/>
        <v>1</v>
      </c>
      <c r="N696" s="9" t="s">
        <v>1362</v>
      </c>
      <c r="O696" s="9">
        <v>-1000</v>
      </c>
      <c r="P696" s="9">
        <v>1000</v>
      </c>
      <c r="Q696" s="13"/>
      <c r="R696" s="13"/>
      <c r="S696" s="9" t="s">
        <v>3046</v>
      </c>
      <c r="T696" s="9" t="s">
        <v>330</v>
      </c>
      <c r="U696" s="13"/>
      <c r="V696" s="9" t="s">
        <v>30</v>
      </c>
      <c r="W696" s="13"/>
      <c r="X696" s="9">
        <v>2</v>
      </c>
    </row>
    <row r="697" spans="1:24">
      <c r="A697" s="13"/>
      <c r="B697" s="9" t="s">
        <v>3047</v>
      </c>
      <c r="C697" s="9" t="str">
        <f>VLOOKUP(B697,[1]RXNS!$B:$C,1,)</f>
        <v>PGK</v>
      </c>
      <c r="D697" s="9" t="b">
        <f t="shared" si="40"/>
        <v>1</v>
      </c>
      <c r="E697" s="9" t="s">
        <v>3048</v>
      </c>
      <c r="F697" s="9" t="s">
        <v>3048</v>
      </c>
      <c r="G697" s="9" t="b">
        <f t="shared" si="41"/>
        <v>1</v>
      </c>
      <c r="H697" s="9" t="str">
        <f>VLOOKUP(B697,[1]RXNS!$B:$D,3,FALSE)</f>
        <v>3-Phospho-D-glyceroyl phosphate[c] + ADP[c] &lt;=&gt; 3-Phospho-D-glycerate[c] + ATP[c]</v>
      </c>
      <c r="I697" s="9" t="s">
        <v>3049</v>
      </c>
      <c r="J697" s="9" t="s">
        <v>3050</v>
      </c>
      <c r="K697" s="9" t="s">
        <v>3049</v>
      </c>
      <c r="L697" s="9" t="b">
        <f t="shared" si="42"/>
        <v>1</v>
      </c>
      <c r="M697" s="9" t="b">
        <f t="shared" si="43"/>
        <v>1</v>
      </c>
      <c r="N697" s="9" t="s">
        <v>3051</v>
      </c>
      <c r="O697" s="9">
        <v>-1000</v>
      </c>
      <c r="P697" s="9">
        <v>1000</v>
      </c>
      <c r="Q697" s="13"/>
      <c r="R697" s="13"/>
      <c r="S697" s="9" t="s">
        <v>3052</v>
      </c>
      <c r="T697" s="9" t="s">
        <v>330</v>
      </c>
      <c r="U697" s="13"/>
      <c r="V697" s="9" t="s">
        <v>30</v>
      </c>
      <c r="W697" s="13"/>
      <c r="X697" s="9">
        <v>2</v>
      </c>
    </row>
    <row r="698" spans="1:24">
      <c r="A698" s="13"/>
      <c r="B698" s="9" t="s">
        <v>3053</v>
      </c>
      <c r="C698" s="9" t="str">
        <f>VLOOKUP(B698,[1]RXNS!$B:$C,1,)</f>
        <v>PGL</v>
      </c>
      <c r="D698" s="9" t="b">
        <f t="shared" si="40"/>
        <v>1</v>
      </c>
      <c r="E698" s="9" t="s">
        <v>3054</v>
      </c>
      <c r="F698" s="9" t="s">
        <v>3054</v>
      </c>
      <c r="G698" s="9" t="b">
        <f t="shared" si="41"/>
        <v>1</v>
      </c>
      <c r="H698" s="9" t="str">
        <f>VLOOKUP(B698,[1]RXNS!$B:$D,3,FALSE)</f>
        <v>6-phospho-D-glucono-1,5-lactone[c] + H2O[c] =&gt; 6-Phospho-D-gluconate[c] + H+[c]</v>
      </c>
      <c r="I698" s="9" t="s">
        <v>3055</v>
      </c>
      <c r="J698" s="9" t="s">
        <v>3056</v>
      </c>
      <c r="K698" s="9" t="s">
        <v>3055</v>
      </c>
      <c r="L698" s="9" t="b">
        <f t="shared" si="42"/>
        <v>1</v>
      </c>
      <c r="M698" s="9" t="b">
        <f t="shared" si="43"/>
        <v>1</v>
      </c>
      <c r="N698" s="9" t="s">
        <v>3057</v>
      </c>
      <c r="O698" s="9">
        <v>0</v>
      </c>
      <c r="P698" s="9">
        <v>1000</v>
      </c>
      <c r="Q698" s="13"/>
      <c r="R698" s="13"/>
      <c r="S698" s="9" t="s">
        <v>3058</v>
      </c>
      <c r="T698" s="9" t="s">
        <v>393</v>
      </c>
      <c r="U698" s="13"/>
      <c r="V698" s="9" t="s">
        <v>30</v>
      </c>
      <c r="W698" s="13"/>
      <c r="X698" s="9">
        <v>2</v>
      </c>
    </row>
    <row r="699" spans="1:24">
      <c r="A699" s="13"/>
      <c r="B699" s="9" t="s">
        <v>3059</v>
      </c>
      <c r="C699" s="9" t="str">
        <f>VLOOKUP(B699,[1]RXNS!$B:$C,1,)</f>
        <v>PGLYCP</v>
      </c>
      <c r="D699" s="9" t="b">
        <f t="shared" si="40"/>
        <v>1</v>
      </c>
      <c r="E699" s="9" t="s">
        <v>3060</v>
      </c>
      <c r="F699" s="9" t="s">
        <v>3060</v>
      </c>
      <c r="G699" s="9" t="b">
        <f t="shared" si="41"/>
        <v>1</v>
      </c>
      <c r="H699" s="9" t="str">
        <f>VLOOKUP(B699,[1]RXNS!$B:$D,3,FALSE)</f>
        <v>2-Phosphoglycolate[c] + H2O[c] =&gt; Glycolate[c] + Phosphate[c]</v>
      </c>
      <c r="I699" s="9" t="s">
        <v>3061</v>
      </c>
      <c r="J699" s="9" t="s">
        <v>3062</v>
      </c>
      <c r="K699" s="9" t="s">
        <v>3061</v>
      </c>
      <c r="L699" s="9" t="b">
        <f t="shared" si="42"/>
        <v>1</v>
      </c>
      <c r="M699" s="9" t="b">
        <f t="shared" si="43"/>
        <v>1</v>
      </c>
      <c r="N699" s="9" t="s">
        <v>3063</v>
      </c>
      <c r="O699" s="9">
        <v>0</v>
      </c>
      <c r="P699" s="9">
        <v>1000</v>
      </c>
      <c r="Q699" s="13"/>
      <c r="R699" s="13"/>
      <c r="S699" s="9" t="s">
        <v>3064</v>
      </c>
      <c r="T699" s="9" t="s">
        <v>3065</v>
      </c>
      <c r="U699" s="13"/>
      <c r="V699" s="9" t="s">
        <v>30</v>
      </c>
      <c r="W699" s="13"/>
      <c r="X699" s="9">
        <v>2</v>
      </c>
    </row>
    <row r="700" spans="1:24">
      <c r="A700" s="13"/>
      <c r="B700" s="9" t="s">
        <v>3066</v>
      </c>
      <c r="C700" s="9" t="str">
        <f>VLOOKUP(B700,[1]RXNS!$B:$C,1,)</f>
        <v>PGM</v>
      </c>
      <c r="D700" s="9" t="b">
        <f t="shared" si="40"/>
        <v>1</v>
      </c>
      <c r="E700" s="9" t="s">
        <v>3067</v>
      </c>
      <c r="F700" s="9" t="s">
        <v>3067</v>
      </c>
      <c r="G700" s="9" t="b">
        <f t="shared" si="41"/>
        <v>1</v>
      </c>
      <c r="H700" s="9" t="str">
        <f>VLOOKUP(B700,[1]RXNS!$B:$D,3,FALSE)</f>
        <v>3-Phospho-D-glycerate[c] &lt;=&gt; D-Glycerate 2-phosphate[c]</v>
      </c>
      <c r="I700" s="9" t="s">
        <v>3068</v>
      </c>
      <c r="J700" s="9" t="s">
        <v>3069</v>
      </c>
      <c r="K700" s="9" t="s">
        <v>3068</v>
      </c>
      <c r="L700" s="9" t="b">
        <f t="shared" si="42"/>
        <v>1</v>
      </c>
      <c r="M700" s="9" t="b">
        <f t="shared" si="43"/>
        <v>1</v>
      </c>
      <c r="N700" s="9" t="s">
        <v>3070</v>
      </c>
      <c r="O700" s="9">
        <v>-1000</v>
      </c>
      <c r="P700" s="9">
        <v>1000</v>
      </c>
      <c r="Q700" s="13"/>
      <c r="R700" s="13"/>
      <c r="S700" s="9" t="s">
        <v>3071</v>
      </c>
      <c r="T700" s="9" t="s">
        <v>330</v>
      </c>
      <c r="U700" s="13"/>
      <c r="V700" s="9" t="s">
        <v>30</v>
      </c>
      <c r="W700" s="13"/>
      <c r="X700" s="9">
        <v>2</v>
      </c>
    </row>
    <row r="701" spans="1:24">
      <c r="A701" s="13"/>
      <c r="B701" s="9" t="s">
        <v>3072</v>
      </c>
      <c r="C701" s="9" t="str">
        <f>VLOOKUP(B701,[1]RXNS!$B:$C,1,)</f>
        <v>PGMT</v>
      </c>
      <c r="D701" s="9" t="b">
        <f t="shared" si="40"/>
        <v>1</v>
      </c>
      <c r="E701" s="9" t="s">
        <v>3073</v>
      </c>
      <c r="F701" s="9" t="s">
        <v>3073</v>
      </c>
      <c r="G701" s="9" t="b">
        <f t="shared" si="41"/>
        <v>1</v>
      </c>
      <c r="H701" s="9" t="str">
        <f>VLOOKUP(B701,[1]RXNS!$B:$D,3,FALSE)</f>
        <v>D-Glucose 1-phosphate[c] &lt;=&gt; D-Glucose 6-phosphate[c]</v>
      </c>
      <c r="I701" s="9" t="s">
        <v>3074</v>
      </c>
      <c r="J701" s="9" t="s">
        <v>3075</v>
      </c>
      <c r="K701" s="9" t="s">
        <v>3074</v>
      </c>
      <c r="L701" s="9" t="b">
        <f t="shared" si="42"/>
        <v>1</v>
      </c>
      <c r="M701" s="9" t="b">
        <f t="shared" si="43"/>
        <v>1</v>
      </c>
      <c r="N701" s="9" t="s">
        <v>3076</v>
      </c>
      <c r="O701" s="9">
        <v>-1000</v>
      </c>
      <c r="P701" s="9">
        <v>1000</v>
      </c>
      <c r="Q701" s="13"/>
      <c r="R701" s="13"/>
      <c r="S701" s="9" t="s">
        <v>3077</v>
      </c>
      <c r="T701" s="9" t="s">
        <v>330</v>
      </c>
      <c r="U701" s="13"/>
      <c r="V701" s="9" t="s">
        <v>30</v>
      </c>
      <c r="W701" s="13"/>
      <c r="X701" s="9">
        <v>2</v>
      </c>
    </row>
    <row r="702" spans="1:24">
      <c r="A702" s="13"/>
      <c r="B702" s="9" t="s">
        <v>3078</v>
      </c>
      <c r="C702" s="9" t="str">
        <f>VLOOKUP(B702,[1]RXNS!$B:$C,1,)</f>
        <v>PGMT_B</v>
      </c>
      <c r="D702" s="9" t="b">
        <f t="shared" si="40"/>
        <v>1</v>
      </c>
      <c r="E702" s="9" t="s">
        <v>3079</v>
      </c>
      <c r="F702" s="9" t="s">
        <v>3079</v>
      </c>
      <c r="G702" s="9" t="b">
        <f t="shared" si="41"/>
        <v>1</v>
      </c>
      <c r="H702" s="9" t="str">
        <f>VLOOKUP(B702,[1]RXNS!$B:$D,3,FALSE)</f>
        <v>beta-D-glucose 6-phosphate[c] &lt;=&gt; beta-D-Glucose 1-phosphate[c]</v>
      </c>
      <c r="I702" s="9" t="s">
        <v>3080</v>
      </c>
      <c r="J702" s="9" t="s">
        <v>3081</v>
      </c>
      <c r="K702" s="9" t="s">
        <v>3080</v>
      </c>
      <c r="L702" s="9" t="b">
        <f t="shared" si="42"/>
        <v>1</v>
      </c>
      <c r="M702" s="9" t="b">
        <f t="shared" si="43"/>
        <v>1</v>
      </c>
      <c r="N702" s="9" t="s">
        <v>1308</v>
      </c>
      <c r="O702" s="9">
        <v>-1000</v>
      </c>
      <c r="P702" s="9">
        <v>1000</v>
      </c>
      <c r="Q702" s="13"/>
      <c r="R702" s="13"/>
      <c r="S702" s="9" t="s">
        <v>3082</v>
      </c>
      <c r="T702" s="9" t="s">
        <v>1310</v>
      </c>
      <c r="U702" s="13"/>
      <c r="V702" s="9" t="s">
        <v>30</v>
      </c>
      <c r="W702" s="13"/>
      <c r="X702" s="9">
        <v>2</v>
      </c>
    </row>
    <row r="703" spans="1:24">
      <c r="A703" s="13"/>
      <c r="B703" s="9" t="s">
        <v>3083</v>
      </c>
      <c r="C703" s="9" t="str">
        <f>VLOOKUP(B703,[1]RXNS!$B:$C,1,)</f>
        <v>PGPP_LRE</v>
      </c>
      <c r="D703" s="9" t="b">
        <f t="shared" si="40"/>
        <v>1</v>
      </c>
      <c r="E703" s="9" t="s">
        <v>3084</v>
      </c>
      <c r="F703" s="9" t="s">
        <v>3084</v>
      </c>
      <c r="G703" s="9" t="b">
        <f t="shared" si="41"/>
        <v>1</v>
      </c>
      <c r="H703" s="9" t="str">
        <f>VLOOKUP(B703,[1]RXNS!$B:$D,3,FALSE)</f>
        <v>H2O[c] + Phosphatidylglycerophosphate (LRE specific)[c] =&gt; Phospatidylglycerol (LRE specific)[c] + Phosphate[c]</v>
      </c>
      <c r="I703" s="9" t="s">
        <v>3085</v>
      </c>
      <c r="J703" s="9" t="s">
        <v>3086</v>
      </c>
      <c r="K703" s="9" t="s">
        <v>3085</v>
      </c>
      <c r="L703" s="9" t="b">
        <f t="shared" si="42"/>
        <v>1</v>
      </c>
      <c r="M703" s="9" t="b">
        <f t="shared" si="43"/>
        <v>1</v>
      </c>
      <c r="N703" s="13"/>
      <c r="O703" s="9">
        <v>0</v>
      </c>
      <c r="P703" s="9">
        <v>1000</v>
      </c>
      <c r="Q703" s="13"/>
      <c r="R703" s="13"/>
      <c r="S703" s="13"/>
      <c r="T703" s="9" t="s">
        <v>785</v>
      </c>
      <c r="U703" s="13"/>
      <c r="V703" s="9" t="s">
        <v>35</v>
      </c>
      <c r="W703" s="13"/>
      <c r="X703" s="9">
        <v>2</v>
      </c>
    </row>
    <row r="704" spans="1:24">
      <c r="A704" s="13"/>
      <c r="B704" s="9" t="s">
        <v>3087</v>
      </c>
      <c r="C704" s="9" t="str">
        <f>VLOOKUP(B704,[1]RXNS!$B:$C,1,)</f>
        <v>PGSA_LRE</v>
      </c>
      <c r="D704" s="9" t="b">
        <f t="shared" si="40"/>
        <v>1</v>
      </c>
      <c r="E704" s="9" t="s">
        <v>3088</v>
      </c>
      <c r="F704" s="9" t="s">
        <v>3088</v>
      </c>
      <c r="G704" s="9" t="b">
        <f t="shared" si="41"/>
        <v>1</v>
      </c>
      <c r="H704" s="9" t="str">
        <f>VLOOKUP(B704,[1]RXNS!$B:$D,3,FALSE)</f>
        <v>CDPdiacylglycerol (LRE specific)[c] + sn-Glycerol 3-phosphate[c] &lt;=&gt; CMP[c] + H+[c] + Phosphatidylglycerophosphate (LRE specific)[c]</v>
      </c>
      <c r="I704" s="9" t="s">
        <v>3089</v>
      </c>
      <c r="J704" s="9" t="s">
        <v>3090</v>
      </c>
      <c r="K704" s="9" t="s">
        <v>3089</v>
      </c>
      <c r="L704" s="9" t="b">
        <f t="shared" si="42"/>
        <v>1</v>
      </c>
      <c r="M704" s="9" t="b">
        <f t="shared" si="43"/>
        <v>1</v>
      </c>
      <c r="N704" s="9" t="s">
        <v>3091</v>
      </c>
      <c r="O704" s="9">
        <v>-1000</v>
      </c>
      <c r="P704" s="9">
        <v>1000</v>
      </c>
      <c r="Q704" s="13"/>
      <c r="R704" s="13"/>
      <c r="S704" s="13"/>
      <c r="T704" s="9" t="s">
        <v>785</v>
      </c>
      <c r="U704" s="13"/>
      <c r="V704" s="9" t="s">
        <v>30</v>
      </c>
      <c r="W704" s="13"/>
      <c r="X704" s="9">
        <v>2</v>
      </c>
    </row>
    <row r="705" spans="1:24">
      <c r="A705" s="13"/>
      <c r="B705" s="9" t="s">
        <v>3092</v>
      </c>
      <c r="C705" s="9" t="str">
        <f>VLOOKUP(B705,[1]RXNS!$B:$C,1,)</f>
        <v>PHETRS</v>
      </c>
      <c r="D705" s="9" t="b">
        <f t="shared" si="40"/>
        <v>1</v>
      </c>
      <c r="E705" s="9" t="s">
        <v>3093</v>
      </c>
      <c r="F705" s="9" t="s">
        <v>3093</v>
      </c>
      <c r="G705" s="9" t="b">
        <f t="shared" si="41"/>
        <v>1</v>
      </c>
      <c r="H705" s="9" t="str">
        <f>VLOOKUP(B705,[1]RXNS!$B:$D,3,FALSE)</f>
        <v>ATP[c] + L-Phenylalanine[c] + tRNA(Phe)[c] =&gt; AMP[c] + L-Phenylalanyl-tRNA(Phe)[c] + Diphosphate[c]</v>
      </c>
      <c r="I705" s="9" t="s">
        <v>3094</v>
      </c>
      <c r="J705" s="9" t="s">
        <v>3095</v>
      </c>
      <c r="K705" s="9" t="s">
        <v>3094</v>
      </c>
      <c r="L705" s="9" t="b">
        <f t="shared" si="42"/>
        <v>1</v>
      </c>
      <c r="M705" s="9" t="b">
        <f t="shared" si="43"/>
        <v>1</v>
      </c>
      <c r="N705" s="9" t="s">
        <v>3096</v>
      </c>
      <c r="O705" s="9">
        <v>0</v>
      </c>
      <c r="P705" s="9">
        <v>1000</v>
      </c>
      <c r="Q705" s="13"/>
      <c r="R705" s="13"/>
      <c r="S705" s="13"/>
      <c r="T705" s="9" t="s">
        <v>278</v>
      </c>
      <c r="U705" s="13"/>
      <c r="V705" s="9" t="s">
        <v>30</v>
      </c>
      <c r="W705" s="13"/>
      <c r="X705" s="9">
        <v>2</v>
      </c>
    </row>
    <row r="706" spans="1:24">
      <c r="A706" s="13"/>
      <c r="B706" s="9" t="s">
        <v>3097</v>
      </c>
      <c r="C706" s="9" t="str">
        <f>VLOOKUP(B706,[1]RXNS!$B:$C,1,)</f>
        <v>PHEt6</v>
      </c>
      <c r="D706" s="9" t="b">
        <f t="shared" ref="D706:D769" si="44">EXACT(B706,C706)</f>
        <v>1</v>
      </c>
      <c r="E706" s="9" t="s">
        <v>3098</v>
      </c>
      <c r="F706" s="9" t="s">
        <v>3098</v>
      </c>
      <c r="G706" s="9" t="b">
        <f t="shared" ref="G706:G769" si="45">EXACT(E706,F706)</f>
        <v>1</v>
      </c>
      <c r="H706" s="9" t="str">
        <f>VLOOKUP(B706,[1]RXNS!$B:$D,3,FALSE)</f>
        <v>H+[e] + L-Phenylalanine[e] &lt;=&gt; H+[c] + L-Phenylalanine[c]</v>
      </c>
      <c r="I706" s="9">
        <f>VLOOKUP(B706,[1]RXNS!$B:$E,4,FALSE)</f>
        <v>0</v>
      </c>
      <c r="J706" s="9" t="s">
        <v>3099</v>
      </c>
      <c r="K706" s="13"/>
      <c r="L706" s="9" t="b">
        <f t="shared" ref="L706:L769" si="46">EXACT(H706,J706)</f>
        <v>1</v>
      </c>
      <c r="M706" s="9" t="b">
        <f t="shared" ref="M706:M769" si="47">EXACT(I706,K706)</f>
        <v>0</v>
      </c>
      <c r="N706" s="13"/>
      <c r="O706" s="9">
        <v>-1000</v>
      </c>
      <c r="P706" s="9">
        <v>1000</v>
      </c>
      <c r="Q706" s="13"/>
      <c r="R706" s="13"/>
      <c r="S706" s="13"/>
      <c r="T706" s="9" t="s">
        <v>146</v>
      </c>
      <c r="U706" s="13"/>
      <c r="V706" s="9" t="s">
        <v>35</v>
      </c>
      <c r="W706" s="13"/>
      <c r="X706" s="9">
        <v>2</v>
      </c>
    </row>
    <row r="707" spans="1:24">
      <c r="A707" s="13"/>
      <c r="B707" s="9" t="s">
        <v>3100</v>
      </c>
      <c r="C707" s="9" t="str">
        <f>VLOOKUP(B707,[1]RXNS!$B:$C,1,)</f>
        <v>PIabc</v>
      </c>
      <c r="D707" s="9" t="b">
        <f t="shared" si="44"/>
        <v>1</v>
      </c>
      <c r="E707" s="9" t="s">
        <v>3101</v>
      </c>
      <c r="F707" s="9" t="s">
        <v>3101</v>
      </c>
      <c r="G707" s="9" t="b">
        <f t="shared" si="45"/>
        <v>1</v>
      </c>
      <c r="H707" s="9" t="str">
        <f>VLOOKUP(B707,[1]RXNS!$B:$D,3,FALSE)</f>
        <v>ATP[c] + H2O[c] + Phosphate[e] =&gt; ADP[c] + H+[c] + 2 Phosphate[c]</v>
      </c>
      <c r="I707" s="9" t="s">
        <v>3102</v>
      </c>
      <c r="J707" s="9" t="s">
        <v>3103</v>
      </c>
      <c r="K707" s="9" t="s">
        <v>3102</v>
      </c>
      <c r="L707" s="9" t="b">
        <f t="shared" si="46"/>
        <v>1</v>
      </c>
      <c r="M707" s="9" t="b">
        <f t="shared" si="47"/>
        <v>1</v>
      </c>
      <c r="N707" s="9" t="s">
        <v>3104</v>
      </c>
      <c r="O707" s="9">
        <v>0</v>
      </c>
      <c r="P707" s="9">
        <v>1000</v>
      </c>
      <c r="Q707" s="13"/>
      <c r="R707" s="13"/>
      <c r="S707" s="9" t="s">
        <v>3105</v>
      </c>
      <c r="T707" s="9" t="s">
        <v>146</v>
      </c>
      <c r="U707" s="13"/>
      <c r="V707" s="9" t="s">
        <v>30</v>
      </c>
      <c r="W707" s="13"/>
      <c r="X707" s="9">
        <v>2</v>
      </c>
    </row>
    <row r="708" spans="1:24">
      <c r="A708" s="13"/>
      <c r="B708" s="9" t="s">
        <v>3106</v>
      </c>
      <c r="C708" s="9" t="str">
        <f>VLOOKUP(B708,[1]RXNS!$B:$C,1,)</f>
        <v>PIt6</v>
      </c>
      <c r="D708" s="9" t="b">
        <f t="shared" si="44"/>
        <v>1</v>
      </c>
      <c r="E708" s="9" t="s">
        <v>3107</v>
      </c>
      <c r="F708" s="9" t="s">
        <v>3107</v>
      </c>
      <c r="G708" s="9" t="b">
        <f t="shared" si="45"/>
        <v>1</v>
      </c>
      <c r="H708" s="9" t="str">
        <f>VLOOKUP(B708,[1]RXNS!$B:$D,3,FALSE)</f>
        <v>H+[e] + Phosphate[e] &lt;=&gt; H+[c] + Phosphate[c]</v>
      </c>
      <c r="I708" s="9">
        <f>VLOOKUP(B708,[1]RXNS!$B:$E,4,FALSE)</f>
        <v>0</v>
      </c>
      <c r="J708" s="9" t="s">
        <v>3108</v>
      </c>
      <c r="K708" s="13"/>
      <c r="L708" s="9" t="b">
        <f t="shared" si="46"/>
        <v>1</v>
      </c>
      <c r="M708" s="9" t="b">
        <f t="shared" si="47"/>
        <v>0</v>
      </c>
      <c r="N708" s="13"/>
      <c r="O708" s="9">
        <v>-1000</v>
      </c>
      <c r="P708" s="9">
        <v>1000</v>
      </c>
      <c r="Q708" s="13"/>
      <c r="R708" s="13"/>
      <c r="S708" s="13"/>
      <c r="T708" s="9" t="s">
        <v>146</v>
      </c>
      <c r="U708" s="13"/>
      <c r="V708" s="9" t="s">
        <v>35</v>
      </c>
      <c r="W708" s="13"/>
      <c r="X708" s="9">
        <v>2</v>
      </c>
    </row>
    <row r="709" spans="1:24">
      <c r="A709" s="13"/>
      <c r="B709" s="9" t="s">
        <v>3109</v>
      </c>
      <c r="C709" s="9" t="str">
        <f>VLOOKUP(B709,[1]RXNS!$B:$C,1,)</f>
        <v>PKL</v>
      </c>
      <c r="D709" s="9" t="b">
        <f t="shared" si="44"/>
        <v>1</v>
      </c>
      <c r="E709" s="9" t="s">
        <v>3110</v>
      </c>
      <c r="F709" s="9" t="s">
        <v>3110</v>
      </c>
      <c r="G709" s="9" t="b">
        <f t="shared" si="45"/>
        <v>1</v>
      </c>
      <c r="H709" s="9" t="str">
        <f>VLOOKUP(B709,[1]RXNS!$B:$D,3,FALSE)</f>
        <v>Phosphate[c] + D-Xylulose 5-phosphate[c] &lt;=&gt; Acetyl phosphate[c] + Glyceraldehyde 3-phosphate[c] + H2O[c]</v>
      </c>
      <c r="I709" s="9" t="s">
        <v>3111</v>
      </c>
      <c r="J709" s="9" t="s">
        <v>3112</v>
      </c>
      <c r="K709" s="9" t="s">
        <v>3111</v>
      </c>
      <c r="L709" s="9" t="b">
        <f t="shared" si="46"/>
        <v>1</v>
      </c>
      <c r="M709" s="9" t="b">
        <f t="shared" si="47"/>
        <v>1</v>
      </c>
      <c r="N709" s="9" t="s">
        <v>3113</v>
      </c>
      <c r="O709" s="9">
        <v>-1000</v>
      </c>
      <c r="P709" s="9">
        <v>1000</v>
      </c>
      <c r="Q709" s="13"/>
      <c r="R709" s="13"/>
      <c r="S709" s="13"/>
      <c r="T709" s="9" t="s">
        <v>393</v>
      </c>
      <c r="U709" s="13"/>
      <c r="V709" s="9" t="s">
        <v>30</v>
      </c>
      <c r="W709" s="13"/>
      <c r="X709" s="9">
        <v>2</v>
      </c>
    </row>
    <row r="710" spans="1:24">
      <c r="A710" s="13"/>
      <c r="B710" s="9" t="s">
        <v>3114</v>
      </c>
      <c r="C710" s="9" t="str">
        <f>VLOOKUP(B710,[1]RXNS!$B:$C,1,)</f>
        <v>PMANM</v>
      </c>
      <c r="D710" s="9" t="b">
        <f t="shared" si="44"/>
        <v>1</v>
      </c>
      <c r="E710" s="9" t="s">
        <v>3115</v>
      </c>
      <c r="F710" s="9" t="s">
        <v>3115</v>
      </c>
      <c r="G710" s="9" t="b">
        <f t="shared" si="45"/>
        <v>1</v>
      </c>
      <c r="H710" s="9" t="str">
        <f>VLOOKUP(B710,[1]RXNS!$B:$D,3,FALSE)</f>
        <v>D-Mannose 1-phosphate[c] &lt;=&gt; D-Mannose 6-phosphate[c]</v>
      </c>
      <c r="I710" s="9" t="s">
        <v>3116</v>
      </c>
      <c r="J710" s="9" t="s">
        <v>3117</v>
      </c>
      <c r="K710" s="9" t="s">
        <v>3116</v>
      </c>
      <c r="L710" s="9" t="b">
        <f t="shared" si="46"/>
        <v>1</v>
      </c>
      <c r="M710" s="9" t="b">
        <f t="shared" si="47"/>
        <v>1</v>
      </c>
      <c r="N710" s="9" t="s">
        <v>3076</v>
      </c>
      <c r="O710" s="9">
        <v>-1000</v>
      </c>
      <c r="P710" s="9">
        <v>1000</v>
      </c>
      <c r="Q710" s="13"/>
      <c r="R710" s="13"/>
      <c r="S710" s="9" t="s">
        <v>3118</v>
      </c>
      <c r="T710" s="9" t="s">
        <v>1272</v>
      </c>
      <c r="U710" s="13"/>
      <c r="V710" s="9" t="s">
        <v>30</v>
      </c>
      <c r="W710" s="13"/>
      <c r="X710" s="9">
        <v>2</v>
      </c>
    </row>
    <row r="711" spans="1:24">
      <c r="A711" s="13"/>
      <c r="B711" s="9" t="s">
        <v>3119</v>
      </c>
      <c r="C711" s="9" t="str">
        <f>VLOOKUP(B711,[1]RXNS!$B:$C,1,)</f>
        <v>PMEVK</v>
      </c>
      <c r="D711" s="9" t="b">
        <f t="shared" si="44"/>
        <v>1</v>
      </c>
      <c r="E711" s="9" t="s">
        <v>3120</v>
      </c>
      <c r="F711" s="9" t="s">
        <v>3120</v>
      </c>
      <c r="G711" s="9" t="b">
        <f t="shared" si="45"/>
        <v>1</v>
      </c>
      <c r="H711" s="9" t="str">
        <f>VLOOKUP(B711,[1]RXNS!$B:$D,3,FALSE)</f>
        <v>(R)-5-Phosphomevalonate[c] + ATP[c] =&gt; (R)-5-Diphosphomevalonate[c] + ADP[c]</v>
      </c>
      <c r="I711" s="9" t="s">
        <v>3121</v>
      </c>
      <c r="J711" s="9" t="s">
        <v>3122</v>
      </c>
      <c r="K711" s="9" t="s">
        <v>3121</v>
      </c>
      <c r="L711" s="9" t="b">
        <f t="shared" si="46"/>
        <v>1</v>
      </c>
      <c r="M711" s="9" t="b">
        <f t="shared" si="47"/>
        <v>1</v>
      </c>
      <c r="N711" s="9" t="s">
        <v>3123</v>
      </c>
      <c r="O711" s="9">
        <v>0</v>
      </c>
      <c r="P711" s="9">
        <v>1000</v>
      </c>
      <c r="Q711" s="13"/>
      <c r="R711" s="13"/>
      <c r="S711" s="9" t="s">
        <v>3124</v>
      </c>
      <c r="T711" s="9" t="s">
        <v>573</v>
      </c>
      <c r="U711" s="13"/>
      <c r="V711" s="9" t="s">
        <v>30</v>
      </c>
      <c r="W711" s="13"/>
      <c r="X711" s="9">
        <v>2</v>
      </c>
    </row>
    <row r="712" spans="1:24">
      <c r="A712" s="13"/>
      <c r="B712" s="9" t="s">
        <v>3125</v>
      </c>
      <c r="C712" s="9" t="str">
        <f>VLOOKUP(B712,[1]RXNS!$B:$C,1,)</f>
        <v>PMPK</v>
      </c>
      <c r="D712" s="9" t="b">
        <f t="shared" si="44"/>
        <v>1</v>
      </c>
      <c r="E712" s="9" t="s">
        <v>3126</v>
      </c>
      <c r="F712" s="9" t="s">
        <v>3126</v>
      </c>
      <c r="G712" s="9" t="b">
        <f t="shared" si="45"/>
        <v>1</v>
      </c>
      <c r="H712" s="9" t="str">
        <f>VLOOKUP(B712,[1]RXNS!$B:$D,3,FALSE)</f>
        <v>4-Amino-2-methyl-5-phosphomethylpyrimidine[c] + ATP[c] =&gt; 2-Methyl-4-amino-5-hydroxymethylpyrimidine diphosphate[c] + ADP[c]</v>
      </c>
      <c r="I712" s="9" t="s">
        <v>3127</v>
      </c>
      <c r="J712" s="9" t="s">
        <v>3128</v>
      </c>
      <c r="K712" s="9" t="s">
        <v>3127</v>
      </c>
      <c r="L712" s="9" t="b">
        <f t="shared" si="46"/>
        <v>1</v>
      </c>
      <c r="M712" s="9" t="b">
        <f t="shared" si="47"/>
        <v>1</v>
      </c>
      <c r="N712" s="9" t="s">
        <v>2460</v>
      </c>
      <c r="O712" s="9">
        <v>0</v>
      </c>
      <c r="P712" s="9">
        <v>1000</v>
      </c>
      <c r="Q712" s="13"/>
      <c r="R712" s="13"/>
      <c r="S712" s="9" t="s">
        <v>3129</v>
      </c>
      <c r="T712" s="9" t="s">
        <v>244</v>
      </c>
      <c r="U712" s="13"/>
      <c r="V712" s="9" t="s">
        <v>30</v>
      </c>
      <c r="W712" s="13"/>
      <c r="X712" s="9">
        <v>2</v>
      </c>
    </row>
    <row r="713" spans="1:24">
      <c r="A713" s="13"/>
      <c r="B713" s="9" t="s">
        <v>3130</v>
      </c>
      <c r="C713" s="9" t="str">
        <f>VLOOKUP(B713,[1]RXNS!$B:$C,1,)</f>
        <v>PNS1</v>
      </c>
      <c r="D713" s="9" t="b">
        <f t="shared" si="44"/>
        <v>1</v>
      </c>
      <c r="E713" s="9" t="s">
        <v>3131</v>
      </c>
      <c r="F713" s="9" t="s">
        <v>3131</v>
      </c>
      <c r="G713" s="9" t="b">
        <f t="shared" si="45"/>
        <v>1</v>
      </c>
      <c r="H713" s="9" t="str">
        <f>VLOOKUP(B713,[1]RXNS!$B:$D,3,FALSE)</f>
        <v>Adenosine[c] + H2O[c] =&gt; Adenine[c] + D-Ribose[c]</v>
      </c>
      <c r="I713" s="9" t="s">
        <v>3132</v>
      </c>
      <c r="J713" s="9" t="s">
        <v>3133</v>
      </c>
      <c r="K713" s="9" t="s">
        <v>3132</v>
      </c>
      <c r="L713" s="9" t="b">
        <f t="shared" si="46"/>
        <v>1</v>
      </c>
      <c r="M713" s="9" t="b">
        <f t="shared" si="47"/>
        <v>1</v>
      </c>
      <c r="N713" s="9" t="s">
        <v>3134</v>
      </c>
      <c r="O713" s="9">
        <v>0</v>
      </c>
      <c r="P713" s="9">
        <v>1000</v>
      </c>
      <c r="Q713" s="13"/>
      <c r="R713" s="13"/>
      <c r="S713" s="13"/>
      <c r="T713" s="9" t="s">
        <v>153</v>
      </c>
      <c r="U713" s="13"/>
      <c r="V713" s="9" t="s">
        <v>30</v>
      </c>
      <c r="W713" s="13"/>
      <c r="X713" s="9">
        <v>2</v>
      </c>
    </row>
    <row r="714" spans="1:24">
      <c r="A714" s="13"/>
      <c r="B714" s="9" t="s">
        <v>3135</v>
      </c>
      <c r="C714" s="9" t="str">
        <f>VLOOKUP(B714,[1]RXNS!$B:$C,1,)</f>
        <v>PNS2</v>
      </c>
      <c r="D714" s="9" t="b">
        <f t="shared" si="44"/>
        <v>1</v>
      </c>
      <c r="E714" s="9" t="s">
        <v>3136</v>
      </c>
      <c r="F714" s="9" t="s">
        <v>3136</v>
      </c>
      <c r="G714" s="9" t="b">
        <f t="shared" si="45"/>
        <v>1</v>
      </c>
      <c r="H714" s="9" t="str">
        <f>VLOOKUP(B714,[1]RXNS!$B:$D,3,FALSE)</f>
        <v>Guanosine[c] + H2O[c] =&gt; Guanine[c] + D-Ribose[c]</v>
      </c>
      <c r="I714" s="9" t="s">
        <v>3137</v>
      </c>
      <c r="J714" s="9" t="s">
        <v>3138</v>
      </c>
      <c r="K714" s="9" t="s">
        <v>3137</v>
      </c>
      <c r="L714" s="9" t="b">
        <f t="shared" si="46"/>
        <v>1</v>
      </c>
      <c r="M714" s="9" t="b">
        <f t="shared" si="47"/>
        <v>1</v>
      </c>
      <c r="N714" s="9" t="s">
        <v>3134</v>
      </c>
      <c r="O714" s="9">
        <v>0</v>
      </c>
      <c r="P714" s="9">
        <v>1000</v>
      </c>
      <c r="Q714" s="13"/>
      <c r="R714" s="13"/>
      <c r="S714" s="13"/>
      <c r="T714" s="9" t="s">
        <v>153</v>
      </c>
      <c r="U714" s="13"/>
      <c r="V714" s="9" t="s">
        <v>30</v>
      </c>
      <c r="W714" s="13"/>
      <c r="X714" s="9">
        <v>2</v>
      </c>
    </row>
    <row r="715" spans="1:24">
      <c r="A715" s="13"/>
      <c r="B715" s="9" t="s">
        <v>3139</v>
      </c>
      <c r="C715" s="9" t="str">
        <f>VLOOKUP(B715,[1]RXNS!$B:$C,1,)</f>
        <v>PNS3</v>
      </c>
      <c r="D715" s="9" t="b">
        <f t="shared" si="44"/>
        <v>1</v>
      </c>
      <c r="E715" s="9" t="s">
        <v>3140</v>
      </c>
      <c r="F715" s="9" t="s">
        <v>3140</v>
      </c>
      <c r="G715" s="9" t="b">
        <f t="shared" si="45"/>
        <v>1</v>
      </c>
      <c r="H715" s="9" t="str">
        <f>VLOOKUP(B715,[1]RXNS!$B:$D,3,FALSE)</f>
        <v>H2O[c] + Inosine[c] =&gt; Hypoxanthine[c] + D-Ribose[c]</v>
      </c>
      <c r="I715" s="9" t="s">
        <v>3141</v>
      </c>
      <c r="J715" s="9" t="s">
        <v>3142</v>
      </c>
      <c r="K715" s="9" t="s">
        <v>3141</v>
      </c>
      <c r="L715" s="9" t="b">
        <f t="shared" si="46"/>
        <v>1</v>
      </c>
      <c r="M715" s="9" t="b">
        <f t="shared" si="47"/>
        <v>1</v>
      </c>
      <c r="N715" s="9" t="s">
        <v>3134</v>
      </c>
      <c r="O715" s="9">
        <v>0</v>
      </c>
      <c r="P715" s="9">
        <v>1000</v>
      </c>
      <c r="Q715" s="13"/>
      <c r="R715" s="13"/>
      <c r="S715" s="13"/>
      <c r="T715" s="9" t="s">
        <v>153</v>
      </c>
      <c r="U715" s="13"/>
      <c r="V715" s="9" t="s">
        <v>30</v>
      </c>
      <c r="W715" s="13"/>
      <c r="X715" s="9">
        <v>2</v>
      </c>
    </row>
    <row r="716" spans="1:24">
      <c r="A716" s="13"/>
      <c r="B716" s="9" t="s">
        <v>3143</v>
      </c>
      <c r="C716" s="9" t="str">
        <f>VLOOKUP(B716,[1]RXNS!$B:$C,1,)</f>
        <v>PNS4</v>
      </c>
      <c r="D716" s="9" t="b">
        <f t="shared" si="44"/>
        <v>1</v>
      </c>
      <c r="E716" s="9" t="s">
        <v>3144</v>
      </c>
      <c r="F716" s="9" t="s">
        <v>3144</v>
      </c>
      <c r="G716" s="9" t="b">
        <f t="shared" si="45"/>
        <v>1</v>
      </c>
      <c r="H716" s="9" t="str">
        <f>VLOOKUP(B716,[1]RXNS!$B:$D,3,FALSE)</f>
        <v>H2O[c] + Xanthosine[c] =&gt; D-Ribose[c] + Xanthine[c]</v>
      </c>
      <c r="I716" s="9" t="s">
        <v>3145</v>
      </c>
      <c r="J716" s="9" t="s">
        <v>3146</v>
      </c>
      <c r="K716" s="9" t="s">
        <v>3145</v>
      </c>
      <c r="L716" s="9" t="b">
        <f t="shared" si="46"/>
        <v>1</v>
      </c>
      <c r="M716" s="9" t="b">
        <f t="shared" si="47"/>
        <v>1</v>
      </c>
      <c r="N716" s="9" t="s">
        <v>3134</v>
      </c>
      <c r="O716" s="9">
        <v>0</v>
      </c>
      <c r="P716" s="9">
        <v>1000</v>
      </c>
      <c r="Q716" s="13"/>
      <c r="R716" s="13"/>
      <c r="S716" s="13"/>
      <c r="T716" s="9" t="s">
        <v>153</v>
      </c>
      <c r="U716" s="13"/>
      <c r="V716" s="9" t="s">
        <v>30</v>
      </c>
      <c r="W716" s="13"/>
      <c r="X716" s="9">
        <v>2</v>
      </c>
    </row>
    <row r="717" spans="1:24">
      <c r="A717" s="13"/>
      <c r="B717" s="9" t="s">
        <v>3147</v>
      </c>
      <c r="C717" s="9" t="str">
        <f>VLOOKUP(B717,[1]RXNS!$B:$C,1,)</f>
        <v>PNTK</v>
      </c>
      <c r="D717" s="9" t="b">
        <f t="shared" si="44"/>
        <v>1</v>
      </c>
      <c r="E717" s="9" t="s">
        <v>3148</v>
      </c>
      <c r="F717" s="9" t="s">
        <v>3148</v>
      </c>
      <c r="G717" s="9" t="b">
        <f t="shared" si="45"/>
        <v>1</v>
      </c>
      <c r="H717" s="9" t="str">
        <f>VLOOKUP(B717,[1]RXNS!$B:$D,3,FALSE)</f>
        <v>ATP[c] + (R)-Pantothenate[c] =&gt; D-4'-Phosphopantothenate[c] + ADP[c] + H+[c]</v>
      </c>
      <c r="I717" s="9" t="s">
        <v>3149</v>
      </c>
      <c r="J717" s="9" t="s">
        <v>3150</v>
      </c>
      <c r="K717" s="9" t="s">
        <v>3149</v>
      </c>
      <c r="L717" s="9" t="b">
        <f t="shared" si="46"/>
        <v>1</v>
      </c>
      <c r="M717" s="9" t="b">
        <f t="shared" si="47"/>
        <v>1</v>
      </c>
      <c r="N717" s="9" t="s">
        <v>3151</v>
      </c>
      <c r="O717" s="9">
        <v>0</v>
      </c>
      <c r="P717" s="9">
        <v>1000</v>
      </c>
      <c r="Q717" s="13"/>
      <c r="R717" s="13"/>
      <c r="S717" s="9" t="s">
        <v>3152</v>
      </c>
      <c r="T717" s="9" t="s">
        <v>131</v>
      </c>
      <c r="U717" s="13"/>
      <c r="V717" s="9" t="s">
        <v>30</v>
      </c>
      <c r="W717" s="13"/>
      <c r="X717" s="9">
        <v>2</v>
      </c>
    </row>
    <row r="718" spans="1:24">
      <c r="A718" s="13"/>
      <c r="B718" s="9" t="s">
        <v>3153</v>
      </c>
      <c r="C718" s="9" t="str">
        <f>VLOOKUP(B718,[1]RXNS!$B:$C,1,)</f>
        <v>PNTOt2</v>
      </c>
      <c r="D718" s="9" t="b">
        <f t="shared" si="44"/>
        <v>1</v>
      </c>
      <c r="E718" s="9" t="s">
        <v>3154</v>
      </c>
      <c r="F718" s="9" t="s">
        <v>3154</v>
      </c>
      <c r="G718" s="9" t="b">
        <f t="shared" si="45"/>
        <v>1</v>
      </c>
      <c r="H718" s="9" t="str">
        <f>VLOOKUP(B718,[1]RXNS!$B:$D,3,FALSE)</f>
        <v>H+[e] + (R)-Pantothenate[e] &lt;=&gt; H+[c] + (R)-Pantothenate[c]</v>
      </c>
      <c r="I718" s="9">
        <f>VLOOKUP(B718,[1]RXNS!$B:$E,4,FALSE)</f>
        <v>0</v>
      </c>
      <c r="J718" s="9" t="s">
        <v>3155</v>
      </c>
      <c r="K718" s="13"/>
      <c r="L718" s="9" t="b">
        <f t="shared" si="46"/>
        <v>1</v>
      </c>
      <c r="M718" s="9" t="b">
        <f t="shared" si="47"/>
        <v>0</v>
      </c>
      <c r="N718" s="13"/>
      <c r="O718" s="9">
        <v>-1000</v>
      </c>
      <c r="P718" s="9">
        <v>1000</v>
      </c>
      <c r="Q718" s="13"/>
      <c r="R718" s="13"/>
      <c r="S718" s="13"/>
      <c r="T718" s="9" t="s">
        <v>146</v>
      </c>
      <c r="U718" s="13"/>
      <c r="V718" s="9" t="s">
        <v>35</v>
      </c>
      <c r="W718" s="13"/>
      <c r="X718" s="9">
        <v>2</v>
      </c>
    </row>
    <row r="719" spans="1:24">
      <c r="A719" s="13"/>
      <c r="B719" s="9" t="s">
        <v>3156</v>
      </c>
      <c r="C719" s="9" t="str">
        <f>VLOOKUP(B719,[1]RXNS!$B:$C,1,)</f>
        <v>PPA</v>
      </c>
      <c r="D719" s="9" t="b">
        <f t="shared" si="44"/>
        <v>1</v>
      </c>
      <c r="E719" s="9" t="s">
        <v>3157</v>
      </c>
      <c r="F719" s="9" t="s">
        <v>3157</v>
      </c>
      <c r="G719" s="9" t="b">
        <f t="shared" si="45"/>
        <v>1</v>
      </c>
      <c r="H719" s="9" t="str">
        <f>VLOOKUP(B719,[1]RXNS!$B:$D,3,FALSE)</f>
        <v>H2O[c] + Diphosphate[c] =&gt; H+[c] + 2 Phosphate[c]</v>
      </c>
      <c r="I719" s="9" t="s">
        <v>3158</v>
      </c>
      <c r="J719" s="9" t="s">
        <v>3159</v>
      </c>
      <c r="K719" s="9" t="s">
        <v>3158</v>
      </c>
      <c r="L719" s="9" t="b">
        <f t="shared" si="46"/>
        <v>1</v>
      </c>
      <c r="M719" s="9" t="b">
        <f t="shared" si="47"/>
        <v>1</v>
      </c>
      <c r="N719" s="9" t="s">
        <v>3160</v>
      </c>
      <c r="O719" s="9">
        <v>0</v>
      </c>
      <c r="P719" s="9">
        <v>1000</v>
      </c>
      <c r="Q719" s="13"/>
      <c r="R719" s="13"/>
      <c r="S719" s="9" t="s">
        <v>3161</v>
      </c>
      <c r="T719" s="9" t="s">
        <v>520</v>
      </c>
      <c r="U719" s="13"/>
      <c r="V719" s="9" t="s">
        <v>30</v>
      </c>
      <c r="W719" s="13"/>
      <c r="X719" s="9">
        <v>2</v>
      </c>
    </row>
    <row r="720" spans="1:24">
      <c r="A720" s="13"/>
      <c r="B720" s="9" t="s">
        <v>3162</v>
      </c>
      <c r="C720" s="9" t="str">
        <f>VLOOKUP(B720,[1]RXNS!$B:$C,1,)</f>
        <v>PPBNGS</v>
      </c>
      <c r="D720" s="9" t="b">
        <f t="shared" si="44"/>
        <v>1</v>
      </c>
      <c r="E720" s="9" t="s">
        <v>3163</v>
      </c>
      <c r="F720" s="9" t="s">
        <v>3163</v>
      </c>
      <c r="G720" s="9" t="b">
        <f t="shared" si="45"/>
        <v>1</v>
      </c>
      <c r="H720" s="9" t="str">
        <f>VLOOKUP(B720,[1]RXNS!$B:$D,3,FALSE)</f>
        <v>2 5-Amino-4-oxopentanoate[c] =&gt; 2 H2O[c] + H+[c] + Porphobilinogen[c]</v>
      </c>
      <c r="I720" s="9" t="s">
        <v>3164</v>
      </c>
      <c r="J720" s="9" t="s">
        <v>3165</v>
      </c>
      <c r="K720" s="9" t="s">
        <v>3164</v>
      </c>
      <c r="L720" s="9" t="b">
        <f t="shared" si="46"/>
        <v>1</v>
      </c>
      <c r="M720" s="9" t="b">
        <f t="shared" si="47"/>
        <v>1</v>
      </c>
      <c r="N720" s="13"/>
      <c r="O720" s="9">
        <v>0</v>
      </c>
      <c r="P720" s="9">
        <v>1000</v>
      </c>
      <c r="Q720" s="13"/>
      <c r="R720" s="13"/>
      <c r="S720" s="13"/>
      <c r="T720" s="9" t="s">
        <v>85</v>
      </c>
      <c r="U720" s="13"/>
      <c r="V720" s="9" t="s">
        <v>35</v>
      </c>
      <c r="W720" s="13"/>
      <c r="X720" s="9">
        <v>2</v>
      </c>
    </row>
    <row r="721" spans="1:24">
      <c r="A721" s="13"/>
      <c r="B721" s="9" t="s">
        <v>3166</v>
      </c>
      <c r="C721" s="9" t="str">
        <f>VLOOKUP(B721,[1]RXNS!$B:$C,1,)</f>
        <v>PPCDC</v>
      </c>
      <c r="D721" s="9" t="b">
        <f t="shared" si="44"/>
        <v>1</v>
      </c>
      <c r="E721" s="9" t="s">
        <v>3167</v>
      </c>
      <c r="F721" s="9" t="s">
        <v>3167</v>
      </c>
      <c r="G721" s="9" t="b">
        <f t="shared" si="45"/>
        <v>1</v>
      </c>
      <c r="H721" s="9" t="str">
        <f>VLOOKUP(B721,[1]RXNS!$B:$D,3,FALSE)</f>
        <v>N-((R)-4-Phosphopantothenoyl)-L-cysteine[c] + H+[c] =&gt; CO2[c] + Pantetheine 4'-phosphate[c]</v>
      </c>
      <c r="I721" s="9" t="s">
        <v>3168</v>
      </c>
      <c r="J721" s="9" t="s">
        <v>3169</v>
      </c>
      <c r="K721" s="9" t="s">
        <v>3168</v>
      </c>
      <c r="L721" s="9" t="b">
        <f t="shared" si="46"/>
        <v>1</v>
      </c>
      <c r="M721" s="9" t="b">
        <f t="shared" si="47"/>
        <v>1</v>
      </c>
      <c r="N721" s="9" t="s">
        <v>2316</v>
      </c>
      <c r="O721" s="9">
        <v>0</v>
      </c>
      <c r="P721" s="9">
        <v>1000</v>
      </c>
      <c r="Q721" s="13"/>
      <c r="R721" s="13"/>
      <c r="S721" s="9" t="s">
        <v>3170</v>
      </c>
      <c r="T721" s="9" t="s">
        <v>131</v>
      </c>
      <c r="U721" s="13"/>
      <c r="V721" s="9" t="s">
        <v>30</v>
      </c>
      <c r="W721" s="13"/>
      <c r="X721" s="9">
        <v>2</v>
      </c>
    </row>
    <row r="722" spans="1:24">
      <c r="A722" s="13"/>
      <c r="B722" s="9" t="s">
        <v>3171</v>
      </c>
      <c r="C722" s="9" t="str">
        <f>VLOOKUP(B722,[1]RXNS!$B:$C,1,)</f>
        <v>PPCK</v>
      </c>
      <c r="D722" s="9" t="b">
        <f t="shared" si="44"/>
        <v>1</v>
      </c>
      <c r="E722" s="9" t="s">
        <v>3172</v>
      </c>
      <c r="F722" s="9" t="s">
        <v>3172</v>
      </c>
      <c r="G722" s="9" t="b">
        <f t="shared" si="45"/>
        <v>1</v>
      </c>
      <c r="H722" s="9" t="str">
        <f>VLOOKUP(B722,[1]RXNS!$B:$D,3,FALSE)</f>
        <v>ATP[c] + Oxaloacetate[c] =&gt; ADP[c] + CO2[c] + Phosphoenolpyruvate[c]</v>
      </c>
      <c r="I722" s="9" t="s">
        <v>3173</v>
      </c>
      <c r="J722" s="9" t="s">
        <v>3174</v>
      </c>
      <c r="K722" s="9" t="s">
        <v>3173</v>
      </c>
      <c r="L722" s="9" t="b">
        <f t="shared" si="46"/>
        <v>1</v>
      </c>
      <c r="M722" s="9" t="b">
        <f t="shared" si="47"/>
        <v>1</v>
      </c>
      <c r="N722" s="9" t="s">
        <v>3175</v>
      </c>
      <c r="O722" s="9">
        <v>0</v>
      </c>
      <c r="P722" s="9">
        <v>1000</v>
      </c>
      <c r="Q722" s="13"/>
      <c r="R722" s="13"/>
      <c r="S722" s="9" t="s">
        <v>3176</v>
      </c>
      <c r="T722" s="9" t="s">
        <v>330</v>
      </c>
      <c r="U722" s="13"/>
      <c r="V722" s="9" t="s">
        <v>30</v>
      </c>
      <c r="W722" s="13"/>
      <c r="X722" s="9">
        <v>2</v>
      </c>
    </row>
    <row r="723" spans="1:24">
      <c r="A723" s="13"/>
      <c r="B723" s="9" t="s">
        <v>3177</v>
      </c>
      <c r="C723" s="9" t="str">
        <f>VLOOKUP(B723,[1]RXNS!$B:$C,1,)</f>
        <v>PPDD</v>
      </c>
      <c r="D723" s="9" t="b">
        <f t="shared" si="44"/>
        <v>1</v>
      </c>
      <c r="E723" s="9" t="s">
        <v>3178</v>
      </c>
      <c r="F723" s="9" t="s">
        <v>3178</v>
      </c>
      <c r="G723" s="9" t="b">
        <f t="shared" si="45"/>
        <v>1</v>
      </c>
      <c r="H723" s="9" t="str">
        <f>VLOOKUP(B723,[1]RXNS!$B:$D,3,FALSE)</f>
        <v>(R)-Propane-1,2-diol[c] =&gt; H2O[c] + Propanal[c]</v>
      </c>
      <c r="I723" s="9" t="s">
        <v>3179</v>
      </c>
      <c r="J723" s="9" t="s">
        <v>3180</v>
      </c>
      <c r="K723" s="9" t="s">
        <v>3179</v>
      </c>
      <c r="L723" s="9" t="b">
        <f t="shared" si="46"/>
        <v>1</v>
      </c>
      <c r="M723" s="9" t="b">
        <f t="shared" si="47"/>
        <v>1</v>
      </c>
      <c r="N723" s="13"/>
      <c r="O723" s="9">
        <v>0</v>
      </c>
      <c r="P723" s="9">
        <v>1000</v>
      </c>
      <c r="Q723" s="13"/>
      <c r="R723" s="13"/>
      <c r="S723" s="13"/>
      <c r="T723" s="9" t="s">
        <v>314</v>
      </c>
      <c r="U723" s="13"/>
      <c r="V723" s="9" t="s">
        <v>35</v>
      </c>
      <c r="W723" s="13"/>
      <c r="X723" s="9">
        <v>2</v>
      </c>
    </row>
    <row r="724" spans="1:24">
      <c r="A724" s="13"/>
      <c r="B724" s="9" t="s">
        <v>3181</v>
      </c>
      <c r="C724" s="9" t="str">
        <f>VLOOKUP(B724,[1]RXNS!$B:$C,1,)</f>
        <v>PPDt1</v>
      </c>
      <c r="D724" s="9" t="b">
        <f t="shared" si="44"/>
        <v>1</v>
      </c>
      <c r="E724" s="9" t="s">
        <v>3182</v>
      </c>
      <c r="F724" s="9" t="s">
        <v>3182</v>
      </c>
      <c r="G724" s="9" t="b">
        <f t="shared" si="45"/>
        <v>1</v>
      </c>
      <c r="H724" s="9" t="str">
        <f>VLOOKUP(B724,[1]RXNS!$B:$D,3,FALSE)</f>
        <v>Propane-1,3-diol[c] &lt;=&gt; Propane-1,3-diol[e]</v>
      </c>
      <c r="I724" s="9">
        <f>VLOOKUP(B724,[1]RXNS!$B:$E,4,FALSE)</f>
        <v>0</v>
      </c>
      <c r="J724" s="9" t="s">
        <v>3183</v>
      </c>
      <c r="K724" s="13"/>
      <c r="L724" s="9" t="b">
        <f t="shared" si="46"/>
        <v>1</v>
      </c>
      <c r="M724" s="9" t="b">
        <f t="shared" si="47"/>
        <v>0</v>
      </c>
      <c r="N724" s="13"/>
      <c r="O724" s="9">
        <v>-1000</v>
      </c>
      <c r="P724" s="9">
        <v>1000</v>
      </c>
      <c r="Q724" s="13"/>
      <c r="R724" s="13"/>
      <c r="S724" s="13"/>
      <c r="T724" s="9" t="s">
        <v>146</v>
      </c>
      <c r="U724" s="13"/>
      <c r="V724" s="9" t="s">
        <v>35</v>
      </c>
      <c r="W724" s="13"/>
      <c r="X724" s="9">
        <v>2</v>
      </c>
    </row>
    <row r="725" spans="1:24">
      <c r="A725" s="13"/>
      <c r="B725" s="9" t="s">
        <v>3184</v>
      </c>
      <c r="C725" s="9" t="str">
        <f>VLOOKUP(B725,[1]RXNS!$B:$C,1,)</f>
        <v>PPK2r</v>
      </c>
      <c r="D725" s="9" t="b">
        <f t="shared" si="44"/>
        <v>1</v>
      </c>
      <c r="E725" s="9" t="s">
        <v>3185</v>
      </c>
      <c r="F725" s="9" t="s">
        <v>3185</v>
      </c>
      <c r="G725" s="9" t="b">
        <f t="shared" si="45"/>
        <v>1</v>
      </c>
      <c r="H725" s="9" t="str">
        <f>VLOOKUP(B725,[1]RXNS!$B:$D,3,FALSE)</f>
        <v>ATP[c] + Diphosphate[c] &lt;=&gt; ADP[c] + Inorganic triphosphate[c]</v>
      </c>
      <c r="I725" s="9" t="s">
        <v>3186</v>
      </c>
      <c r="J725" s="9" t="s">
        <v>3187</v>
      </c>
      <c r="K725" s="9" t="s">
        <v>3186</v>
      </c>
      <c r="L725" s="9" t="b">
        <f t="shared" si="46"/>
        <v>0</v>
      </c>
      <c r="M725" s="9" t="b">
        <f t="shared" si="47"/>
        <v>1</v>
      </c>
      <c r="N725" s="9" t="s">
        <v>2310</v>
      </c>
      <c r="O725" s="9">
        <v>0</v>
      </c>
      <c r="P725" s="9">
        <v>1000</v>
      </c>
      <c r="Q725" s="13"/>
      <c r="R725" s="13"/>
      <c r="S725" s="13"/>
      <c r="T725" s="9" t="s">
        <v>520</v>
      </c>
      <c r="U725" s="13"/>
      <c r="V725" s="9" t="s">
        <v>30</v>
      </c>
      <c r="W725" s="13"/>
      <c r="X725" s="9">
        <v>2</v>
      </c>
    </row>
    <row r="726" spans="1:24">
      <c r="A726" s="13"/>
      <c r="B726" s="9" t="s">
        <v>3188</v>
      </c>
      <c r="C726" s="9" t="str">
        <f>VLOOKUP(B726,[1]RXNS!$B:$C,1,)</f>
        <v>PPM</v>
      </c>
      <c r="D726" s="9" t="b">
        <f t="shared" si="44"/>
        <v>1</v>
      </c>
      <c r="E726" s="9" t="s">
        <v>3189</v>
      </c>
      <c r="F726" s="9" t="s">
        <v>3189</v>
      </c>
      <c r="G726" s="9" t="b">
        <f t="shared" si="45"/>
        <v>1</v>
      </c>
      <c r="H726" s="9" t="str">
        <f>VLOOKUP(B726,[1]RXNS!$B:$D,3,FALSE)</f>
        <v>alpha-D-Ribose 1-phosphate[c] &lt;=&gt; alpha-D-Ribose 5-phosphate[c]</v>
      </c>
      <c r="I726" s="9" t="s">
        <v>3190</v>
      </c>
      <c r="J726" s="9" t="s">
        <v>3191</v>
      </c>
      <c r="K726" s="9" t="s">
        <v>3190</v>
      </c>
      <c r="L726" s="9" t="b">
        <f t="shared" si="46"/>
        <v>1</v>
      </c>
      <c r="M726" s="9" t="b">
        <f t="shared" si="47"/>
        <v>1</v>
      </c>
      <c r="N726" s="13"/>
      <c r="O726" s="9">
        <v>-1000</v>
      </c>
      <c r="P726" s="9">
        <v>1000</v>
      </c>
      <c r="Q726" s="13"/>
      <c r="R726" s="13"/>
      <c r="S726" s="13"/>
      <c r="T726" s="9" t="s">
        <v>393</v>
      </c>
      <c r="U726" s="13"/>
      <c r="V726" s="9" t="s">
        <v>35</v>
      </c>
      <c r="W726" s="13"/>
      <c r="X726" s="9">
        <v>2</v>
      </c>
    </row>
    <row r="727" spans="1:24">
      <c r="A727" s="13"/>
      <c r="B727" s="9" t="s">
        <v>3192</v>
      </c>
      <c r="C727" s="9" t="str">
        <f>VLOOKUP(B727,[1]RXNS!$B:$C,1,)</f>
        <v>PPM2</v>
      </c>
      <c r="D727" s="9" t="b">
        <f t="shared" si="44"/>
        <v>1</v>
      </c>
      <c r="E727" s="9" t="s">
        <v>3193</v>
      </c>
      <c r="F727" s="9" t="s">
        <v>3193</v>
      </c>
      <c r="G727" s="9" t="b">
        <f t="shared" si="45"/>
        <v>1</v>
      </c>
      <c r="H727" s="9" t="str">
        <f>VLOOKUP(B727,[1]RXNS!$B:$D,3,FALSE)</f>
        <v>2-Deoxy-D-ribose 1-phosphate[c] &lt;=&gt; 2-Deoxy-D-ribose 5-phosphate[c]</v>
      </c>
      <c r="I727" s="9" t="s">
        <v>3194</v>
      </c>
      <c r="J727" s="9" t="s">
        <v>3195</v>
      </c>
      <c r="K727" s="9" t="s">
        <v>3194</v>
      </c>
      <c r="L727" s="9" t="b">
        <f t="shared" si="46"/>
        <v>1</v>
      </c>
      <c r="M727" s="9" t="b">
        <f t="shared" si="47"/>
        <v>1</v>
      </c>
      <c r="N727" s="13"/>
      <c r="O727" s="9">
        <v>-1000</v>
      </c>
      <c r="P727" s="9">
        <v>1000</v>
      </c>
      <c r="Q727" s="13"/>
      <c r="R727" s="13"/>
      <c r="S727" s="13"/>
      <c r="T727" s="9" t="s">
        <v>393</v>
      </c>
      <c r="U727" s="13"/>
      <c r="V727" s="9" t="s">
        <v>35</v>
      </c>
      <c r="W727" s="13"/>
      <c r="X727" s="9">
        <v>2</v>
      </c>
    </row>
    <row r="728" spans="1:24">
      <c r="A728" s="13"/>
      <c r="B728" s="9" t="s">
        <v>3196</v>
      </c>
      <c r="C728" s="9" t="str">
        <f>VLOOKUP(B728,[1]RXNS!$B:$C,1,)</f>
        <v>PPN13D</v>
      </c>
      <c r="D728" s="9" t="b">
        <f t="shared" si="44"/>
        <v>1</v>
      </c>
      <c r="E728" s="9" t="s">
        <v>3197</v>
      </c>
      <c r="F728" s="9" t="s">
        <v>3197</v>
      </c>
      <c r="G728" s="9" t="b">
        <f t="shared" si="45"/>
        <v>1</v>
      </c>
      <c r="H728" s="9" t="str">
        <f>VLOOKUP(B728,[1]RXNS!$B:$D,3,FALSE)</f>
        <v>Propane-1,3-diol[c] + Nicotinamide adenine dinucleotide[c] &lt;=&gt; 3-Hydroxypropanal[c] + H+[c] + Nicotinamide adenine dinucleotide - reduced[c]</v>
      </c>
      <c r="I728" s="9" t="s">
        <v>3198</v>
      </c>
      <c r="J728" s="9" t="s">
        <v>3199</v>
      </c>
      <c r="K728" s="9" t="s">
        <v>3198</v>
      </c>
      <c r="L728" s="9" t="b">
        <f t="shared" si="46"/>
        <v>1</v>
      </c>
      <c r="M728" s="9" t="b">
        <f t="shared" si="47"/>
        <v>1</v>
      </c>
      <c r="N728" s="9" t="s">
        <v>3200</v>
      </c>
      <c r="O728" s="9">
        <v>-1000</v>
      </c>
      <c r="P728" s="9">
        <v>1000</v>
      </c>
      <c r="Q728" s="13"/>
      <c r="R728" s="13"/>
      <c r="S728" s="13"/>
      <c r="T728" s="9" t="s">
        <v>228</v>
      </c>
      <c r="U728" s="13"/>
      <c r="V728" s="9" t="s">
        <v>30</v>
      </c>
      <c r="W728" s="13"/>
      <c r="X728" s="9">
        <v>2</v>
      </c>
    </row>
    <row r="729" spans="1:24">
      <c r="A729" s="13"/>
      <c r="B729" s="9" t="s">
        <v>3201</v>
      </c>
      <c r="C729" s="9" t="str">
        <f>VLOOKUP(B729,[1]RXNS!$B:$C,1,)</f>
        <v>PPNCL</v>
      </c>
      <c r="D729" s="9" t="b">
        <f t="shared" si="44"/>
        <v>1</v>
      </c>
      <c r="E729" s="9" t="s">
        <v>3202</v>
      </c>
      <c r="F729" s="9" t="s">
        <v>3202</v>
      </c>
      <c r="G729" s="9" t="b">
        <f t="shared" si="45"/>
        <v>1</v>
      </c>
      <c r="H729" s="9" t="str">
        <f>VLOOKUP(B729,[1]RXNS!$B:$D,3,FALSE)</f>
        <v>D-4'-Phosphopantothenate[c] + CTP[c] + L-Cysteine[c] =&gt; N-((R)-4-Phosphopantothenoyl)-L-cysteine[c] + CDP[c] + H+[c] + Phosphate[c]</v>
      </c>
      <c r="I729" s="9" t="s">
        <v>2314</v>
      </c>
      <c r="J729" s="9" t="s">
        <v>3203</v>
      </c>
      <c r="K729" s="9" t="s">
        <v>2314</v>
      </c>
      <c r="L729" s="9" t="b">
        <f t="shared" si="46"/>
        <v>1</v>
      </c>
      <c r="M729" s="9" t="b">
        <f t="shared" si="47"/>
        <v>1</v>
      </c>
      <c r="N729" s="9" t="s">
        <v>2316</v>
      </c>
      <c r="O729" s="9">
        <v>0</v>
      </c>
      <c r="P729" s="9">
        <v>1000</v>
      </c>
      <c r="Q729" s="13"/>
      <c r="R729" s="13"/>
      <c r="S729" s="9" t="s">
        <v>3204</v>
      </c>
      <c r="T729" s="9" t="s">
        <v>131</v>
      </c>
      <c r="U729" s="13"/>
      <c r="V729" s="9" t="s">
        <v>30</v>
      </c>
      <c r="W729" s="13"/>
      <c r="X729" s="9">
        <v>2</v>
      </c>
    </row>
    <row r="730" spans="1:24">
      <c r="A730" s="13"/>
      <c r="B730" s="9" t="s">
        <v>3205</v>
      </c>
      <c r="C730" s="9" t="str">
        <f>VLOOKUP(B730,[1]RXNS!$B:$C,1,)</f>
        <v>PRAGSr</v>
      </c>
      <c r="D730" s="9" t="b">
        <f t="shared" si="44"/>
        <v>1</v>
      </c>
      <c r="E730" s="9" t="s">
        <v>3206</v>
      </c>
      <c r="F730" s="9" t="s">
        <v>3206</v>
      </c>
      <c r="G730" s="9" t="b">
        <f t="shared" si="45"/>
        <v>1</v>
      </c>
      <c r="H730" s="9" t="str">
        <f>VLOOKUP(B730,[1]RXNS!$B:$D,3,FALSE)</f>
        <v>ATP[c] + Glycine[c] + 5-Phospho-beta-D-ribosylamine[c] &lt;=&gt; ADP[c] + N1-(5-Phospho-D-ribosyl)glycinamide[c] + H+[c] + Phosphate[c]</v>
      </c>
      <c r="I730" s="9" t="s">
        <v>3207</v>
      </c>
      <c r="J730" s="9" t="s">
        <v>3208</v>
      </c>
      <c r="K730" s="9" t="s">
        <v>3207</v>
      </c>
      <c r="L730" s="9" t="b">
        <f t="shared" si="46"/>
        <v>1</v>
      </c>
      <c r="M730" s="9" t="b">
        <f t="shared" si="47"/>
        <v>1</v>
      </c>
      <c r="N730" s="9" t="s">
        <v>3209</v>
      </c>
      <c r="O730" s="9">
        <v>-1000</v>
      </c>
      <c r="P730" s="9">
        <v>1000</v>
      </c>
      <c r="Q730" s="13"/>
      <c r="R730" s="13"/>
      <c r="S730" s="9" t="s">
        <v>3210</v>
      </c>
      <c r="T730" s="9" t="s">
        <v>153</v>
      </c>
      <c r="U730" s="13"/>
      <c r="V730" s="9" t="s">
        <v>30</v>
      </c>
      <c r="W730" s="13"/>
      <c r="X730" s="9">
        <v>2</v>
      </c>
    </row>
    <row r="731" spans="1:24">
      <c r="A731" s="13"/>
      <c r="B731" s="9" t="s">
        <v>3211</v>
      </c>
      <c r="C731" s="9" t="str">
        <f>VLOOKUP(B731,[1]RXNS!$B:$C,1,)</f>
        <v>PRAIS</v>
      </c>
      <c r="D731" s="9" t="b">
        <f t="shared" si="44"/>
        <v>1</v>
      </c>
      <c r="E731" s="9" t="s">
        <v>3212</v>
      </c>
      <c r="F731" s="9" t="s">
        <v>3212</v>
      </c>
      <c r="G731" s="9" t="b">
        <f t="shared" si="45"/>
        <v>1</v>
      </c>
      <c r="H731" s="9" t="str">
        <f>VLOOKUP(B731,[1]RXNS!$B:$D,3,FALSE)</f>
        <v>ATP[c] + 2-(Formamido)-N1-(5-phospho-D-ribosyl)acetamidine[c] =&gt; ADP[c] + 5-amino-1-(5-phospho-D-ribosyl)imidazole[c] + 2 H+[c] + Phosphate[c]</v>
      </c>
      <c r="I731" s="9" t="s">
        <v>3213</v>
      </c>
      <c r="J731" s="9" t="s">
        <v>3214</v>
      </c>
      <c r="K731" s="9" t="s">
        <v>3213</v>
      </c>
      <c r="L731" s="9" t="b">
        <f t="shared" si="46"/>
        <v>1</v>
      </c>
      <c r="M731" s="9" t="b">
        <f t="shared" si="47"/>
        <v>1</v>
      </c>
      <c r="N731" s="9" t="s">
        <v>3215</v>
      </c>
      <c r="O731" s="9">
        <v>0</v>
      </c>
      <c r="P731" s="9">
        <v>1000</v>
      </c>
      <c r="Q731" s="13"/>
      <c r="R731" s="13"/>
      <c r="S731" s="9" t="s">
        <v>3216</v>
      </c>
      <c r="T731" s="9" t="s">
        <v>222</v>
      </c>
      <c r="U731" s="13"/>
      <c r="V731" s="9" t="s">
        <v>30</v>
      </c>
      <c r="W731" s="13"/>
      <c r="X731" s="9">
        <v>2</v>
      </c>
    </row>
    <row r="732" spans="1:24">
      <c r="A732" s="13"/>
      <c r="B732" s="9" t="s">
        <v>3217</v>
      </c>
      <c r="C732" s="9" t="str">
        <f>VLOOKUP(B732,[1]RXNS!$B:$C,1,)</f>
        <v>PRASCS</v>
      </c>
      <c r="D732" s="9" t="b">
        <f t="shared" si="44"/>
        <v>1</v>
      </c>
      <c r="E732" s="9" t="s">
        <v>3218</v>
      </c>
      <c r="F732" s="9" t="s">
        <v>3218</v>
      </c>
      <c r="G732" s="9" t="b">
        <f t="shared" si="45"/>
        <v>1</v>
      </c>
      <c r="H732" s="9" t="str">
        <f>VLOOKUP(B732,[1]RXNS!$B:$D,3,FALSE)</f>
        <v>5-amino-1-(5-phospho-D-ribosyl)imidazole-4-carboxylate[c] + L-Aspartate[c] + ATP[c] &lt;=&gt; (S)-2-[5-Amino-1-(5-phospho-D-ribosyl)imidazole-4-carboxamido]succinate[c] + ADP[c] + H+[c] + Phosphate[c]</v>
      </c>
      <c r="I732" s="9" t="s">
        <v>3219</v>
      </c>
      <c r="J732" s="9" t="s">
        <v>3220</v>
      </c>
      <c r="K732" s="9" t="s">
        <v>3219</v>
      </c>
      <c r="L732" s="9" t="b">
        <f t="shared" si="46"/>
        <v>1</v>
      </c>
      <c r="M732" s="9" t="b">
        <f t="shared" si="47"/>
        <v>1</v>
      </c>
      <c r="N732" s="9" t="s">
        <v>3221</v>
      </c>
      <c r="O732" s="9">
        <v>-1000</v>
      </c>
      <c r="P732" s="9">
        <v>1000</v>
      </c>
      <c r="Q732" s="13"/>
      <c r="R732" s="13"/>
      <c r="S732" s="13"/>
      <c r="T732" s="9" t="s">
        <v>153</v>
      </c>
      <c r="U732" s="13"/>
      <c r="V732" s="9" t="s">
        <v>30</v>
      </c>
      <c r="W732" s="13"/>
      <c r="X732" s="9">
        <v>2</v>
      </c>
    </row>
    <row r="733" spans="1:24">
      <c r="A733" s="13"/>
      <c r="B733" s="9" t="s">
        <v>3222</v>
      </c>
      <c r="C733" s="9" t="str">
        <f>VLOOKUP(B733,[1]RXNS!$B:$C,1,)</f>
        <v>PRFGS</v>
      </c>
      <c r="D733" s="9" t="b">
        <f t="shared" si="44"/>
        <v>1</v>
      </c>
      <c r="E733" s="9" t="s">
        <v>3223</v>
      </c>
      <c r="F733" s="9" t="s">
        <v>3223</v>
      </c>
      <c r="G733" s="9" t="b">
        <f t="shared" si="45"/>
        <v>1</v>
      </c>
      <c r="H733" s="9" t="str">
        <f>VLOOKUP(B733,[1]RXNS!$B:$D,3,FALSE)</f>
        <v>ATP[c] + N2-Formyl-N1-(5-phospho-D-ribosyl)glycinamide[c] + L-Glutamine[c] + H2O[c] =&gt; ADP[c] + 2-(Formamido)-N1-(5-phospho-D-ribosyl)acetamidine[c] + L-Glutamate[c] + H+[c] + Phosphate[c]</v>
      </c>
      <c r="I733" s="9" t="s">
        <v>3224</v>
      </c>
      <c r="J733" s="9" t="s">
        <v>3225</v>
      </c>
      <c r="K733" s="9" t="s">
        <v>3224</v>
      </c>
      <c r="L733" s="9" t="b">
        <f t="shared" si="46"/>
        <v>1</v>
      </c>
      <c r="M733" s="9" t="b">
        <f t="shared" si="47"/>
        <v>1</v>
      </c>
      <c r="N733" s="9" t="s">
        <v>3226</v>
      </c>
      <c r="O733" s="9">
        <v>0</v>
      </c>
      <c r="P733" s="9">
        <v>1000</v>
      </c>
      <c r="Q733" s="13"/>
      <c r="R733" s="13"/>
      <c r="S733" s="9" t="s">
        <v>3227</v>
      </c>
      <c r="T733" s="9" t="s">
        <v>153</v>
      </c>
      <c r="U733" s="13"/>
      <c r="V733" s="9" t="s">
        <v>30</v>
      </c>
      <c r="W733" s="13"/>
      <c r="X733" s="9">
        <v>2</v>
      </c>
    </row>
    <row r="734" spans="1:24">
      <c r="A734" s="13"/>
      <c r="B734" s="9" t="s">
        <v>3228</v>
      </c>
      <c r="C734" s="9" t="str">
        <f>VLOOKUP(B734,[1]RXNS!$B:$C,1,)</f>
        <v>PROTRS</v>
      </c>
      <c r="D734" s="9" t="b">
        <f t="shared" si="44"/>
        <v>1</v>
      </c>
      <c r="E734" s="9" t="s">
        <v>3229</v>
      </c>
      <c r="F734" s="9" t="s">
        <v>3229</v>
      </c>
      <c r="G734" s="9" t="b">
        <f t="shared" si="45"/>
        <v>1</v>
      </c>
      <c r="H734" s="9" t="str">
        <f>VLOOKUP(B734,[1]RXNS!$B:$D,3,FALSE)</f>
        <v>ATP[c] + L-Proline[c] + tRNA(Pro)[c] =&gt; AMP[c] + Diphosphate[c] + L-Prolyl-tRNA(Pro)[c]</v>
      </c>
      <c r="I734" s="9" t="s">
        <v>3230</v>
      </c>
      <c r="J734" s="9" t="s">
        <v>3231</v>
      </c>
      <c r="K734" s="9" t="s">
        <v>3230</v>
      </c>
      <c r="L734" s="9" t="b">
        <f t="shared" si="46"/>
        <v>1</v>
      </c>
      <c r="M734" s="9" t="b">
        <f t="shared" si="47"/>
        <v>1</v>
      </c>
      <c r="N734" s="9" t="s">
        <v>3232</v>
      </c>
      <c r="O734" s="9">
        <v>0</v>
      </c>
      <c r="P734" s="9">
        <v>1000</v>
      </c>
      <c r="Q734" s="13"/>
      <c r="R734" s="13"/>
      <c r="S734" s="13"/>
      <c r="T734" s="9" t="s">
        <v>278</v>
      </c>
      <c r="U734" s="13"/>
      <c r="V734" s="9" t="s">
        <v>30</v>
      </c>
      <c r="W734" s="13"/>
      <c r="X734" s="9">
        <v>2</v>
      </c>
    </row>
    <row r="735" spans="1:24">
      <c r="A735" s="13"/>
      <c r="B735" s="9" t="s">
        <v>3233</v>
      </c>
      <c r="C735" s="9" t="str">
        <f>VLOOKUP(B735,[1]RXNS!$B:$C,1,)</f>
        <v>PROt6</v>
      </c>
      <c r="D735" s="9" t="b">
        <f t="shared" si="44"/>
        <v>1</v>
      </c>
      <c r="E735" s="9" t="s">
        <v>3234</v>
      </c>
      <c r="F735" s="9" t="s">
        <v>3234</v>
      </c>
      <c r="G735" s="9" t="b">
        <f t="shared" si="45"/>
        <v>1</v>
      </c>
      <c r="H735" s="9" t="str">
        <f>VLOOKUP(B735,[1]RXNS!$B:$D,3,FALSE)</f>
        <v>H+[e] + L-Proline[e] &lt;=&gt; H+[c] + L-Proline[c]</v>
      </c>
      <c r="I735" s="9">
        <f>VLOOKUP(B735,[1]RXNS!$B:$E,4,FALSE)</f>
        <v>0</v>
      </c>
      <c r="J735" s="9" t="s">
        <v>3235</v>
      </c>
      <c r="K735" s="13"/>
      <c r="L735" s="9" t="b">
        <f t="shared" si="46"/>
        <v>1</v>
      </c>
      <c r="M735" s="9" t="b">
        <f t="shared" si="47"/>
        <v>0</v>
      </c>
      <c r="N735" s="13"/>
      <c r="O735" s="9">
        <v>-1000</v>
      </c>
      <c r="P735" s="9">
        <v>1000</v>
      </c>
      <c r="Q735" s="13"/>
      <c r="R735" s="13"/>
      <c r="S735" s="13"/>
      <c r="T735" s="9" t="s">
        <v>146</v>
      </c>
      <c r="U735" s="13"/>
      <c r="V735" s="9" t="s">
        <v>35</v>
      </c>
      <c r="W735" s="13"/>
      <c r="X735" s="9">
        <v>2</v>
      </c>
    </row>
    <row r="736" spans="1:24">
      <c r="A736" s="13"/>
      <c r="B736" s="9" t="s">
        <v>3236</v>
      </c>
      <c r="C736" s="9" t="str">
        <f>VLOOKUP(B736,[1]RXNS!$B:$C,1,)</f>
        <v>PRPPS</v>
      </c>
      <c r="D736" s="9" t="b">
        <f t="shared" si="44"/>
        <v>1</v>
      </c>
      <c r="E736" s="9" t="s">
        <v>3237</v>
      </c>
      <c r="F736" s="9" t="s">
        <v>3237</v>
      </c>
      <c r="G736" s="9" t="b">
        <f t="shared" si="45"/>
        <v>1</v>
      </c>
      <c r="H736" s="9" t="str">
        <f>VLOOKUP(B736,[1]RXNS!$B:$D,3,FALSE)</f>
        <v>ATP[c] + alpha-D-Ribose 5-phosphate[c] &lt;=&gt; AMP[c] + H+[c] + 5-Phospho-alpha-D-ribose 1-diphosphate[c]</v>
      </c>
      <c r="I736" s="9" t="s">
        <v>3238</v>
      </c>
      <c r="J736" s="9" t="s">
        <v>3239</v>
      </c>
      <c r="K736" s="9" t="s">
        <v>3238</v>
      </c>
      <c r="L736" s="9" t="b">
        <f t="shared" si="46"/>
        <v>1</v>
      </c>
      <c r="M736" s="9" t="b">
        <f t="shared" si="47"/>
        <v>1</v>
      </c>
      <c r="N736" s="9" t="s">
        <v>3240</v>
      </c>
      <c r="O736" s="9">
        <v>-1000</v>
      </c>
      <c r="P736" s="9">
        <v>1000</v>
      </c>
      <c r="Q736" s="13"/>
      <c r="R736" s="13"/>
      <c r="S736" s="9" t="s">
        <v>3241</v>
      </c>
      <c r="T736" s="9" t="s">
        <v>153</v>
      </c>
      <c r="U736" s="13"/>
      <c r="V736" s="9" t="s">
        <v>30</v>
      </c>
      <c r="W736" s="13"/>
      <c r="X736" s="9">
        <v>2</v>
      </c>
    </row>
    <row r="737" spans="1:24">
      <c r="A737" s="13"/>
      <c r="B737" s="9" t="s">
        <v>3242</v>
      </c>
      <c r="C737" s="9" t="str">
        <f>VLOOKUP(B737,[1]RXNS!$B:$C,1,)</f>
        <v>PTAr</v>
      </c>
      <c r="D737" s="9" t="b">
        <f t="shared" si="44"/>
        <v>1</v>
      </c>
      <c r="E737" s="9" t="s">
        <v>3243</v>
      </c>
      <c r="F737" s="9" t="s">
        <v>3243</v>
      </c>
      <c r="G737" s="9" t="b">
        <f t="shared" si="45"/>
        <v>1</v>
      </c>
      <c r="H737" s="9" t="str">
        <f>VLOOKUP(B737,[1]RXNS!$B:$D,3,FALSE)</f>
        <v>Acetyl-CoA[c] + Phosphate[c] &lt;=&gt; Acetyl phosphate[c] + Coenzyme A[c]</v>
      </c>
      <c r="I737" s="9" t="s">
        <v>3000</v>
      </c>
      <c r="J737" s="9" t="s">
        <v>3244</v>
      </c>
      <c r="K737" s="9" t="s">
        <v>3000</v>
      </c>
      <c r="L737" s="9" t="b">
        <f t="shared" si="46"/>
        <v>1</v>
      </c>
      <c r="M737" s="9" t="b">
        <f t="shared" si="47"/>
        <v>1</v>
      </c>
      <c r="N737" s="9" t="s">
        <v>3245</v>
      </c>
      <c r="O737" s="9">
        <v>-1000</v>
      </c>
      <c r="P737" s="9">
        <v>1000</v>
      </c>
      <c r="Q737" s="13"/>
      <c r="R737" s="13"/>
      <c r="S737" s="9" t="s">
        <v>3246</v>
      </c>
      <c r="T737" s="9" t="s">
        <v>74</v>
      </c>
      <c r="U737" s="13"/>
      <c r="V737" s="9" t="s">
        <v>30</v>
      </c>
      <c r="W737" s="13"/>
      <c r="X737" s="9">
        <v>2</v>
      </c>
    </row>
    <row r="738" spans="1:24">
      <c r="A738" s="13"/>
      <c r="B738" s="9" t="s">
        <v>3247</v>
      </c>
      <c r="C738" s="9" t="str">
        <f>VLOOKUP(B738,[1]RXNS!$B:$C,1,)</f>
        <v>PTPAT</v>
      </c>
      <c r="D738" s="9" t="b">
        <f t="shared" si="44"/>
        <v>1</v>
      </c>
      <c r="E738" s="9" t="s">
        <v>3248</v>
      </c>
      <c r="F738" s="9" t="s">
        <v>3248</v>
      </c>
      <c r="G738" s="9" t="b">
        <f t="shared" si="45"/>
        <v>1</v>
      </c>
      <c r="H738" s="9" t="str">
        <f>VLOOKUP(B738,[1]RXNS!$B:$D,3,FALSE)</f>
        <v>ATP[c] + H+[c] + Pantetheine 4'-phosphate[c] &lt;=&gt; Dephospho-CoA[c] + Diphosphate[c]</v>
      </c>
      <c r="I738" s="9" t="s">
        <v>3249</v>
      </c>
      <c r="J738" s="9" t="s">
        <v>3250</v>
      </c>
      <c r="K738" s="9" t="s">
        <v>3249</v>
      </c>
      <c r="L738" s="9" t="b">
        <f t="shared" si="46"/>
        <v>1</v>
      </c>
      <c r="M738" s="9" t="b">
        <f t="shared" si="47"/>
        <v>1</v>
      </c>
      <c r="N738" s="9" t="s">
        <v>3251</v>
      </c>
      <c r="O738" s="9">
        <v>-1000</v>
      </c>
      <c r="P738" s="9">
        <v>1000</v>
      </c>
      <c r="Q738" s="13"/>
      <c r="R738" s="13"/>
      <c r="S738" s="13"/>
      <c r="T738" s="9" t="s">
        <v>131</v>
      </c>
      <c r="U738" s="13"/>
      <c r="V738" s="9" t="s">
        <v>30</v>
      </c>
      <c r="W738" s="13"/>
      <c r="X738" s="9">
        <v>2</v>
      </c>
    </row>
    <row r="739" spans="1:24">
      <c r="A739" s="13"/>
      <c r="B739" s="9" t="s">
        <v>3252</v>
      </c>
      <c r="C739" s="9" t="str">
        <f>VLOOKUP(B739,[1]RXNS!$B:$C,1,)</f>
        <v>PTRCabc</v>
      </c>
      <c r="D739" s="9" t="b">
        <f t="shared" si="44"/>
        <v>1</v>
      </c>
      <c r="E739" s="9" t="s">
        <v>3253</v>
      </c>
      <c r="F739" s="9" t="s">
        <v>3253</v>
      </c>
      <c r="G739" s="9" t="b">
        <f t="shared" si="45"/>
        <v>1</v>
      </c>
      <c r="H739" s="9" t="str">
        <f>VLOOKUP(B739,[1]RXNS!$B:$D,3,FALSE)</f>
        <v>ATP[c] + H2O[c] + Putrescine[e] =&gt; ADP[c] + H+[c] + Phosphate[c] + Putrescine[c]</v>
      </c>
      <c r="I739" s="9" t="s">
        <v>3254</v>
      </c>
      <c r="J739" s="9" t="s">
        <v>3255</v>
      </c>
      <c r="K739" s="9" t="s">
        <v>3254</v>
      </c>
      <c r="L739" s="9" t="b">
        <f t="shared" si="46"/>
        <v>1</v>
      </c>
      <c r="M739" s="9" t="b">
        <f t="shared" si="47"/>
        <v>1</v>
      </c>
      <c r="N739" s="9" t="s">
        <v>3256</v>
      </c>
      <c r="O739" s="9">
        <v>0</v>
      </c>
      <c r="P739" s="9">
        <v>1000</v>
      </c>
      <c r="Q739" s="13"/>
      <c r="R739" s="13"/>
      <c r="S739" s="9" t="s">
        <v>3257</v>
      </c>
      <c r="T739" s="9" t="s">
        <v>146</v>
      </c>
      <c r="U739" s="13"/>
      <c r="V739" s="9" t="s">
        <v>30</v>
      </c>
      <c r="W739" s="13"/>
      <c r="X739" s="9">
        <v>2</v>
      </c>
    </row>
    <row r="740" spans="1:24">
      <c r="A740" s="13"/>
      <c r="B740" s="9" t="s">
        <v>3258</v>
      </c>
      <c r="C740" s="9" t="str">
        <f>VLOOKUP(B740,[1]RXNS!$B:$C,1,)</f>
        <v>PUNP1</v>
      </c>
      <c r="D740" s="9" t="b">
        <f t="shared" si="44"/>
        <v>1</v>
      </c>
      <c r="E740" s="9" t="s">
        <v>3259</v>
      </c>
      <c r="F740" s="9" t="s">
        <v>3259</v>
      </c>
      <c r="G740" s="9" t="b">
        <f t="shared" si="45"/>
        <v>1</v>
      </c>
      <c r="H740" s="9" t="str">
        <f>VLOOKUP(B740,[1]RXNS!$B:$D,3,FALSE)</f>
        <v>Adenosine[c] + Phosphate[c] &lt;=&gt; Adenine[c] + alpha-D-Ribose 1-phosphate[c]</v>
      </c>
      <c r="I740" s="9" t="s">
        <v>3260</v>
      </c>
      <c r="J740" s="9" t="s">
        <v>3261</v>
      </c>
      <c r="K740" s="9" t="s">
        <v>3260</v>
      </c>
      <c r="L740" s="9" t="b">
        <f t="shared" si="46"/>
        <v>1</v>
      </c>
      <c r="M740" s="9" t="b">
        <f t="shared" si="47"/>
        <v>1</v>
      </c>
      <c r="N740" s="13"/>
      <c r="O740" s="9">
        <v>-1000</v>
      </c>
      <c r="P740" s="9">
        <v>1000</v>
      </c>
      <c r="Q740" s="13"/>
      <c r="R740" s="13"/>
      <c r="S740" s="13"/>
      <c r="T740" s="9" t="s">
        <v>3262</v>
      </c>
      <c r="U740" s="13"/>
      <c r="V740" s="9" t="s">
        <v>35</v>
      </c>
      <c r="W740" s="13"/>
      <c r="X740" s="9">
        <v>2</v>
      </c>
    </row>
    <row r="741" spans="1:24">
      <c r="A741" s="13"/>
      <c r="B741" s="9" t="s">
        <v>3263</v>
      </c>
      <c r="C741" s="9" t="str">
        <f>VLOOKUP(B741,[1]RXNS!$B:$C,1,)</f>
        <v>PUNP2</v>
      </c>
      <c r="D741" s="9" t="b">
        <f t="shared" si="44"/>
        <v>1</v>
      </c>
      <c r="E741" s="9" t="s">
        <v>3264</v>
      </c>
      <c r="F741" s="9" t="s">
        <v>3264</v>
      </c>
      <c r="G741" s="9" t="b">
        <f t="shared" si="45"/>
        <v>1</v>
      </c>
      <c r="H741" s="9" t="str">
        <f>VLOOKUP(B741,[1]RXNS!$B:$D,3,FALSE)</f>
        <v>Deoxyadenosine[c] + Phosphate[c] &lt;=&gt; 2-Deoxy-D-ribose 1-phosphate[c] + Adenine[c]</v>
      </c>
      <c r="I741" s="9" t="s">
        <v>3260</v>
      </c>
      <c r="J741" s="9" t="s">
        <v>3265</v>
      </c>
      <c r="K741" s="9" t="s">
        <v>3260</v>
      </c>
      <c r="L741" s="9" t="b">
        <f t="shared" si="46"/>
        <v>1</v>
      </c>
      <c r="M741" s="9" t="b">
        <f t="shared" si="47"/>
        <v>1</v>
      </c>
      <c r="N741" s="13"/>
      <c r="O741" s="9">
        <v>-1000</v>
      </c>
      <c r="P741" s="9">
        <v>1000</v>
      </c>
      <c r="Q741" s="13"/>
      <c r="R741" s="13"/>
      <c r="S741" s="13"/>
      <c r="T741" s="9" t="s">
        <v>153</v>
      </c>
      <c r="U741" s="13"/>
      <c r="V741" s="9" t="s">
        <v>35</v>
      </c>
      <c r="W741" s="13"/>
      <c r="X741" s="9">
        <v>2</v>
      </c>
    </row>
    <row r="742" spans="1:24">
      <c r="A742" s="13"/>
      <c r="B742" s="9" t="s">
        <v>3266</v>
      </c>
      <c r="C742" s="9" t="str">
        <f>VLOOKUP(B742,[1]RXNS!$B:$C,1,)</f>
        <v>PUNP3</v>
      </c>
      <c r="D742" s="9" t="b">
        <f t="shared" si="44"/>
        <v>1</v>
      </c>
      <c r="E742" s="9" t="s">
        <v>3267</v>
      </c>
      <c r="F742" s="9" t="s">
        <v>3267</v>
      </c>
      <c r="G742" s="9" t="b">
        <f t="shared" si="45"/>
        <v>1</v>
      </c>
      <c r="H742" s="9" t="str">
        <f>VLOOKUP(B742,[1]RXNS!$B:$D,3,FALSE)</f>
        <v>Guanosine[c] + Phosphate[c] &lt;=&gt; Guanine[c] + alpha-D-Ribose 1-phosphate[c]</v>
      </c>
      <c r="I742" s="9" t="s">
        <v>3268</v>
      </c>
      <c r="J742" s="9" t="s">
        <v>3269</v>
      </c>
      <c r="K742" s="9" t="s">
        <v>3268</v>
      </c>
      <c r="L742" s="9" t="b">
        <f t="shared" si="46"/>
        <v>1</v>
      </c>
      <c r="M742" s="9" t="b">
        <f t="shared" si="47"/>
        <v>1</v>
      </c>
      <c r="N742" s="13"/>
      <c r="O742" s="9">
        <v>-1000</v>
      </c>
      <c r="P742" s="9">
        <v>1000</v>
      </c>
      <c r="Q742" s="13"/>
      <c r="R742" s="13"/>
      <c r="S742" s="13"/>
      <c r="T742" s="9" t="s">
        <v>153</v>
      </c>
      <c r="U742" s="13"/>
      <c r="V742" s="9" t="s">
        <v>35</v>
      </c>
      <c r="W742" s="13"/>
      <c r="X742" s="9">
        <v>2</v>
      </c>
    </row>
    <row r="743" spans="1:24">
      <c r="A743" s="13"/>
      <c r="B743" s="9" t="s">
        <v>3270</v>
      </c>
      <c r="C743" s="9" t="str">
        <f>VLOOKUP(B743,[1]RXNS!$B:$C,1,)</f>
        <v>PUNP4</v>
      </c>
      <c r="D743" s="9" t="b">
        <f t="shared" si="44"/>
        <v>1</v>
      </c>
      <c r="E743" s="9" t="s">
        <v>3271</v>
      </c>
      <c r="F743" s="9" t="s">
        <v>3271</v>
      </c>
      <c r="G743" s="9" t="b">
        <f t="shared" si="45"/>
        <v>1</v>
      </c>
      <c r="H743" s="9" t="str">
        <f>VLOOKUP(B743,[1]RXNS!$B:$D,3,FALSE)</f>
        <v>Deoxyguanosine[c] + Phosphate[c] &lt;=&gt; 2-Deoxy-D-ribose 1-phosphate[c] + Guanine[c]</v>
      </c>
      <c r="I743" s="9" t="s">
        <v>3272</v>
      </c>
      <c r="J743" s="9" t="s">
        <v>3273</v>
      </c>
      <c r="K743" s="9" t="s">
        <v>3272</v>
      </c>
      <c r="L743" s="9" t="b">
        <f t="shared" si="46"/>
        <v>1</v>
      </c>
      <c r="M743" s="9" t="b">
        <f t="shared" si="47"/>
        <v>1</v>
      </c>
      <c r="N743" s="13"/>
      <c r="O743" s="9">
        <v>-1000</v>
      </c>
      <c r="P743" s="9">
        <v>1000</v>
      </c>
      <c r="Q743" s="13"/>
      <c r="R743" s="13"/>
      <c r="S743" s="13"/>
      <c r="T743" s="9" t="s">
        <v>153</v>
      </c>
      <c r="U743" s="13"/>
      <c r="V743" s="9" t="s">
        <v>35</v>
      </c>
      <c r="W743" s="13"/>
      <c r="X743" s="9">
        <v>2</v>
      </c>
    </row>
    <row r="744" spans="1:24">
      <c r="A744" s="13"/>
      <c r="B744" s="9" t="s">
        <v>3274</v>
      </c>
      <c r="C744" s="9" t="str">
        <f>VLOOKUP(B744,[1]RXNS!$B:$C,1,)</f>
        <v>PUNP5</v>
      </c>
      <c r="D744" s="9" t="b">
        <f t="shared" si="44"/>
        <v>1</v>
      </c>
      <c r="E744" s="9" t="s">
        <v>3275</v>
      </c>
      <c r="F744" s="9" t="s">
        <v>3275</v>
      </c>
      <c r="G744" s="9" t="b">
        <f t="shared" si="45"/>
        <v>1</v>
      </c>
      <c r="H744" s="9" t="str">
        <f>VLOOKUP(B744,[1]RXNS!$B:$D,3,FALSE)</f>
        <v>Inosine[c] + Phosphate[c] &lt;=&gt; Hypoxanthine[c] + alpha-D-Ribose 1-phosphate[c]</v>
      </c>
      <c r="I744" s="9" t="s">
        <v>3268</v>
      </c>
      <c r="J744" s="9" t="s">
        <v>3276</v>
      </c>
      <c r="K744" s="9" t="s">
        <v>3268</v>
      </c>
      <c r="L744" s="9" t="b">
        <f t="shared" si="46"/>
        <v>1</v>
      </c>
      <c r="M744" s="9" t="b">
        <f t="shared" si="47"/>
        <v>1</v>
      </c>
      <c r="N744" s="13"/>
      <c r="O744" s="9">
        <v>-1000</v>
      </c>
      <c r="P744" s="9">
        <v>1000</v>
      </c>
      <c r="Q744" s="13"/>
      <c r="R744" s="13"/>
      <c r="S744" s="13"/>
      <c r="T744" s="9" t="s">
        <v>3262</v>
      </c>
      <c r="U744" s="13"/>
      <c r="V744" s="9" t="s">
        <v>35</v>
      </c>
      <c r="W744" s="13"/>
      <c r="X744" s="9">
        <v>2</v>
      </c>
    </row>
    <row r="745" spans="1:24">
      <c r="A745" s="13"/>
      <c r="B745" s="9" t="s">
        <v>3277</v>
      </c>
      <c r="C745" s="9" t="str">
        <f>VLOOKUP(B745,[1]RXNS!$B:$C,1,)</f>
        <v>PUNP6</v>
      </c>
      <c r="D745" s="9" t="b">
        <f t="shared" si="44"/>
        <v>1</v>
      </c>
      <c r="E745" s="9" t="s">
        <v>3278</v>
      </c>
      <c r="F745" s="9" t="s">
        <v>3278</v>
      </c>
      <c r="G745" s="9" t="b">
        <f t="shared" si="45"/>
        <v>1</v>
      </c>
      <c r="H745" s="9" t="str">
        <f>VLOOKUP(B745,[1]RXNS!$B:$D,3,FALSE)</f>
        <v>Deoxyinosine[c] + Phosphate[c] &lt;=&gt; 2-Deoxy-D-ribose 1-phosphate[c] + Hypoxanthine[c]</v>
      </c>
      <c r="I745" s="9" t="s">
        <v>3272</v>
      </c>
      <c r="J745" s="9" t="s">
        <v>3279</v>
      </c>
      <c r="K745" s="9" t="s">
        <v>3272</v>
      </c>
      <c r="L745" s="9" t="b">
        <f t="shared" si="46"/>
        <v>1</v>
      </c>
      <c r="M745" s="9" t="b">
        <f t="shared" si="47"/>
        <v>1</v>
      </c>
      <c r="N745" s="13"/>
      <c r="O745" s="9">
        <v>-1000</v>
      </c>
      <c r="P745" s="9">
        <v>1000</v>
      </c>
      <c r="Q745" s="13"/>
      <c r="R745" s="13"/>
      <c r="S745" s="13"/>
      <c r="T745" s="9" t="s">
        <v>153</v>
      </c>
      <c r="U745" s="13"/>
      <c r="V745" s="9" t="s">
        <v>35</v>
      </c>
      <c r="W745" s="13"/>
      <c r="X745" s="9">
        <v>2</v>
      </c>
    </row>
    <row r="746" spans="1:24">
      <c r="A746" s="13"/>
      <c r="B746" s="9" t="s">
        <v>3280</v>
      </c>
      <c r="C746" s="9" t="str">
        <f>VLOOKUP(B746,[1]RXNS!$B:$C,1,)</f>
        <v>PUNP7</v>
      </c>
      <c r="D746" s="9" t="b">
        <f t="shared" si="44"/>
        <v>1</v>
      </c>
      <c r="E746" s="9" t="s">
        <v>3281</v>
      </c>
      <c r="F746" s="9" t="s">
        <v>3281</v>
      </c>
      <c r="G746" s="9" t="b">
        <f t="shared" si="45"/>
        <v>1</v>
      </c>
      <c r="H746" s="9" t="str">
        <f>VLOOKUP(B746,[1]RXNS!$B:$D,3,FALSE)</f>
        <v>Phosphate[c] + Xanthosine[c] &lt;=&gt; alpha-D-Ribose 1-phosphate[c] + Xanthine[c]</v>
      </c>
      <c r="I746" s="9" t="s">
        <v>3282</v>
      </c>
      <c r="J746" s="9" t="s">
        <v>3283</v>
      </c>
      <c r="K746" s="9" t="s">
        <v>3282</v>
      </c>
      <c r="L746" s="9" t="b">
        <f t="shared" si="46"/>
        <v>1</v>
      </c>
      <c r="M746" s="9" t="b">
        <f t="shared" si="47"/>
        <v>1</v>
      </c>
      <c r="N746" s="13"/>
      <c r="O746" s="9">
        <v>-1000</v>
      </c>
      <c r="P746" s="9">
        <v>1000</v>
      </c>
      <c r="Q746" s="13"/>
      <c r="R746" s="13"/>
      <c r="S746" s="13"/>
      <c r="T746" s="9" t="s">
        <v>3262</v>
      </c>
      <c r="U746" s="13"/>
      <c r="V746" s="9" t="s">
        <v>35</v>
      </c>
      <c r="W746" s="13"/>
      <c r="X746" s="9">
        <v>2</v>
      </c>
    </row>
    <row r="747" spans="1:24">
      <c r="A747" s="13"/>
      <c r="B747" s="9" t="s">
        <v>3284</v>
      </c>
      <c r="C747" s="9" t="str">
        <f>VLOOKUP(B747,[1]RXNS!$B:$C,1,)</f>
        <v>PYDAMK</v>
      </c>
      <c r="D747" s="9" t="b">
        <f t="shared" si="44"/>
        <v>1</v>
      </c>
      <c r="E747" s="9" t="s">
        <v>3285</v>
      </c>
      <c r="F747" s="9" t="s">
        <v>3285</v>
      </c>
      <c r="G747" s="9" t="b">
        <f t="shared" si="45"/>
        <v>1</v>
      </c>
      <c r="H747" s="9" t="str">
        <f>VLOOKUP(B747,[1]RXNS!$B:$D,3,FALSE)</f>
        <v>ATP[c] + Pyridoxamine[c] =&gt; ADP[c] + H+[c] + Pyridoxamine 5'-phosphate[c]</v>
      </c>
      <c r="I747" s="9" t="s">
        <v>3286</v>
      </c>
      <c r="J747" s="9" t="s">
        <v>3287</v>
      </c>
      <c r="K747" s="9" t="s">
        <v>3286</v>
      </c>
      <c r="L747" s="9" t="b">
        <f t="shared" si="46"/>
        <v>1</v>
      </c>
      <c r="M747" s="9" t="b">
        <f t="shared" si="47"/>
        <v>1</v>
      </c>
      <c r="N747" s="9" t="s">
        <v>2460</v>
      </c>
      <c r="O747" s="9">
        <v>0</v>
      </c>
      <c r="P747" s="9">
        <v>1000</v>
      </c>
      <c r="Q747" s="13"/>
      <c r="R747" s="13"/>
      <c r="S747" s="9" t="s">
        <v>3288</v>
      </c>
      <c r="T747" s="9" t="s">
        <v>3289</v>
      </c>
      <c r="U747" s="13"/>
      <c r="V747" s="9" t="s">
        <v>30</v>
      </c>
      <c r="W747" s="13"/>
      <c r="X747" s="9">
        <v>2</v>
      </c>
    </row>
    <row r="748" spans="1:24">
      <c r="A748" s="13"/>
      <c r="B748" s="9" t="s">
        <v>3290</v>
      </c>
      <c r="C748" s="9" t="str">
        <f>VLOOKUP(B748,[1]RXNS!$B:$C,1,)</f>
        <v>PYDAMt</v>
      </c>
      <c r="D748" s="9" t="b">
        <f t="shared" si="44"/>
        <v>1</v>
      </c>
      <c r="E748" s="9" t="s">
        <v>3291</v>
      </c>
      <c r="F748" s="9" t="s">
        <v>3291</v>
      </c>
      <c r="G748" s="9" t="b">
        <f t="shared" si="45"/>
        <v>1</v>
      </c>
      <c r="H748" s="9" t="str">
        <f>VLOOKUP(B748,[1]RXNS!$B:$D,3,FALSE)</f>
        <v>H+[e] + Pyridoxamine[e] &lt;=&gt; H+[c] + Pyridoxamine[c]</v>
      </c>
      <c r="I748" s="9">
        <f>VLOOKUP(B748,[1]RXNS!$B:$E,4,FALSE)</f>
        <v>0</v>
      </c>
      <c r="J748" s="9" t="s">
        <v>3292</v>
      </c>
      <c r="K748" s="13"/>
      <c r="L748" s="9" t="b">
        <f t="shared" si="46"/>
        <v>1</v>
      </c>
      <c r="M748" s="9" t="b">
        <f t="shared" si="47"/>
        <v>0</v>
      </c>
      <c r="N748" s="13"/>
      <c r="O748" s="9">
        <v>-1000</v>
      </c>
      <c r="P748" s="9">
        <v>1000</v>
      </c>
      <c r="Q748" s="13"/>
      <c r="R748" s="13"/>
      <c r="S748" s="13"/>
      <c r="T748" s="9" t="s">
        <v>146</v>
      </c>
      <c r="U748" s="13"/>
      <c r="V748" s="9" t="s">
        <v>35</v>
      </c>
      <c r="W748" s="13"/>
      <c r="X748" s="9">
        <v>2</v>
      </c>
    </row>
    <row r="749" spans="1:24">
      <c r="A749" s="13"/>
      <c r="B749" s="9" t="s">
        <v>3293</v>
      </c>
      <c r="C749" s="9" t="str">
        <f>VLOOKUP(B749,[1]RXNS!$B:$C,1,)</f>
        <v>PYDXK</v>
      </c>
      <c r="D749" s="9" t="b">
        <f t="shared" si="44"/>
        <v>1</v>
      </c>
      <c r="E749" s="9" t="s">
        <v>3294</v>
      </c>
      <c r="F749" s="9" t="s">
        <v>3294</v>
      </c>
      <c r="G749" s="9" t="b">
        <f t="shared" si="45"/>
        <v>1</v>
      </c>
      <c r="H749" s="9" t="str">
        <f>VLOOKUP(B749,[1]RXNS!$B:$D,3,FALSE)</f>
        <v>ATP[c] + Pyridoxal[c] =&gt; ADP[c] + H+[c] + Pyridoxal 5'-phosphate[c]</v>
      </c>
      <c r="I749" s="9" t="s">
        <v>3286</v>
      </c>
      <c r="J749" s="9" t="s">
        <v>3295</v>
      </c>
      <c r="K749" s="9" t="s">
        <v>3286</v>
      </c>
      <c r="L749" s="9" t="b">
        <f t="shared" si="46"/>
        <v>1</v>
      </c>
      <c r="M749" s="9" t="b">
        <f t="shared" si="47"/>
        <v>1</v>
      </c>
      <c r="N749" s="9" t="s">
        <v>2460</v>
      </c>
      <c r="O749" s="9">
        <v>0</v>
      </c>
      <c r="P749" s="9">
        <v>1000</v>
      </c>
      <c r="Q749" s="13"/>
      <c r="R749" s="13"/>
      <c r="S749" s="9" t="s">
        <v>3296</v>
      </c>
      <c r="T749" s="9" t="s">
        <v>272</v>
      </c>
      <c r="U749" s="13"/>
      <c r="V749" s="9" t="s">
        <v>30</v>
      </c>
      <c r="W749" s="13"/>
      <c r="X749" s="9">
        <v>2</v>
      </c>
    </row>
    <row r="750" spans="1:24">
      <c r="A750" s="13"/>
      <c r="B750" s="9" t="s">
        <v>3297</v>
      </c>
      <c r="C750" s="9" t="str">
        <f>VLOOKUP(B750,[1]RXNS!$B:$C,1,)</f>
        <v>PYK</v>
      </c>
      <c r="D750" s="9" t="b">
        <f t="shared" si="44"/>
        <v>1</v>
      </c>
      <c r="E750" s="9" t="s">
        <v>3298</v>
      </c>
      <c r="F750" s="9" t="s">
        <v>3298</v>
      </c>
      <c r="G750" s="9" t="b">
        <f t="shared" si="45"/>
        <v>1</v>
      </c>
      <c r="H750" s="9" t="str">
        <f>VLOOKUP(B750,[1]RXNS!$B:$D,3,FALSE)</f>
        <v>ADP[c] + H+[c] + Phosphoenolpyruvate[c] =&gt; ATP[c] + Pyruvate[c]</v>
      </c>
      <c r="I750" s="9" t="s">
        <v>3299</v>
      </c>
      <c r="J750" s="9" t="s">
        <v>3300</v>
      </c>
      <c r="K750" s="9" t="s">
        <v>3299</v>
      </c>
      <c r="L750" s="9" t="b">
        <f t="shared" si="46"/>
        <v>1</v>
      </c>
      <c r="M750" s="9" t="b">
        <f t="shared" si="47"/>
        <v>1</v>
      </c>
      <c r="N750" s="9" t="s">
        <v>3301</v>
      </c>
      <c r="O750" s="9">
        <v>0</v>
      </c>
      <c r="P750" s="9">
        <v>1000</v>
      </c>
      <c r="Q750" s="13"/>
      <c r="R750" s="13"/>
      <c r="S750" s="9" t="s">
        <v>3302</v>
      </c>
      <c r="T750" s="9" t="s">
        <v>330</v>
      </c>
      <c r="U750" s="13"/>
      <c r="V750" s="9" t="s">
        <v>30</v>
      </c>
      <c r="W750" s="13"/>
      <c r="X750" s="9">
        <v>2</v>
      </c>
    </row>
    <row r="751" spans="1:24">
      <c r="A751" s="13"/>
      <c r="B751" s="9" t="s">
        <v>3303</v>
      </c>
      <c r="C751" s="9" t="str">
        <f>VLOOKUP(B751,[1]RXNS!$B:$C,1,)</f>
        <v>PYNP1r</v>
      </c>
      <c r="D751" s="9" t="b">
        <f t="shared" si="44"/>
        <v>1</v>
      </c>
      <c r="E751" s="9" t="s">
        <v>3304</v>
      </c>
      <c r="F751" s="9" t="s">
        <v>3304</v>
      </c>
      <c r="G751" s="9" t="b">
        <f t="shared" si="45"/>
        <v>1</v>
      </c>
      <c r="H751" s="9" t="str">
        <f>VLOOKUP(B751,[1]RXNS!$B:$D,3,FALSE)</f>
        <v>Cytosine[c] + alpha-D-Ribose 1-phosphate[c] &lt;=&gt; Cytidine[c] + Phosphate[c]</v>
      </c>
      <c r="I751" s="9" t="s">
        <v>3305</v>
      </c>
      <c r="J751" s="9" t="s">
        <v>3306</v>
      </c>
      <c r="K751" s="9" t="s">
        <v>3305</v>
      </c>
      <c r="L751" s="9" t="b">
        <f t="shared" si="46"/>
        <v>1</v>
      </c>
      <c r="M751" s="9" t="b">
        <f t="shared" si="47"/>
        <v>1</v>
      </c>
      <c r="N751" s="13"/>
      <c r="O751" s="9">
        <v>-1000</v>
      </c>
      <c r="P751" s="9">
        <v>1000</v>
      </c>
      <c r="Q751" s="13"/>
      <c r="R751" s="13"/>
      <c r="S751" s="13"/>
      <c r="T751" s="9" t="s">
        <v>648</v>
      </c>
      <c r="U751" s="13"/>
      <c r="V751" s="9" t="s">
        <v>35</v>
      </c>
      <c r="W751" s="13"/>
      <c r="X751" s="9">
        <v>2</v>
      </c>
    </row>
    <row r="752" spans="1:24">
      <c r="A752" s="13"/>
      <c r="B752" s="9" t="s">
        <v>3307</v>
      </c>
      <c r="C752" s="9" t="str">
        <f>VLOOKUP(B752,[1]RXNS!$B:$C,1,)</f>
        <v>PYNP2</v>
      </c>
      <c r="D752" s="9" t="b">
        <f t="shared" si="44"/>
        <v>1</v>
      </c>
      <c r="E752" s="9" t="s">
        <v>3308</v>
      </c>
      <c r="F752" s="9" t="s">
        <v>3308</v>
      </c>
      <c r="G752" s="9" t="b">
        <f t="shared" si="45"/>
        <v>1</v>
      </c>
      <c r="H752" s="9" t="str">
        <f>VLOOKUP(B752,[1]RXNS!$B:$D,3,FALSE)</f>
        <v>Phosphate[c] + Uridine[c] &lt;=&gt; alpha-D-Ribose 1-phosphate[c] + Uracil[c]</v>
      </c>
      <c r="I752" s="9" t="s">
        <v>3309</v>
      </c>
      <c r="J752" s="9" t="s">
        <v>3310</v>
      </c>
      <c r="K752" s="9" t="s">
        <v>3309</v>
      </c>
      <c r="L752" s="9" t="b">
        <f t="shared" si="46"/>
        <v>1</v>
      </c>
      <c r="M752" s="9" t="b">
        <f t="shared" si="47"/>
        <v>1</v>
      </c>
      <c r="N752" s="13"/>
      <c r="O752" s="9">
        <v>-1000</v>
      </c>
      <c r="P752" s="9">
        <v>1000</v>
      </c>
      <c r="Q752" s="13"/>
      <c r="R752" s="13"/>
      <c r="S752" s="13"/>
      <c r="T752" s="9" t="s">
        <v>648</v>
      </c>
      <c r="U752" s="13"/>
      <c r="V752" s="9" t="s">
        <v>35</v>
      </c>
      <c r="W752" s="13"/>
      <c r="X752" s="9">
        <v>2</v>
      </c>
    </row>
    <row r="753" spans="1:24">
      <c r="A753" s="13"/>
      <c r="B753" s="9" t="s">
        <v>3311</v>
      </c>
      <c r="C753" s="9" t="str">
        <f>VLOOKUP(B753,[1]RXNS!$B:$C,1,)</f>
        <v>PYRNS1</v>
      </c>
      <c r="D753" s="9" t="b">
        <f t="shared" si="44"/>
        <v>1</v>
      </c>
      <c r="E753" s="9" t="s">
        <v>3312</v>
      </c>
      <c r="F753" s="9" t="s">
        <v>3312</v>
      </c>
      <c r="G753" s="9" t="b">
        <f t="shared" si="45"/>
        <v>1</v>
      </c>
      <c r="H753" s="9" t="str">
        <f>VLOOKUP(B753,[1]RXNS!$B:$D,3,FALSE)</f>
        <v>H2O[c] + Uridine[c] =&gt; D-Ribose[c] + Uracil[c]</v>
      </c>
      <c r="I753" s="9" t="s">
        <v>3313</v>
      </c>
      <c r="J753" s="9" t="s">
        <v>3314</v>
      </c>
      <c r="K753" s="9" t="s">
        <v>3313</v>
      </c>
      <c r="L753" s="9" t="b">
        <f t="shared" si="46"/>
        <v>1</v>
      </c>
      <c r="M753" s="9" t="b">
        <f t="shared" si="47"/>
        <v>1</v>
      </c>
      <c r="N753" s="9" t="s">
        <v>3315</v>
      </c>
      <c r="O753" s="9">
        <v>0</v>
      </c>
      <c r="P753" s="9">
        <v>1000</v>
      </c>
      <c r="Q753" s="13"/>
      <c r="R753" s="13"/>
      <c r="S753" s="13"/>
      <c r="T753" s="9" t="s">
        <v>648</v>
      </c>
      <c r="U753" s="13"/>
      <c r="V753" s="9" t="s">
        <v>30</v>
      </c>
      <c r="W753" s="13"/>
      <c r="X753" s="9">
        <v>2</v>
      </c>
    </row>
    <row r="754" spans="1:24">
      <c r="A754" s="13"/>
      <c r="B754" s="9" t="s">
        <v>3316</v>
      </c>
      <c r="C754" s="9" t="str">
        <f>VLOOKUP(B754,[1]RXNS!$B:$C,1,)</f>
        <v>PYRZAM</v>
      </c>
      <c r="D754" s="9" t="b">
        <f t="shared" si="44"/>
        <v>1</v>
      </c>
      <c r="E754" s="9" t="s">
        <v>3317</v>
      </c>
      <c r="F754" s="9" t="s">
        <v>3317</v>
      </c>
      <c r="G754" s="9" t="b">
        <f t="shared" si="45"/>
        <v>1</v>
      </c>
      <c r="H754" s="9" t="str">
        <f>VLOOKUP(B754,[1]RXNS!$B:$D,3,FALSE)</f>
        <v>H2O[c] + Maleamate[c] =&gt; Maleate[c] + Ammonium[c]</v>
      </c>
      <c r="I754" s="9" t="s">
        <v>3318</v>
      </c>
      <c r="J754" s="9" t="s">
        <v>3319</v>
      </c>
      <c r="K754" s="9" t="s">
        <v>3318</v>
      </c>
      <c r="L754" s="9" t="b">
        <f t="shared" si="46"/>
        <v>1</v>
      </c>
      <c r="M754" s="9" t="b">
        <f t="shared" si="47"/>
        <v>1</v>
      </c>
      <c r="N754" s="9" t="s">
        <v>2866</v>
      </c>
      <c r="O754" s="9">
        <v>0</v>
      </c>
      <c r="P754" s="9">
        <v>1000</v>
      </c>
      <c r="Q754" s="13"/>
      <c r="R754" s="13"/>
      <c r="S754" s="13"/>
      <c r="T754" s="9" t="s">
        <v>2215</v>
      </c>
      <c r="U754" s="13"/>
      <c r="V754" s="9" t="s">
        <v>30</v>
      </c>
      <c r="W754" s="13"/>
      <c r="X754" s="9">
        <v>2</v>
      </c>
    </row>
    <row r="755" spans="1:24">
      <c r="A755" s="13"/>
      <c r="B755" s="9" t="s">
        <v>3320</v>
      </c>
      <c r="C755" s="9" t="str">
        <f>VLOOKUP(B755,[1]RXNS!$B:$C,1,)</f>
        <v>QUIND</v>
      </c>
      <c r="D755" s="9" t="b">
        <f t="shared" si="44"/>
        <v>1</v>
      </c>
      <c r="E755" s="9" t="s">
        <v>3321</v>
      </c>
      <c r="F755" s="9" t="s">
        <v>3321</v>
      </c>
      <c r="G755" s="9" t="b">
        <f t="shared" si="45"/>
        <v>1</v>
      </c>
      <c r="H755" s="9" t="str">
        <f>VLOOKUP(B755,[1]RXNS!$B:$D,3,FALSE)</f>
        <v>PQQ (Pyrroloquinoline-quinone) oxidized form[c] + Quinate[c] =&gt; 3-Dehydroquinate[c] + H+[c] + PQQ (pyrroloquinoline-quinone) reduced form[c]</v>
      </c>
      <c r="I755" s="9" t="s">
        <v>3322</v>
      </c>
      <c r="J755" s="9" t="s">
        <v>3323</v>
      </c>
      <c r="K755" s="9" t="s">
        <v>3322</v>
      </c>
      <c r="L755" s="9" t="b">
        <f t="shared" si="46"/>
        <v>1</v>
      </c>
      <c r="M755" s="9" t="b">
        <f t="shared" si="47"/>
        <v>1</v>
      </c>
      <c r="N755" s="9" t="s">
        <v>3324</v>
      </c>
      <c r="O755" s="9">
        <v>0</v>
      </c>
      <c r="P755" s="9">
        <v>1000</v>
      </c>
      <c r="Q755" s="13"/>
      <c r="R755" s="13"/>
      <c r="S755" s="13"/>
      <c r="T755" s="9" t="s">
        <v>3325</v>
      </c>
      <c r="U755" s="13"/>
      <c r="V755" s="9" t="s">
        <v>30</v>
      </c>
      <c r="W755" s="13"/>
      <c r="X755" s="9">
        <v>2</v>
      </c>
    </row>
    <row r="756" spans="1:24">
      <c r="A756" s="13"/>
      <c r="B756" s="9" t="s">
        <v>3326</v>
      </c>
      <c r="C756" s="9" t="e">
        <f>VLOOKUP(B756,[1]RXNS!$B:$C,1,)</f>
        <v>#N/A</v>
      </c>
      <c r="D756" s="9" t="e">
        <f t="shared" si="44"/>
        <v>#N/A</v>
      </c>
      <c r="E756" s="9" t="e">
        <v>#N/A</v>
      </c>
      <c r="F756" s="9" t="s">
        <v>3327</v>
      </c>
      <c r="G756" s="9" t="e">
        <f t="shared" si="45"/>
        <v>#N/A</v>
      </c>
      <c r="H756" s="9" t="e">
        <f>VLOOKUP(B756,[1]RXNS!$B:$D,3,FALSE)</f>
        <v>#N/A</v>
      </c>
      <c r="I756" s="9" t="s">
        <v>2341</v>
      </c>
      <c r="J756" s="9" t="s">
        <v>3328</v>
      </c>
      <c r="K756" s="9" t="s">
        <v>2341</v>
      </c>
      <c r="L756" s="9" t="e">
        <f t="shared" si="46"/>
        <v>#N/A</v>
      </c>
      <c r="M756" s="9" t="b">
        <f t="shared" si="47"/>
        <v>1</v>
      </c>
      <c r="N756" s="9" t="s">
        <v>3329</v>
      </c>
      <c r="O756" s="9">
        <v>-1000</v>
      </c>
      <c r="P756" s="9">
        <v>1000</v>
      </c>
      <c r="Q756" s="13"/>
      <c r="R756" s="13"/>
      <c r="S756" s="13"/>
      <c r="T756" s="9" t="s">
        <v>387</v>
      </c>
      <c r="U756" s="13"/>
      <c r="V756" s="9" t="s">
        <v>30</v>
      </c>
      <c r="W756" s="13"/>
      <c r="X756" s="9">
        <v>2</v>
      </c>
    </row>
    <row r="757" spans="1:24">
      <c r="A757" s="13"/>
      <c r="B757" s="9" t="s">
        <v>3330</v>
      </c>
      <c r="C757" s="9" t="e">
        <f>VLOOKUP(B757,[1]RXNS!$B:$C,1,)</f>
        <v>#N/A</v>
      </c>
      <c r="D757" s="9" t="e">
        <f t="shared" si="44"/>
        <v>#N/A</v>
      </c>
      <c r="E757" s="9" t="e">
        <v>#N/A</v>
      </c>
      <c r="F757" s="9" t="s">
        <v>3331</v>
      </c>
      <c r="G757" s="9" t="e">
        <f t="shared" si="45"/>
        <v>#N/A</v>
      </c>
      <c r="H757" s="9" t="e">
        <f>VLOOKUP(B757,[1]RXNS!$B:$D,3,FALSE)</f>
        <v>#N/A</v>
      </c>
      <c r="I757" s="9" t="s">
        <v>2229</v>
      </c>
      <c r="J757" s="9" t="s">
        <v>3332</v>
      </c>
      <c r="K757" s="9" t="s">
        <v>2229</v>
      </c>
      <c r="L757" s="9" t="e">
        <f t="shared" si="46"/>
        <v>#N/A</v>
      </c>
      <c r="M757" s="9" t="b">
        <f t="shared" si="47"/>
        <v>1</v>
      </c>
      <c r="N757" s="9" t="s">
        <v>2871</v>
      </c>
      <c r="O757" s="9">
        <v>-1000</v>
      </c>
      <c r="P757" s="9">
        <v>1000</v>
      </c>
      <c r="Q757" s="13"/>
      <c r="R757" s="13"/>
      <c r="S757" s="13"/>
      <c r="T757" s="9" t="s">
        <v>2793</v>
      </c>
      <c r="U757" s="13"/>
      <c r="V757" s="9" t="s">
        <v>30</v>
      </c>
      <c r="W757" s="13"/>
      <c r="X757" s="9">
        <v>2</v>
      </c>
    </row>
    <row r="758" spans="1:24">
      <c r="A758" s="13"/>
      <c r="B758" s="9" t="s">
        <v>3333</v>
      </c>
      <c r="C758" s="9" t="e">
        <f>VLOOKUP(B758,[1]RXNS!$B:$C,1,)</f>
        <v>#N/A</v>
      </c>
      <c r="D758" s="9" t="e">
        <f t="shared" si="44"/>
        <v>#N/A</v>
      </c>
      <c r="E758" s="9" t="e">
        <v>#N/A</v>
      </c>
      <c r="F758" s="9" t="s">
        <v>3334</v>
      </c>
      <c r="G758" s="9" t="e">
        <f t="shared" si="45"/>
        <v>#N/A</v>
      </c>
      <c r="H758" s="9" t="e">
        <f>VLOOKUP(B758,[1]RXNS!$B:$D,3,FALSE)</f>
        <v>#N/A</v>
      </c>
      <c r="I758" s="9" t="s">
        <v>3335</v>
      </c>
      <c r="J758" s="9" t="s">
        <v>3336</v>
      </c>
      <c r="K758" s="9" t="s">
        <v>3335</v>
      </c>
      <c r="L758" s="9" t="e">
        <f t="shared" si="46"/>
        <v>#N/A</v>
      </c>
      <c r="M758" s="9" t="b">
        <f t="shared" si="47"/>
        <v>1</v>
      </c>
      <c r="N758" s="9" t="s">
        <v>3337</v>
      </c>
      <c r="O758" s="9">
        <v>0</v>
      </c>
      <c r="P758" s="9">
        <v>1000</v>
      </c>
      <c r="Q758" s="13"/>
      <c r="R758" s="13"/>
      <c r="S758" s="13"/>
      <c r="T758" s="9" t="s">
        <v>49</v>
      </c>
      <c r="U758" s="13"/>
      <c r="V758" s="9" t="s">
        <v>30</v>
      </c>
      <c r="W758" s="13"/>
      <c r="X758" s="9">
        <v>2</v>
      </c>
    </row>
    <row r="759" spans="1:24">
      <c r="A759" s="13"/>
      <c r="B759" s="9" t="s">
        <v>3338</v>
      </c>
      <c r="C759" s="9" t="e">
        <f>VLOOKUP(B759,[1]RXNS!$B:$C,1,)</f>
        <v>#N/A</v>
      </c>
      <c r="D759" s="9" t="e">
        <f t="shared" si="44"/>
        <v>#N/A</v>
      </c>
      <c r="E759" s="9" t="e">
        <v>#N/A</v>
      </c>
      <c r="F759" s="9" t="s">
        <v>3339</v>
      </c>
      <c r="G759" s="9" t="e">
        <f t="shared" si="45"/>
        <v>#N/A</v>
      </c>
      <c r="H759" s="9" t="e">
        <f>VLOOKUP(B759,[1]RXNS!$B:$D,3,FALSE)</f>
        <v>#N/A</v>
      </c>
      <c r="I759" s="9" t="s">
        <v>3340</v>
      </c>
      <c r="J759" s="9" t="s">
        <v>3341</v>
      </c>
      <c r="K759" s="9" t="s">
        <v>3340</v>
      </c>
      <c r="L759" s="9" t="e">
        <f t="shared" si="46"/>
        <v>#N/A</v>
      </c>
      <c r="M759" s="9" t="b">
        <f t="shared" si="47"/>
        <v>1</v>
      </c>
      <c r="N759" s="9" t="s">
        <v>3342</v>
      </c>
      <c r="O759" s="9">
        <v>-1000</v>
      </c>
      <c r="P759" s="9">
        <v>1000</v>
      </c>
      <c r="Q759" s="13"/>
      <c r="R759" s="13"/>
      <c r="S759" s="13"/>
      <c r="T759" s="9" t="s">
        <v>1303</v>
      </c>
      <c r="U759" s="13"/>
      <c r="V759" s="9" t="s">
        <v>30</v>
      </c>
      <c r="W759" s="13"/>
      <c r="X759" s="9">
        <v>2</v>
      </c>
    </row>
    <row r="760" spans="1:24">
      <c r="A760" s="13"/>
      <c r="B760" s="9" t="s">
        <v>3343</v>
      </c>
      <c r="C760" s="9" t="e">
        <f>VLOOKUP(B760,[1]RXNS!$B:$C,1,)</f>
        <v>#N/A</v>
      </c>
      <c r="D760" s="9" t="e">
        <f t="shared" si="44"/>
        <v>#N/A</v>
      </c>
      <c r="E760" s="9" t="e">
        <v>#N/A</v>
      </c>
      <c r="F760" s="9" t="s">
        <v>3334</v>
      </c>
      <c r="G760" s="9" t="e">
        <f t="shared" si="45"/>
        <v>#N/A</v>
      </c>
      <c r="H760" s="9" t="e">
        <f>VLOOKUP(B760,[1]RXNS!$B:$D,3,FALSE)</f>
        <v>#N/A</v>
      </c>
      <c r="I760" s="9" t="s">
        <v>3335</v>
      </c>
      <c r="J760" s="9" t="s">
        <v>3344</v>
      </c>
      <c r="K760" s="9" t="s">
        <v>3335</v>
      </c>
      <c r="L760" s="9" t="e">
        <f t="shared" si="46"/>
        <v>#N/A</v>
      </c>
      <c r="M760" s="9" t="b">
        <f t="shared" si="47"/>
        <v>1</v>
      </c>
      <c r="N760" s="9" t="s">
        <v>3337</v>
      </c>
      <c r="O760" s="9">
        <v>-1000</v>
      </c>
      <c r="P760" s="9">
        <v>1000</v>
      </c>
      <c r="Q760" s="13"/>
      <c r="R760" s="13"/>
      <c r="S760" s="13"/>
      <c r="T760" s="9" t="s">
        <v>3345</v>
      </c>
      <c r="U760" s="13"/>
      <c r="V760" s="9" t="s">
        <v>30</v>
      </c>
      <c r="W760" s="13"/>
      <c r="X760" s="9">
        <v>2</v>
      </c>
    </row>
    <row r="761" spans="1:24">
      <c r="A761" s="13"/>
      <c r="B761" s="9" t="s">
        <v>3346</v>
      </c>
      <c r="C761" s="9" t="e">
        <f>VLOOKUP(B761,[1]RXNS!$B:$C,1,)</f>
        <v>#N/A</v>
      </c>
      <c r="D761" s="9" t="e">
        <f t="shared" si="44"/>
        <v>#N/A</v>
      </c>
      <c r="E761" s="9" t="e">
        <v>#N/A</v>
      </c>
      <c r="F761" s="9" t="s">
        <v>3347</v>
      </c>
      <c r="G761" s="9" t="e">
        <f t="shared" si="45"/>
        <v>#N/A</v>
      </c>
      <c r="H761" s="9" t="e">
        <f>VLOOKUP(B761,[1]RXNS!$B:$D,3,FALSE)</f>
        <v>#N/A</v>
      </c>
      <c r="I761" s="9" t="s">
        <v>3348</v>
      </c>
      <c r="J761" s="9" t="s">
        <v>3349</v>
      </c>
      <c r="K761" s="9" t="s">
        <v>3348</v>
      </c>
      <c r="L761" s="9" t="e">
        <f t="shared" si="46"/>
        <v>#N/A</v>
      </c>
      <c r="M761" s="9" t="b">
        <f t="shared" si="47"/>
        <v>1</v>
      </c>
      <c r="N761" s="9" t="s">
        <v>3350</v>
      </c>
      <c r="O761" s="9">
        <v>-1000</v>
      </c>
      <c r="P761" s="9">
        <v>1000</v>
      </c>
      <c r="Q761" s="13"/>
      <c r="R761" s="13"/>
      <c r="S761" s="13"/>
      <c r="T761" s="9" t="s">
        <v>679</v>
      </c>
      <c r="U761" s="13"/>
      <c r="V761" s="9" t="s">
        <v>30</v>
      </c>
      <c r="W761" s="13"/>
      <c r="X761" s="9">
        <v>2</v>
      </c>
    </row>
    <row r="762" spans="1:24">
      <c r="A762" s="13"/>
      <c r="B762" s="9" t="s">
        <v>3351</v>
      </c>
      <c r="C762" s="9" t="e">
        <f>VLOOKUP(B762,[1]RXNS!$B:$C,1,)</f>
        <v>#N/A</v>
      </c>
      <c r="D762" s="9" t="e">
        <f t="shared" si="44"/>
        <v>#N/A</v>
      </c>
      <c r="E762" s="9" t="e">
        <v>#N/A</v>
      </c>
      <c r="F762" s="9" t="s">
        <v>3352</v>
      </c>
      <c r="G762" s="9" t="e">
        <f t="shared" si="45"/>
        <v>#N/A</v>
      </c>
      <c r="H762" s="9" t="e">
        <f>VLOOKUP(B762,[1]RXNS!$B:$D,3,FALSE)</f>
        <v>#N/A</v>
      </c>
      <c r="I762" s="9" t="s">
        <v>1834</v>
      </c>
      <c r="J762" s="9" t="s">
        <v>3353</v>
      </c>
      <c r="K762" s="9" t="s">
        <v>1834</v>
      </c>
      <c r="L762" s="9" t="e">
        <f t="shared" si="46"/>
        <v>#N/A</v>
      </c>
      <c r="M762" s="9" t="b">
        <f t="shared" si="47"/>
        <v>1</v>
      </c>
      <c r="N762" s="13"/>
      <c r="O762" s="9">
        <v>-1000</v>
      </c>
      <c r="P762" s="9">
        <v>1000</v>
      </c>
      <c r="Q762" s="13"/>
      <c r="R762" s="13"/>
      <c r="S762" s="13"/>
      <c r="T762" s="9" t="s">
        <v>387</v>
      </c>
      <c r="U762" s="13"/>
      <c r="V762" s="9" t="s">
        <v>35</v>
      </c>
      <c r="W762" s="13"/>
      <c r="X762" s="9">
        <v>2</v>
      </c>
    </row>
    <row r="763" spans="1:24">
      <c r="A763" s="13"/>
      <c r="B763" s="9" t="s">
        <v>3354</v>
      </c>
      <c r="C763" s="9" t="e">
        <f>VLOOKUP(B763,[1]RXNS!$B:$C,1,)</f>
        <v>#N/A</v>
      </c>
      <c r="D763" s="9" t="e">
        <f t="shared" si="44"/>
        <v>#N/A</v>
      </c>
      <c r="E763" s="9" t="e">
        <v>#N/A</v>
      </c>
      <c r="F763" s="9" t="s">
        <v>3355</v>
      </c>
      <c r="G763" s="9" t="e">
        <f t="shared" si="45"/>
        <v>#N/A</v>
      </c>
      <c r="H763" s="9" t="e">
        <f>VLOOKUP(B763,[1]RXNS!$B:$D,3,FALSE)</f>
        <v>#N/A</v>
      </c>
      <c r="I763" s="9" t="s">
        <v>3356</v>
      </c>
      <c r="J763" s="9" t="s">
        <v>3357</v>
      </c>
      <c r="K763" s="9" t="s">
        <v>3356</v>
      </c>
      <c r="L763" s="9" t="e">
        <f t="shared" si="46"/>
        <v>#N/A</v>
      </c>
      <c r="M763" s="9" t="b">
        <f t="shared" si="47"/>
        <v>1</v>
      </c>
      <c r="N763" s="9" t="s">
        <v>335</v>
      </c>
      <c r="O763" s="9">
        <v>-1000</v>
      </c>
      <c r="P763" s="9">
        <v>1000</v>
      </c>
      <c r="Q763" s="13"/>
      <c r="R763" s="13"/>
      <c r="S763" s="13"/>
      <c r="T763" s="9" t="s">
        <v>85</v>
      </c>
      <c r="U763" s="13"/>
      <c r="V763" s="9" t="s">
        <v>30</v>
      </c>
      <c r="W763" s="13"/>
      <c r="X763" s="9">
        <v>2</v>
      </c>
    </row>
    <row r="764" spans="1:24">
      <c r="A764" s="13"/>
      <c r="B764" s="9" t="s">
        <v>3358</v>
      </c>
      <c r="C764" s="9" t="e">
        <f>VLOOKUP(B764,[1]RXNS!$B:$C,1,)</f>
        <v>#N/A</v>
      </c>
      <c r="D764" s="9" t="e">
        <f t="shared" si="44"/>
        <v>#N/A</v>
      </c>
      <c r="E764" s="9" t="e">
        <v>#N/A</v>
      </c>
      <c r="F764" s="9" t="s">
        <v>3359</v>
      </c>
      <c r="G764" s="9" t="e">
        <f t="shared" si="45"/>
        <v>#N/A</v>
      </c>
      <c r="H764" s="9" t="e">
        <f>VLOOKUP(B764,[1]RXNS!$B:$D,3,FALSE)</f>
        <v>#N/A</v>
      </c>
      <c r="I764" s="9" t="s">
        <v>3360</v>
      </c>
      <c r="J764" s="9" t="s">
        <v>3361</v>
      </c>
      <c r="K764" s="9" t="s">
        <v>3360</v>
      </c>
      <c r="L764" s="9" t="e">
        <f t="shared" si="46"/>
        <v>#N/A</v>
      </c>
      <c r="M764" s="9" t="b">
        <f t="shared" si="47"/>
        <v>1</v>
      </c>
      <c r="N764" s="9" t="s">
        <v>3362</v>
      </c>
      <c r="O764" s="9">
        <v>-1000</v>
      </c>
      <c r="P764" s="9">
        <v>1000</v>
      </c>
      <c r="Q764" s="13"/>
      <c r="R764" s="13"/>
      <c r="S764" s="13"/>
      <c r="T764" s="9" t="s">
        <v>228</v>
      </c>
      <c r="U764" s="13"/>
      <c r="V764" s="9" t="s">
        <v>30</v>
      </c>
      <c r="W764" s="13"/>
      <c r="X764" s="9">
        <v>2</v>
      </c>
    </row>
    <row r="765" spans="1:24">
      <c r="A765" s="13"/>
      <c r="B765" s="9" t="s">
        <v>3363</v>
      </c>
      <c r="C765" s="9" t="e">
        <f>VLOOKUP(B765,[1]RXNS!$B:$C,1,)</f>
        <v>#N/A</v>
      </c>
      <c r="D765" s="9" t="e">
        <f t="shared" si="44"/>
        <v>#N/A</v>
      </c>
      <c r="E765" s="9" t="e">
        <v>#N/A</v>
      </c>
      <c r="F765" s="9" t="s">
        <v>3364</v>
      </c>
      <c r="G765" s="9" t="e">
        <f t="shared" si="45"/>
        <v>#N/A</v>
      </c>
      <c r="H765" s="9" t="e">
        <f>VLOOKUP(B765,[1]RXNS!$B:$D,3,FALSE)</f>
        <v>#N/A</v>
      </c>
      <c r="I765" s="9" t="s">
        <v>3365</v>
      </c>
      <c r="J765" s="9" t="s">
        <v>3366</v>
      </c>
      <c r="K765" s="9" t="s">
        <v>3365</v>
      </c>
      <c r="L765" s="9" t="e">
        <f t="shared" si="46"/>
        <v>#N/A</v>
      </c>
      <c r="M765" s="9" t="b">
        <f t="shared" si="47"/>
        <v>1</v>
      </c>
      <c r="N765" s="9" t="s">
        <v>3367</v>
      </c>
      <c r="O765" s="9">
        <v>-1000</v>
      </c>
      <c r="P765" s="9">
        <v>1000</v>
      </c>
      <c r="Q765" s="13"/>
      <c r="R765" s="13"/>
      <c r="S765" s="13"/>
      <c r="T765" s="9" t="s">
        <v>3368</v>
      </c>
      <c r="U765" s="13"/>
      <c r="V765" s="9" t="s">
        <v>30</v>
      </c>
      <c r="W765" s="13"/>
      <c r="X765" s="9">
        <v>2</v>
      </c>
    </row>
    <row r="766" spans="1:24">
      <c r="A766" s="13"/>
      <c r="B766" s="9" t="s">
        <v>3369</v>
      </c>
      <c r="C766" s="9" t="e">
        <f>VLOOKUP(B766,[1]RXNS!$B:$C,1,)</f>
        <v>#N/A</v>
      </c>
      <c r="D766" s="9" t="e">
        <f t="shared" si="44"/>
        <v>#N/A</v>
      </c>
      <c r="E766" s="9" t="e">
        <v>#N/A</v>
      </c>
      <c r="F766" s="9" t="s">
        <v>3370</v>
      </c>
      <c r="G766" s="9" t="e">
        <f t="shared" si="45"/>
        <v>#N/A</v>
      </c>
      <c r="H766" s="9" t="e">
        <f>VLOOKUP(B766,[1]RXNS!$B:$D,3,FALSE)</f>
        <v>#N/A</v>
      </c>
      <c r="I766" s="9" t="s">
        <v>3371</v>
      </c>
      <c r="J766" s="9" t="s">
        <v>3372</v>
      </c>
      <c r="K766" s="9" t="s">
        <v>3371</v>
      </c>
      <c r="L766" s="9" t="e">
        <f t="shared" si="46"/>
        <v>#N/A</v>
      </c>
      <c r="M766" s="9" t="b">
        <f t="shared" si="47"/>
        <v>1</v>
      </c>
      <c r="N766" s="9" t="s">
        <v>47</v>
      </c>
      <c r="O766" s="9">
        <v>-1000</v>
      </c>
      <c r="P766" s="9">
        <v>1000</v>
      </c>
      <c r="Q766" s="13"/>
      <c r="R766" s="13"/>
      <c r="S766" s="13"/>
      <c r="T766" s="9" t="s">
        <v>3345</v>
      </c>
      <c r="U766" s="13"/>
      <c r="V766" s="9" t="s">
        <v>30</v>
      </c>
      <c r="W766" s="13"/>
      <c r="X766" s="9">
        <v>2</v>
      </c>
    </row>
    <row r="767" spans="1:24">
      <c r="A767" s="13"/>
      <c r="B767" s="9" t="s">
        <v>3373</v>
      </c>
      <c r="C767" s="9" t="e">
        <f>VLOOKUP(B767,[1]RXNS!$B:$C,1,)</f>
        <v>#N/A</v>
      </c>
      <c r="D767" s="9" t="e">
        <f t="shared" si="44"/>
        <v>#N/A</v>
      </c>
      <c r="E767" s="9" t="e">
        <v>#N/A</v>
      </c>
      <c r="F767" s="9" t="s">
        <v>3374</v>
      </c>
      <c r="G767" s="9" t="e">
        <f t="shared" si="45"/>
        <v>#N/A</v>
      </c>
      <c r="H767" s="9" t="e">
        <f>VLOOKUP(B767,[1]RXNS!$B:$D,3,FALSE)</f>
        <v>#N/A</v>
      </c>
      <c r="I767" s="9" t="s">
        <v>3375</v>
      </c>
      <c r="J767" s="9" t="s">
        <v>3376</v>
      </c>
      <c r="K767" s="9" t="s">
        <v>3375</v>
      </c>
      <c r="L767" s="9" t="e">
        <f t="shared" si="46"/>
        <v>#N/A</v>
      </c>
      <c r="M767" s="9" t="b">
        <f t="shared" si="47"/>
        <v>1</v>
      </c>
      <c r="N767" s="9" t="s">
        <v>3377</v>
      </c>
      <c r="O767" s="9">
        <v>-1000</v>
      </c>
      <c r="P767" s="9">
        <v>1000</v>
      </c>
      <c r="Q767" s="13"/>
      <c r="R767" s="13"/>
      <c r="S767" s="13"/>
      <c r="T767" s="9" t="s">
        <v>1310</v>
      </c>
      <c r="U767" s="13"/>
      <c r="V767" s="9" t="s">
        <v>30</v>
      </c>
      <c r="W767" s="13"/>
      <c r="X767" s="9">
        <v>2</v>
      </c>
    </row>
    <row r="768" spans="1:24">
      <c r="A768" s="13"/>
      <c r="B768" s="9" t="s">
        <v>3378</v>
      </c>
      <c r="C768" s="9" t="e">
        <f>VLOOKUP(B768,[1]RXNS!$B:$C,1,)</f>
        <v>#N/A</v>
      </c>
      <c r="D768" s="9" t="e">
        <f t="shared" si="44"/>
        <v>#N/A</v>
      </c>
      <c r="E768" s="9" t="e">
        <v>#N/A</v>
      </c>
      <c r="F768" s="9" t="s">
        <v>3379</v>
      </c>
      <c r="G768" s="9" t="e">
        <f t="shared" si="45"/>
        <v>#N/A</v>
      </c>
      <c r="H768" s="9" t="e">
        <f>VLOOKUP(B768,[1]RXNS!$B:$D,3,FALSE)</f>
        <v>#N/A</v>
      </c>
      <c r="I768" s="9" t="s">
        <v>3380</v>
      </c>
      <c r="J768" s="9" t="s">
        <v>3381</v>
      </c>
      <c r="K768" s="9" t="s">
        <v>3380</v>
      </c>
      <c r="L768" s="9" t="e">
        <f t="shared" si="46"/>
        <v>#N/A</v>
      </c>
      <c r="M768" s="9" t="b">
        <f t="shared" si="47"/>
        <v>1</v>
      </c>
      <c r="N768" s="9" t="s">
        <v>3382</v>
      </c>
      <c r="O768" s="9">
        <v>-1000</v>
      </c>
      <c r="P768" s="9">
        <v>1000</v>
      </c>
      <c r="Q768" s="13"/>
      <c r="R768" s="13"/>
      <c r="S768" s="13"/>
      <c r="T768" s="9" t="s">
        <v>3383</v>
      </c>
      <c r="U768" s="13"/>
      <c r="V768" s="9" t="s">
        <v>30</v>
      </c>
      <c r="W768" s="13"/>
      <c r="X768" s="9">
        <v>2</v>
      </c>
    </row>
    <row r="769" spans="1:24">
      <c r="A769" s="13"/>
      <c r="B769" s="9" t="s">
        <v>3384</v>
      </c>
      <c r="C769" s="9" t="e">
        <f>VLOOKUP(B769,[1]RXNS!$B:$C,1,)</f>
        <v>#N/A</v>
      </c>
      <c r="D769" s="9" t="e">
        <f t="shared" si="44"/>
        <v>#N/A</v>
      </c>
      <c r="E769" s="9" t="e">
        <v>#N/A</v>
      </c>
      <c r="F769" s="9" t="s">
        <v>3385</v>
      </c>
      <c r="G769" s="9" t="e">
        <f t="shared" si="45"/>
        <v>#N/A</v>
      </c>
      <c r="H769" s="9" t="e">
        <f>VLOOKUP(B769,[1]RXNS!$B:$D,3,FALSE)</f>
        <v>#N/A</v>
      </c>
      <c r="I769" s="9" t="s">
        <v>3386</v>
      </c>
      <c r="J769" s="9" t="s">
        <v>3387</v>
      </c>
      <c r="K769" s="9" t="s">
        <v>3386</v>
      </c>
      <c r="L769" s="9" t="e">
        <f t="shared" si="46"/>
        <v>#N/A</v>
      </c>
      <c r="M769" s="9" t="b">
        <f t="shared" si="47"/>
        <v>1</v>
      </c>
      <c r="N769" s="9" t="s">
        <v>3388</v>
      </c>
      <c r="O769" s="9">
        <v>-1000</v>
      </c>
      <c r="P769" s="9">
        <v>1000</v>
      </c>
      <c r="Q769" s="13"/>
      <c r="R769" s="13"/>
      <c r="S769" s="13"/>
      <c r="T769" s="9" t="s">
        <v>573</v>
      </c>
      <c r="U769" s="13"/>
      <c r="V769" s="9" t="s">
        <v>30</v>
      </c>
      <c r="W769" s="13"/>
      <c r="X769" s="9">
        <v>2</v>
      </c>
    </row>
    <row r="770" spans="1:24">
      <c r="A770" s="13"/>
      <c r="B770" s="9" t="s">
        <v>3389</v>
      </c>
      <c r="C770" s="9" t="e">
        <f>VLOOKUP(B770,[1]RXNS!$B:$C,1,)</f>
        <v>#N/A</v>
      </c>
      <c r="D770" s="9" t="e">
        <f t="shared" ref="D770:D833" si="48">EXACT(B770,C770)</f>
        <v>#N/A</v>
      </c>
      <c r="E770" s="9" t="e">
        <v>#N/A</v>
      </c>
      <c r="F770" s="9" t="s">
        <v>3390</v>
      </c>
      <c r="G770" s="9" t="e">
        <f t="shared" ref="G770:G833" si="49">EXACT(E770,F770)</f>
        <v>#N/A</v>
      </c>
      <c r="H770" s="9" t="e">
        <f>VLOOKUP(B770,[1]RXNS!$B:$D,3,FALSE)</f>
        <v>#N/A</v>
      </c>
      <c r="I770" s="9" t="s">
        <v>3391</v>
      </c>
      <c r="J770" s="9" t="s">
        <v>3392</v>
      </c>
      <c r="K770" s="9" t="s">
        <v>3391</v>
      </c>
      <c r="L770" s="9" t="e">
        <f t="shared" ref="L770:L833" si="50">EXACT(H770,J770)</f>
        <v>#N/A</v>
      </c>
      <c r="M770" s="9" t="b">
        <f t="shared" ref="M770:M833" si="51">EXACT(I770,K770)</f>
        <v>1</v>
      </c>
      <c r="N770" s="9" t="s">
        <v>260</v>
      </c>
      <c r="O770" s="9">
        <v>-1000</v>
      </c>
      <c r="P770" s="9">
        <v>1000</v>
      </c>
      <c r="Q770" s="13"/>
      <c r="R770" s="13"/>
      <c r="S770" s="13"/>
      <c r="T770" s="9" t="s">
        <v>261</v>
      </c>
      <c r="U770" s="13"/>
      <c r="V770" s="9" t="s">
        <v>30</v>
      </c>
      <c r="W770" s="13"/>
      <c r="X770" s="9">
        <v>2</v>
      </c>
    </row>
    <row r="771" spans="1:24">
      <c r="A771" s="13"/>
      <c r="B771" s="9" t="s">
        <v>3393</v>
      </c>
      <c r="C771" s="9" t="e">
        <f>VLOOKUP(B771,[1]RXNS!$B:$C,1,)</f>
        <v>#N/A</v>
      </c>
      <c r="D771" s="9" t="e">
        <f t="shared" si="48"/>
        <v>#N/A</v>
      </c>
      <c r="E771" s="9" t="e">
        <v>#N/A</v>
      </c>
      <c r="F771" s="9" t="s">
        <v>3394</v>
      </c>
      <c r="G771" s="9" t="e">
        <f t="shared" si="49"/>
        <v>#N/A</v>
      </c>
      <c r="H771" s="9" t="e">
        <f>VLOOKUP(B771,[1]RXNS!$B:$D,3,FALSE)</f>
        <v>#N/A</v>
      </c>
      <c r="I771" s="9" t="s">
        <v>557</v>
      </c>
      <c r="J771" s="9" t="s">
        <v>3395</v>
      </c>
      <c r="K771" s="9" t="s">
        <v>557</v>
      </c>
      <c r="L771" s="9" t="e">
        <f t="shared" si="50"/>
        <v>#N/A</v>
      </c>
      <c r="M771" s="9" t="b">
        <f t="shared" si="51"/>
        <v>1</v>
      </c>
      <c r="N771" s="9" t="s">
        <v>559</v>
      </c>
      <c r="O771" s="9">
        <v>0</v>
      </c>
      <c r="P771" s="9">
        <v>1000</v>
      </c>
      <c r="Q771" s="13"/>
      <c r="R771" s="13"/>
      <c r="S771" s="13"/>
      <c r="T771" s="9" t="s">
        <v>1669</v>
      </c>
      <c r="U771" s="13"/>
      <c r="V771" s="9" t="s">
        <v>30</v>
      </c>
      <c r="W771" s="13"/>
      <c r="X771" s="9">
        <v>2</v>
      </c>
    </row>
    <row r="772" spans="1:24">
      <c r="A772" s="13"/>
      <c r="B772" s="9" t="s">
        <v>3396</v>
      </c>
      <c r="C772" s="9" t="e">
        <f>VLOOKUP(B772,[1]RXNS!$B:$C,1,)</f>
        <v>#N/A</v>
      </c>
      <c r="D772" s="9" t="e">
        <f t="shared" si="48"/>
        <v>#N/A</v>
      </c>
      <c r="E772" s="9" t="e">
        <v>#N/A</v>
      </c>
      <c r="F772" s="9" t="s">
        <v>3397</v>
      </c>
      <c r="G772" s="9" t="e">
        <f t="shared" si="49"/>
        <v>#N/A</v>
      </c>
      <c r="H772" s="9" t="e">
        <f>VLOOKUP(B772,[1]RXNS!$B:$D,3,FALSE)</f>
        <v>#N/A</v>
      </c>
      <c r="I772" s="9" t="s">
        <v>644</v>
      </c>
      <c r="J772" s="9" t="s">
        <v>3398</v>
      </c>
      <c r="K772" s="9" t="s">
        <v>644</v>
      </c>
      <c r="L772" s="9" t="e">
        <f t="shared" si="50"/>
        <v>#N/A</v>
      </c>
      <c r="M772" s="9" t="b">
        <f t="shared" si="51"/>
        <v>1</v>
      </c>
      <c r="N772" s="9" t="s">
        <v>646</v>
      </c>
      <c r="O772" s="9">
        <v>-1000</v>
      </c>
      <c r="P772" s="9">
        <v>1000</v>
      </c>
      <c r="Q772" s="13"/>
      <c r="R772" s="13"/>
      <c r="S772" s="13"/>
      <c r="T772" s="9" t="s">
        <v>648</v>
      </c>
      <c r="U772" s="13"/>
      <c r="V772" s="9" t="s">
        <v>30</v>
      </c>
      <c r="W772" s="13"/>
      <c r="X772" s="9">
        <v>2</v>
      </c>
    </row>
    <row r="773" spans="1:24">
      <c r="A773" s="13"/>
      <c r="B773" s="9" t="s">
        <v>3399</v>
      </c>
      <c r="C773" s="9" t="e">
        <f>VLOOKUP(B773,[1]RXNS!$B:$C,1,)</f>
        <v>#N/A</v>
      </c>
      <c r="D773" s="9" t="e">
        <f t="shared" si="48"/>
        <v>#N/A</v>
      </c>
      <c r="E773" s="9" t="e">
        <v>#N/A</v>
      </c>
      <c r="F773" s="9" t="s">
        <v>3400</v>
      </c>
      <c r="G773" s="9" t="e">
        <f t="shared" si="49"/>
        <v>#N/A</v>
      </c>
      <c r="H773" s="9" t="e">
        <f>VLOOKUP(B773,[1]RXNS!$B:$D,3,FALSE)</f>
        <v>#N/A</v>
      </c>
      <c r="I773" s="9" t="s">
        <v>3401</v>
      </c>
      <c r="J773" s="9" t="s">
        <v>3402</v>
      </c>
      <c r="K773" s="9" t="s">
        <v>3401</v>
      </c>
      <c r="L773" s="9" t="e">
        <f t="shared" si="50"/>
        <v>#N/A</v>
      </c>
      <c r="M773" s="9" t="b">
        <f t="shared" si="51"/>
        <v>1</v>
      </c>
      <c r="N773" s="9" t="s">
        <v>3403</v>
      </c>
      <c r="O773" s="9">
        <v>0</v>
      </c>
      <c r="P773" s="9">
        <v>1000</v>
      </c>
      <c r="Q773" s="13"/>
      <c r="R773" s="13"/>
      <c r="S773" s="13"/>
      <c r="T773" s="9" t="s">
        <v>364</v>
      </c>
      <c r="U773" s="13"/>
      <c r="V773" s="9" t="s">
        <v>30</v>
      </c>
      <c r="W773" s="13"/>
      <c r="X773" s="9">
        <v>2</v>
      </c>
    </row>
    <row r="774" spans="1:24">
      <c r="A774" s="13"/>
      <c r="B774" s="9" t="s">
        <v>3404</v>
      </c>
      <c r="C774" s="9" t="e">
        <f>VLOOKUP(B774,[1]RXNS!$B:$C,1,)</f>
        <v>#N/A</v>
      </c>
      <c r="D774" s="9" t="e">
        <f t="shared" si="48"/>
        <v>#N/A</v>
      </c>
      <c r="E774" s="9" t="e">
        <v>#N/A</v>
      </c>
      <c r="F774" s="9" t="s">
        <v>173</v>
      </c>
      <c r="G774" s="9" t="e">
        <f t="shared" si="49"/>
        <v>#N/A</v>
      </c>
      <c r="H774" s="9" t="e">
        <f>VLOOKUP(B774,[1]RXNS!$B:$D,3,FALSE)</f>
        <v>#N/A</v>
      </c>
      <c r="I774" s="9" t="s">
        <v>3405</v>
      </c>
      <c r="J774" s="9" t="s">
        <v>3406</v>
      </c>
      <c r="K774" s="9" t="s">
        <v>3405</v>
      </c>
      <c r="L774" s="9" t="e">
        <f t="shared" si="50"/>
        <v>#N/A</v>
      </c>
      <c r="M774" s="9" t="b">
        <f t="shared" si="51"/>
        <v>1</v>
      </c>
      <c r="N774" s="9" t="s">
        <v>176</v>
      </c>
      <c r="O774" s="9">
        <v>0</v>
      </c>
      <c r="P774" s="9">
        <v>1000</v>
      </c>
      <c r="Q774" s="13"/>
      <c r="R774" s="13"/>
      <c r="S774" s="13"/>
      <c r="T774" s="9" t="s">
        <v>29</v>
      </c>
      <c r="U774" s="13"/>
      <c r="V774" s="9" t="s">
        <v>30</v>
      </c>
      <c r="W774" s="13"/>
      <c r="X774" s="9">
        <v>2</v>
      </c>
    </row>
    <row r="775" spans="1:24">
      <c r="A775" s="13"/>
      <c r="B775" s="9" t="s">
        <v>3407</v>
      </c>
      <c r="C775" s="9" t="e">
        <f>VLOOKUP(B775,[1]RXNS!$B:$C,1,)</f>
        <v>#N/A</v>
      </c>
      <c r="D775" s="9" t="e">
        <f t="shared" si="48"/>
        <v>#N/A</v>
      </c>
      <c r="E775" s="9" t="e">
        <v>#N/A</v>
      </c>
      <c r="F775" s="9" t="s">
        <v>3408</v>
      </c>
      <c r="G775" s="9" t="e">
        <f t="shared" si="49"/>
        <v>#N/A</v>
      </c>
      <c r="H775" s="9" t="e">
        <f>VLOOKUP(B775,[1]RXNS!$B:$D,3,FALSE)</f>
        <v>#N/A</v>
      </c>
      <c r="I775" s="9" t="s">
        <v>3409</v>
      </c>
      <c r="J775" s="9" t="s">
        <v>3410</v>
      </c>
      <c r="K775" s="9" t="s">
        <v>3409</v>
      </c>
      <c r="L775" s="9" t="e">
        <f t="shared" si="50"/>
        <v>#N/A</v>
      </c>
      <c r="M775" s="9" t="b">
        <f t="shared" si="51"/>
        <v>1</v>
      </c>
      <c r="N775" s="9" t="s">
        <v>3411</v>
      </c>
      <c r="O775" s="9">
        <v>-1000</v>
      </c>
      <c r="P775" s="9">
        <v>1000</v>
      </c>
      <c r="Q775" s="13"/>
      <c r="R775" s="13"/>
      <c r="S775" s="13"/>
      <c r="T775" s="9" t="s">
        <v>364</v>
      </c>
      <c r="U775" s="13"/>
      <c r="V775" s="9" t="s">
        <v>30</v>
      </c>
      <c r="W775" s="13"/>
      <c r="X775" s="9">
        <v>2</v>
      </c>
    </row>
    <row r="776" spans="1:24">
      <c r="A776" s="13"/>
      <c r="B776" s="9" t="s">
        <v>3412</v>
      </c>
      <c r="C776" s="9" t="e">
        <f>VLOOKUP(B776,[1]RXNS!$B:$C,1,)</f>
        <v>#N/A</v>
      </c>
      <c r="D776" s="9" t="e">
        <f t="shared" si="48"/>
        <v>#N/A</v>
      </c>
      <c r="E776" s="9" t="e">
        <v>#N/A</v>
      </c>
      <c r="F776" s="9" t="s">
        <v>3413</v>
      </c>
      <c r="G776" s="9" t="e">
        <f t="shared" si="49"/>
        <v>#N/A</v>
      </c>
      <c r="H776" s="9" t="e">
        <f>VLOOKUP(B776,[1]RXNS!$B:$D,3,FALSE)</f>
        <v>#N/A</v>
      </c>
      <c r="I776" s="9" t="s">
        <v>2281</v>
      </c>
      <c r="J776" s="9" t="s">
        <v>3414</v>
      </c>
      <c r="K776" s="9" t="s">
        <v>2281</v>
      </c>
      <c r="L776" s="9" t="e">
        <f t="shared" si="50"/>
        <v>#N/A</v>
      </c>
      <c r="M776" s="9" t="b">
        <f t="shared" si="51"/>
        <v>1</v>
      </c>
      <c r="N776" s="13"/>
      <c r="O776" s="9">
        <v>-1000</v>
      </c>
      <c r="P776" s="9">
        <v>1000</v>
      </c>
      <c r="Q776" s="13"/>
      <c r="R776" s="13"/>
      <c r="S776" s="13"/>
      <c r="T776" s="9" t="s">
        <v>3065</v>
      </c>
      <c r="U776" s="13"/>
      <c r="V776" s="9" t="s">
        <v>35</v>
      </c>
      <c r="W776" s="13"/>
      <c r="X776" s="9">
        <v>2</v>
      </c>
    </row>
    <row r="777" spans="1:24">
      <c r="A777" s="13"/>
      <c r="B777" s="9" t="s">
        <v>3415</v>
      </c>
      <c r="C777" s="9" t="e">
        <f>VLOOKUP(B777,[1]RXNS!$B:$C,1,)</f>
        <v>#N/A</v>
      </c>
      <c r="D777" s="9" t="e">
        <f t="shared" si="48"/>
        <v>#N/A</v>
      </c>
      <c r="E777" s="9" t="e">
        <v>#N/A</v>
      </c>
      <c r="F777" s="9" t="s">
        <v>3416</v>
      </c>
      <c r="G777" s="9" t="e">
        <f t="shared" si="49"/>
        <v>#N/A</v>
      </c>
      <c r="H777" s="9" t="e">
        <f>VLOOKUP(B777,[1]RXNS!$B:$D,3,FALSE)</f>
        <v>#N/A</v>
      </c>
      <c r="I777" s="9" t="s">
        <v>3417</v>
      </c>
      <c r="J777" s="9" t="s">
        <v>3418</v>
      </c>
      <c r="K777" s="9" t="s">
        <v>3417</v>
      </c>
      <c r="L777" s="9" t="e">
        <f t="shared" si="50"/>
        <v>#N/A</v>
      </c>
      <c r="M777" s="9" t="b">
        <f t="shared" si="51"/>
        <v>1</v>
      </c>
      <c r="N777" s="9" t="s">
        <v>1301</v>
      </c>
      <c r="O777" s="9">
        <v>-1000</v>
      </c>
      <c r="P777" s="9">
        <v>1000</v>
      </c>
      <c r="Q777" s="13"/>
      <c r="R777" s="13"/>
      <c r="S777" s="13"/>
      <c r="T777" s="9" t="s">
        <v>1303</v>
      </c>
      <c r="U777" s="13"/>
      <c r="V777" s="9" t="s">
        <v>30</v>
      </c>
      <c r="W777" s="13"/>
      <c r="X777" s="9">
        <v>2</v>
      </c>
    </row>
    <row r="778" spans="1:24">
      <c r="A778" s="13"/>
      <c r="B778" s="9" t="s">
        <v>3419</v>
      </c>
      <c r="C778" s="9" t="e">
        <f>VLOOKUP(B778,[1]RXNS!$B:$C,1,)</f>
        <v>#N/A</v>
      </c>
      <c r="D778" s="9" t="e">
        <f t="shared" si="48"/>
        <v>#N/A</v>
      </c>
      <c r="E778" s="9" t="e">
        <v>#N/A</v>
      </c>
      <c r="F778" s="9" t="s">
        <v>3420</v>
      </c>
      <c r="G778" s="9" t="e">
        <f t="shared" si="49"/>
        <v>#N/A</v>
      </c>
      <c r="H778" s="9" t="e">
        <f>VLOOKUP(B778,[1]RXNS!$B:$D,3,FALSE)</f>
        <v>#N/A</v>
      </c>
      <c r="I778" s="9" t="s">
        <v>3421</v>
      </c>
      <c r="J778" s="9" t="s">
        <v>3422</v>
      </c>
      <c r="K778" s="9" t="s">
        <v>3421</v>
      </c>
      <c r="L778" s="9" t="e">
        <f t="shared" si="50"/>
        <v>#N/A</v>
      </c>
      <c r="M778" s="9" t="b">
        <f t="shared" si="51"/>
        <v>1</v>
      </c>
      <c r="N778" s="9" t="s">
        <v>1443</v>
      </c>
      <c r="O778" s="9">
        <v>-1000</v>
      </c>
      <c r="P778" s="9">
        <v>1000</v>
      </c>
      <c r="Q778" s="13"/>
      <c r="R778" s="13"/>
      <c r="S778" s="13"/>
      <c r="T778" s="9" t="s">
        <v>153</v>
      </c>
      <c r="U778" s="13"/>
      <c r="V778" s="9" t="s">
        <v>30</v>
      </c>
      <c r="W778" s="13"/>
      <c r="X778" s="9">
        <v>2</v>
      </c>
    </row>
    <row r="779" spans="1:24">
      <c r="A779" s="13"/>
      <c r="B779" s="9" t="s">
        <v>3423</v>
      </c>
      <c r="C779" s="9" t="e">
        <f>VLOOKUP(B779,[1]RXNS!$B:$C,1,)</f>
        <v>#N/A</v>
      </c>
      <c r="D779" s="9" t="e">
        <f t="shared" si="48"/>
        <v>#N/A</v>
      </c>
      <c r="E779" s="9" t="e">
        <v>#N/A</v>
      </c>
      <c r="F779" s="9" t="s">
        <v>325</v>
      </c>
      <c r="G779" s="9" t="e">
        <f t="shared" si="49"/>
        <v>#N/A</v>
      </c>
      <c r="H779" s="9" t="e">
        <f>VLOOKUP(B779,[1]RXNS!$B:$D,3,FALSE)</f>
        <v>#N/A</v>
      </c>
      <c r="I779" s="9" t="s">
        <v>3424</v>
      </c>
      <c r="J779" s="9" t="s">
        <v>3425</v>
      </c>
      <c r="K779" s="9" t="s">
        <v>3424</v>
      </c>
      <c r="L779" s="9" t="e">
        <f t="shared" si="50"/>
        <v>#N/A</v>
      </c>
      <c r="M779" s="9" t="b">
        <f t="shared" si="51"/>
        <v>1</v>
      </c>
      <c r="N779" s="9" t="s">
        <v>3426</v>
      </c>
      <c r="O779" s="9">
        <v>-1000</v>
      </c>
      <c r="P779" s="9">
        <v>1000</v>
      </c>
      <c r="Q779" s="13"/>
      <c r="R779" s="13"/>
      <c r="S779" s="13"/>
      <c r="T779" s="9" t="s">
        <v>244</v>
      </c>
      <c r="U779" s="13"/>
      <c r="V779" s="9" t="s">
        <v>30</v>
      </c>
      <c r="W779" s="13"/>
      <c r="X779" s="9">
        <v>2</v>
      </c>
    </row>
    <row r="780" spans="1:24">
      <c r="A780" s="13"/>
      <c r="B780" s="9" t="s">
        <v>3427</v>
      </c>
      <c r="C780" s="9" t="e">
        <f>VLOOKUP(B780,[1]RXNS!$B:$C,1,)</f>
        <v>#N/A</v>
      </c>
      <c r="D780" s="9" t="e">
        <f t="shared" si="48"/>
        <v>#N/A</v>
      </c>
      <c r="E780" s="9" t="e">
        <v>#N/A</v>
      </c>
      <c r="F780" s="9" t="s">
        <v>3428</v>
      </c>
      <c r="G780" s="9" t="e">
        <f t="shared" si="49"/>
        <v>#N/A</v>
      </c>
      <c r="H780" s="9" t="e">
        <f>VLOOKUP(B780,[1]RXNS!$B:$D,3,FALSE)</f>
        <v>#N/A</v>
      </c>
      <c r="I780" s="9" t="s">
        <v>3260</v>
      </c>
      <c r="J780" s="9" t="s">
        <v>3429</v>
      </c>
      <c r="K780" s="9" t="s">
        <v>3260</v>
      </c>
      <c r="L780" s="9" t="e">
        <f t="shared" si="50"/>
        <v>#N/A</v>
      </c>
      <c r="M780" s="9" t="b">
        <f t="shared" si="51"/>
        <v>1</v>
      </c>
      <c r="N780" s="13"/>
      <c r="O780" s="9">
        <v>-1000</v>
      </c>
      <c r="P780" s="9">
        <v>1000</v>
      </c>
      <c r="Q780" s="13"/>
      <c r="R780" s="13"/>
      <c r="S780" s="13"/>
      <c r="T780" s="9" t="s">
        <v>2793</v>
      </c>
      <c r="U780" s="13"/>
      <c r="V780" s="9" t="s">
        <v>35</v>
      </c>
      <c r="W780" s="13"/>
      <c r="X780" s="9">
        <v>2</v>
      </c>
    </row>
    <row r="781" spans="1:24">
      <c r="A781" s="13"/>
      <c r="B781" s="9" t="s">
        <v>3430</v>
      </c>
      <c r="C781" s="9" t="e">
        <f>VLOOKUP(B781,[1]RXNS!$B:$C,1,)</f>
        <v>#N/A</v>
      </c>
      <c r="D781" s="9" t="e">
        <f t="shared" si="48"/>
        <v>#N/A</v>
      </c>
      <c r="E781" s="9" t="e">
        <v>#N/A</v>
      </c>
      <c r="F781" s="9" t="s">
        <v>3431</v>
      </c>
      <c r="G781" s="9" t="e">
        <f t="shared" si="49"/>
        <v>#N/A</v>
      </c>
      <c r="H781" s="9" t="e">
        <f>VLOOKUP(B781,[1]RXNS!$B:$D,3,FALSE)</f>
        <v>#N/A</v>
      </c>
      <c r="I781" s="9" t="s">
        <v>3432</v>
      </c>
      <c r="J781" s="9" t="s">
        <v>3433</v>
      </c>
      <c r="K781" s="9" t="s">
        <v>3432</v>
      </c>
      <c r="L781" s="9" t="e">
        <f t="shared" si="50"/>
        <v>#N/A</v>
      </c>
      <c r="M781" s="9" t="b">
        <f t="shared" si="51"/>
        <v>1</v>
      </c>
      <c r="N781" s="9" t="s">
        <v>3434</v>
      </c>
      <c r="O781" s="9">
        <v>-1000</v>
      </c>
      <c r="P781" s="9">
        <v>1000</v>
      </c>
      <c r="Q781" s="13"/>
      <c r="R781" s="13"/>
      <c r="S781" s="13"/>
      <c r="T781" s="9" t="s">
        <v>2793</v>
      </c>
      <c r="U781" s="13"/>
      <c r="V781" s="9" t="s">
        <v>30</v>
      </c>
      <c r="W781" s="13"/>
      <c r="X781" s="9">
        <v>2</v>
      </c>
    </row>
    <row r="782" spans="1:24">
      <c r="A782" s="13"/>
      <c r="B782" s="9" t="s">
        <v>3435</v>
      </c>
      <c r="C782" s="9" t="e">
        <f>VLOOKUP(B782,[1]RXNS!$B:$C,1,)</f>
        <v>#N/A</v>
      </c>
      <c r="D782" s="9" t="e">
        <f t="shared" si="48"/>
        <v>#N/A</v>
      </c>
      <c r="E782" s="9" t="e">
        <v>#N/A</v>
      </c>
      <c r="F782" s="9" t="s">
        <v>3436</v>
      </c>
      <c r="G782" s="9" t="e">
        <f t="shared" si="49"/>
        <v>#N/A</v>
      </c>
      <c r="H782" s="9" t="e">
        <f>VLOOKUP(B782,[1]RXNS!$B:$D,3,FALSE)</f>
        <v>#N/A</v>
      </c>
      <c r="I782" s="9" t="s">
        <v>2899</v>
      </c>
      <c r="J782" s="9" t="s">
        <v>3437</v>
      </c>
      <c r="K782" s="9" t="s">
        <v>2899</v>
      </c>
      <c r="L782" s="9" t="e">
        <f t="shared" si="50"/>
        <v>#N/A</v>
      </c>
      <c r="M782" s="9" t="b">
        <f t="shared" si="51"/>
        <v>1</v>
      </c>
      <c r="N782" s="13"/>
      <c r="O782" s="9">
        <v>-1000</v>
      </c>
      <c r="P782" s="9">
        <v>1000</v>
      </c>
      <c r="Q782" s="13"/>
      <c r="R782" s="13"/>
      <c r="S782" s="13"/>
      <c r="T782" s="9" t="s">
        <v>2793</v>
      </c>
      <c r="U782" s="13"/>
      <c r="V782" s="9" t="s">
        <v>35</v>
      </c>
      <c r="W782" s="13"/>
      <c r="X782" s="9">
        <v>2</v>
      </c>
    </row>
    <row r="783" spans="1:24">
      <c r="A783" s="13"/>
      <c r="B783" s="9" t="s">
        <v>3438</v>
      </c>
      <c r="C783" s="9" t="e">
        <f>VLOOKUP(B783,[1]RXNS!$B:$C,1,)</f>
        <v>#N/A</v>
      </c>
      <c r="D783" s="9" t="e">
        <f t="shared" si="48"/>
        <v>#N/A</v>
      </c>
      <c r="E783" s="9" t="e">
        <v>#N/A</v>
      </c>
      <c r="F783" s="9" t="s">
        <v>3439</v>
      </c>
      <c r="G783" s="9" t="e">
        <f t="shared" si="49"/>
        <v>#N/A</v>
      </c>
      <c r="H783" s="9" t="e">
        <f>VLOOKUP(B783,[1]RXNS!$B:$D,3,FALSE)</f>
        <v>#N/A</v>
      </c>
      <c r="I783" s="9" t="s">
        <v>3440</v>
      </c>
      <c r="J783" s="9" t="s">
        <v>3441</v>
      </c>
      <c r="K783" s="9" t="s">
        <v>3440</v>
      </c>
      <c r="L783" s="9" t="e">
        <f t="shared" si="50"/>
        <v>#N/A</v>
      </c>
      <c r="M783" s="9" t="b">
        <f t="shared" si="51"/>
        <v>1</v>
      </c>
      <c r="N783" s="13"/>
      <c r="O783" s="9">
        <v>-1000</v>
      </c>
      <c r="P783" s="9">
        <v>1000</v>
      </c>
      <c r="Q783" s="13"/>
      <c r="R783" s="13"/>
      <c r="S783" s="13"/>
      <c r="T783" s="9" t="s">
        <v>131</v>
      </c>
      <c r="U783" s="13"/>
      <c r="V783" s="9" t="s">
        <v>35</v>
      </c>
      <c r="W783" s="13"/>
      <c r="X783" s="9">
        <v>2</v>
      </c>
    </row>
    <row r="784" spans="1:24">
      <c r="A784" s="13"/>
      <c r="B784" s="9" t="s">
        <v>3442</v>
      </c>
      <c r="C784" s="9" t="e">
        <f>VLOOKUP(B784,[1]RXNS!$B:$C,1,)</f>
        <v>#N/A</v>
      </c>
      <c r="D784" s="9" t="e">
        <f t="shared" si="48"/>
        <v>#N/A</v>
      </c>
      <c r="E784" s="9" t="e">
        <v>#N/A</v>
      </c>
      <c r="F784" s="9" t="s">
        <v>3443</v>
      </c>
      <c r="G784" s="9" t="e">
        <f t="shared" si="49"/>
        <v>#N/A</v>
      </c>
      <c r="H784" s="9" t="e">
        <f>VLOOKUP(B784,[1]RXNS!$B:$D,3,FALSE)</f>
        <v>#N/A</v>
      </c>
      <c r="I784" s="9" t="s">
        <v>3444</v>
      </c>
      <c r="J784" s="9" t="s">
        <v>3445</v>
      </c>
      <c r="K784" s="9" t="s">
        <v>3444</v>
      </c>
      <c r="L784" s="9" t="e">
        <f t="shared" si="50"/>
        <v>#N/A</v>
      </c>
      <c r="M784" s="9" t="b">
        <f t="shared" si="51"/>
        <v>1</v>
      </c>
      <c r="N784" s="9" t="s">
        <v>898</v>
      </c>
      <c r="O784" s="9">
        <v>-1000</v>
      </c>
      <c r="P784" s="9">
        <v>1000</v>
      </c>
      <c r="Q784" s="13"/>
      <c r="R784" s="13"/>
      <c r="S784" s="13"/>
      <c r="T784" s="9" t="s">
        <v>153</v>
      </c>
      <c r="U784" s="13"/>
      <c r="V784" s="9" t="s">
        <v>30</v>
      </c>
      <c r="W784" s="13"/>
      <c r="X784" s="9">
        <v>2</v>
      </c>
    </row>
    <row r="785" spans="1:24">
      <c r="A785" s="13"/>
      <c r="B785" s="9" t="s">
        <v>3446</v>
      </c>
      <c r="C785" s="9" t="e">
        <f>VLOOKUP(B785,[1]RXNS!$B:$C,1,)</f>
        <v>#N/A</v>
      </c>
      <c r="D785" s="9" t="e">
        <f t="shared" si="48"/>
        <v>#N/A</v>
      </c>
      <c r="E785" s="9" t="e">
        <v>#N/A</v>
      </c>
      <c r="F785" s="9" t="s">
        <v>3447</v>
      </c>
      <c r="G785" s="9" t="e">
        <f t="shared" si="49"/>
        <v>#N/A</v>
      </c>
      <c r="H785" s="9" t="e">
        <f>VLOOKUP(B785,[1]RXNS!$B:$D,3,FALSE)</f>
        <v>#N/A</v>
      </c>
      <c r="I785" s="9" t="s">
        <v>3448</v>
      </c>
      <c r="J785" s="9" t="s">
        <v>3449</v>
      </c>
      <c r="K785" s="9" t="s">
        <v>3448</v>
      </c>
      <c r="L785" s="9" t="e">
        <f t="shared" si="50"/>
        <v>#N/A</v>
      </c>
      <c r="M785" s="9" t="b">
        <f t="shared" si="51"/>
        <v>1</v>
      </c>
      <c r="N785" s="9" t="s">
        <v>3450</v>
      </c>
      <c r="O785" s="9">
        <v>-1000</v>
      </c>
      <c r="P785" s="9">
        <v>1000</v>
      </c>
      <c r="Q785" s="13"/>
      <c r="R785" s="13"/>
      <c r="S785" s="13"/>
      <c r="T785" s="9" t="s">
        <v>3451</v>
      </c>
      <c r="U785" s="13"/>
      <c r="V785" s="9" t="s">
        <v>30</v>
      </c>
      <c r="W785" s="13"/>
      <c r="X785" s="9">
        <v>2</v>
      </c>
    </row>
    <row r="786" spans="1:24">
      <c r="A786" s="13"/>
      <c r="B786" s="9" t="s">
        <v>3452</v>
      </c>
      <c r="C786" s="9" t="e">
        <f>VLOOKUP(B786,[1]RXNS!$B:$C,1,)</f>
        <v>#N/A</v>
      </c>
      <c r="D786" s="9" t="e">
        <f t="shared" si="48"/>
        <v>#N/A</v>
      </c>
      <c r="E786" s="9" t="e">
        <v>#N/A</v>
      </c>
      <c r="F786" s="9" t="s">
        <v>3453</v>
      </c>
      <c r="G786" s="9" t="e">
        <f t="shared" si="49"/>
        <v>#N/A</v>
      </c>
      <c r="H786" s="9" t="e">
        <f>VLOOKUP(B786,[1]RXNS!$B:$D,3,FALSE)</f>
        <v>#N/A</v>
      </c>
      <c r="I786" s="9" t="s">
        <v>3454</v>
      </c>
      <c r="J786" s="9" t="s">
        <v>3455</v>
      </c>
      <c r="K786" s="9" t="s">
        <v>3454</v>
      </c>
      <c r="L786" s="9" t="e">
        <f t="shared" si="50"/>
        <v>#N/A</v>
      </c>
      <c r="M786" s="9" t="b">
        <f t="shared" si="51"/>
        <v>1</v>
      </c>
      <c r="N786" s="13"/>
      <c r="O786" s="9">
        <v>0</v>
      </c>
      <c r="P786" s="9">
        <v>1000</v>
      </c>
      <c r="Q786" s="13"/>
      <c r="R786" s="13"/>
      <c r="S786" s="13"/>
      <c r="T786" s="9" t="s">
        <v>85</v>
      </c>
      <c r="U786" s="13"/>
      <c r="V786" s="9" t="s">
        <v>35</v>
      </c>
      <c r="W786" s="13"/>
      <c r="X786" s="9">
        <v>2</v>
      </c>
    </row>
    <row r="787" spans="1:24">
      <c r="A787" s="13"/>
      <c r="B787" s="9" t="s">
        <v>3456</v>
      </c>
      <c r="C787" s="9" t="e">
        <f>VLOOKUP(B787,[1]RXNS!$B:$C,1,)</f>
        <v>#N/A</v>
      </c>
      <c r="D787" s="9" t="e">
        <f t="shared" si="48"/>
        <v>#N/A</v>
      </c>
      <c r="E787" s="9" t="e">
        <v>#N/A</v>
      </c>
      <c r="F787" s="9" t="s">
        <v>3148</v>
      </c>
      <c r="G787" s="9" t="e">
        <f t="shared" si="49"/>
        <v>#N/A</v>
      </c>
      <c r="H787" s="9" t="e">
        <f>VLOOKUP(B787,[1]RXNS!$B:$D,3,FALSE)</f>
        <v>#N/A</v>
      </c>
      <c r="I787" s="9" t="s">
        <v>3457</v>
      </c>
      <c r="J787" s="9" t="s">
        <v>3458</v>
      </c>
      <c r="K787" s="9" t="s">
        <v>3457</v>
      </c>
      <c r="L787" s="9" t="e">
        <f t="shared" si="50"/>
        <v>#N/A</v>
      </c>
      <c r="M787" s="9" t="b">
        <f t="shared" si="51"/>
        <v>1</v>
      </c>
      <c r="N787" s="9" t="s">
        <v>3151</v>
      </c>
      <c r="O787" s="9">
        <v>-1000</v>
      </c>
      <c r="P787" s="9">
        <v>1000</v>
      </c>
      <c r="Q787" s="13"/>
      <c r="R787" s="13"/>
      <c r="S787" s="13"/>
      <c r="T787" s="9" t="s">
        <v>131</v>
      </c>
      <c r="U787" s="13"/>
      <c r="V787" s="9" t="s">
        <v>30</v>
      </c>
      <c r="W787" s="13"/>
      <c r="X787" s="9">
        <v>2</v>
      </c>
    </row>
    <row r="788" spans="1:24">
      <c r="A788" s="13"/>
      <c r="B788" s="9" t="s">
        <v>3459</v>
      </c>
      <c r="C788" s="9" t="e">
        <f>VLOOKUP(B788,[1]RXNS!$B:$C,1,)</f>
        <v>#N/A</v>
      </c>
      <c r="D788" s="9" t="e">
        <f t="shared" si="48"/>
        <v>#N/A</v>
      </c>
      <c r="E788" s="9" t="e">
        <v>#N/A</v>
      </c>
      <c r="F788" s="9" t="s">
        <v>3460</v>
      </c>
      <c r="G788" s="9" t="e">
        <f t="shared" si="49"/>
        <v>#N/A</v>
      </c>
      <c r="H788" s="9" t="e">
        <f>VLOOKUP(B788,[1]RXNS!$B:$D,3,FALSE)</f>
        <v>#N/A</v>
      </c>
      <c r="I788" s="9" t="s">
        <v>3461</v>
      </c>
      <c r="J788" s="9" t="s">
        <v>3462</v>
      </c>
      <c r="K788" s="9" t="s">
        <v>3461</v>
      </c>
      <c r="L788" s="9" t="e">
        <f t="shared" si="50"/>
        <v>#N/A</v>
      </c>
      <c r="M788" s="9" t="b">
        <f t="shared" si="51"/>
        <v>1</v>
      </c>
      <c r="N788" s="13"/>
      <c r="O788" s="9">
        <v>-1000</v>
      </c>
      <c r="P788" s="9">
        <v>1000</v>
      </c>
      <c r="Q788" s="13"/>
      <c r="R788" s="13"/>
      <c r="S788" s="13"/>
      <c r="T788" s="9" t="s">
        <v>1727</v>
      </c>
      <c r="U788" s="13"/>
      <c r="V788" s="9" t="s">
        <v>35</v>
      </c>
      <c r="W788" s="13"/>
      <c r="X788" s="9">
        <v>2</v>
      </c>
    </row>
    <row r="789" spans="1:24">
      <c r="A789" s="13"/>
      <c r="B789" s="9" t="s">
        <v>3463</v>
      </c>
      <c r="C789" s="9" t="e">
        <f>VLOOKUP(B789,[1]RXNS!$B:$C,1,)</f>
        <v>#N/A</v>
      </c>
      <c r="D789" s="9" t="e">
        <f t="shared" si="48"/>
        <v>#N/A</v>
      </c>
      <c r="E789" s="9" t="e">
        <v>#N/A</v>
      </c>
      <c r="F789" s="9" t="s">
        <v>3464</v>
      </c>
      <c r="G789" s="9" t="e">
        <f t="shared" si="49"/>
        <v>#N/A</v>
      </c>
      <c r="H789" s="9" t="e">
        <f>VLOOKUP(B789,[1]RXNS!$B:$D,3,FALSE)</f>
        <v>#N/A</v>
      </c>
      <c r="I789" s="9" t="s">
        <v>863</v>
      </c>
      <c r="J789" s="9" t="s">
        <v>3465</v>
      </c>
      <c r="K789" s="9" t="s">
        <v>863</v>
      </c>
      <c r="L789" s="9" t="e">
        <f t="shared" si="50"/>
        <v>#N/A</v>
      </c>
      <c r="M789" s="9" t="b">
        <f t="shared" si="51"/>
        <v>1</v>
      </c>
      <c r="N789" s="9" t="s">
        <v>865</v>
      </c>
      <c r="O789" s="9">
        <v>-1000</v>
      </c>
      <c r="P789" s="9">
        <v>1000</v>
      </c>
      <c r="Q789" s="13"/>
      <c r="R789" s="13"/>
      <c r="S789" s="13"/>
      <c r="T789" s="9" t="s">
        <v>830</v>
      </c>
      <c r="U789" s="13"/>
      <c r="V789" s="9" t="s">
        <v>30</v>
      </c>
      <c r="W789" s="13"/>
      <c r="X789" s="9">
        <v>2</v>
      </c>
    </row>
    <row r="790" spans="1:24">
      <c r="A790" s="13"/>
      <c r="B790" s="9" t="s">
        <v>3466</v>
      </c>
      <c r="C790" s="9" t="e">
        <f>VLOOKUP(B790,[1]RXNS!$B:$C,1,)</f>
        <v>#N/A</v>
      </c>
      <c r="D790" s="9" t="e">
        <f t="shared" si="48"/>
        <v>#N/A</v>
      </c>
      <c r="E790" s="9" t="e">
        <v>#N/A</v>
      </c>
      <c r="F790" s="9" t="s">
        <v>3467</v>
      </c>
      <c r="G790" s="9" t="e">
        <f t="shared" si="49"/>
        <v>#N/A</v>
      </c>
      <c r="H790" s="9" t="e">
        <f>VLOOKUP(B790,[1]RXNS!$B:$D,3,FALSE)</f>
        <v>#N/A</v>
      </c>
      <c r="I790" s="9" t="s">
        <v>3468</v>
      </c>
      <c r="J790" s="9" t="s">
        <v>3469</v>
      </c>
      <c r="K790" s="9" t="s">
        <v>3468</v>
      </c>
      <c r="L790" s="9" t="e">
        <f t="shared" si="50"/>
        <v>#N/A</v>
      </c>
      <c r="M790" s="9" t="b">
        <f t="shared" si="51"/>
        <v>1</v>
      </c>
      <c r="N790" s="13"/>
      <c r="O790" s="9">
        <v>-1000</v>
      </c>
      <c r="P790" s="9">
        <v>1000</v>
      </c>
      <c r="Q790" s="13"/>
      <c r="R790" s="13"/>
      <c r="S790" s="13"/>
      <c r="T790" s="9" t="s">
        <v>1310</v>
      </c>
      <c r="U790" s="13"/>
      <c r="V790" s="9" t="s">
        <v>35</v>
      </c>
      <c r="W790" s="13"/>
      <c r="X790" s="9">
        <v>2</v>
      </c>
    </row>
    <row r="791" spans="1:24">
      <c r="A791" s="13"/>
      <c r="B791" s="9" t="s">
        <v>3470</v>
      </c>
      <c r="C791" s="9" t="e">
        <f>VLOOKUP(B791,[1]RXNS!$B:$C,1,)</f>
        <v>#N/A</v>
      </c>
      <c r="D791" s="9" t="e">
        <f t="shared" si="48"/>
        <v>#N/A</v>
      </c>
      <c r="E791" s="9" t="e">
        <v>#N/A</v>
      </c>
      <c r="F791" s="9" t="s">
        <v>3453</v>
      </c>
      <c r="G791" s="9" t="e">
        <f t="shared" si="49"/>
        <v>#N/A</v>
      </c>
      <c r="H791" s="9" t="e">
        <f>VLOOKUP(B791,[1]RXNS!$B:$D,3,FALSE)</f>
        <v>#N/A</v>
      </c>
      <c r="I791" s="9" t="s">
        <v>3471</v>
      </c>
      <c r="J791" s="9" t="s">
        <v>3472</v>
      </c>
      <c r="K791" s="9" t="s">
        <v>3471</v>
      </c>
      <c r="L791" s="9" t="e">
        <f t="shared" si="50"/>
        <v>#N/A</v>
      </c>
      <c r="M791" s="9" t="b">
        <f t="shared" si="51"/>
        <v>1</v>
      </c>
      <c r="N791" s="13"/>
      <c r="O791" s="9">
        <v>0</v>
      </c>
      <c r="P791" s="9">
        <v>1000</v>
      </c>
      <c r="Q791" s="13"/>
      <c r="R791" s="13"/>
      <c r="S791" s="13"/>
      <c r="T791" s="9" t="s">
        <v>85</v>
      </c>
      <c r="U791" s="13"/>
      <c r="V791" s="9" t="s">
        <v>35</v>
      </c>
      <c r="W791" s="13"/>
      <c r="X791" s="9">
        <v>2</v>
      </c>
    </row>
    <row r="792" spans="1:24">
      <c r="A792" s="13"/>
      <c r="B792" s="9" t="s">
        <v>3473</v>
      </c>
      <c r="C792" s="9" t="e">
        <f>VLOOKUP(B792,[1]RXNS!$B:$C,1,)</f>
        <v>#N/A</v>
      </c>
      <c r="D792" s="9" t="e">
        <f t="shared" si="48"/>
        <v>#N/A</v>
      </c>
      <c r="E792" s="9" t="e">
        <v>#N/A</v>
      </c>
      <c r="F792" s="9" t="s">
        <v>3474</v>
      </c>
      <c r="G792" s="9" t="e">
        <f t="shared" si="49"/>
        <v>#N/A</v>
      </c>
      <c r="H792" s="9" t="e">
        <f>VLOOKUP(B792,[1]RXNS!$B:$D,3,FALSE)</f>
        <v>#N/A</v>
      </c>
      <c r="I792" s="9" t="s">
        <v>2899</v>
      </c>
      <c r="J792" s="9" t="s">
        <v>3475</v>
      </c>
      <c r="K792" s="9" t="s">
        <v>2899</v>
      </c>
      <c r="L792" s="9" t="e">
        <f t="shared" si="50"/>
        <v>#N/A</v>
      </c>
      <c r="M792" s="9" t="b">
        <f t="shared" si="51"/>
        <v>1</v>
      </c>
      <c r="N792" s="13"/>
      <c r="O792" s="9">
        <v>-1000</v>
      </c>
      <c r="P792" s="9">
        <v>1000</v>
      </c>
      <c r="Q792" s="13"/>
      <c r="R792" s="13"/>
      <c r="S792" s="13"/>
      <c r="T792" s="9" t="s">
        <v>2793</v>
      </c>
      <c r="U792" s="13"/>
      <c r="V792" s="9" t="s">
        <v>35</v>
      </c>
      <c r="W792" s="13"/>
      <c r="X792" s="9">
        <v>2</v>
      </c>
    </row>
    <row r="793" spans="1:24">
      <c r="A793" s="13"/>
      <c r="B793" s="9" t="s">
        <v>3476</v>
      </c>
      <c r="C793" s="9" t="e">
        <f>VLOOKUP(B793,[1]RXNS!$B:$C,1,)</f>
        <v>#N/A</v>
      </c>
      <c r="D793" s="9" t="e">
        <f t="shared" si="48"/>
        <v>#N/A</v>
      </c>
      <c r="E793" s="9" t="e">
        <v>#N/A</v>
      </c>
      <c r="F793" s="9" t="s">
        <v>3477</v>
      </c>
      <c r="G793" s="9" t="e">
        <f t="shared" si="49"/>
        <v>#N/A</v>
      </c>
      <c r="H793" s="9" t="e">
        <f>VLOOKUP(B793,[1]RXNS!$B:$D,3,FALSE)</f>
        <v>#N/A</v>
      </c>
      <c r="I793" s="9" t="s">
        <v>3478</v>
      </c>
      <c r="J793" s="9" t="s">
        <v>3479</v>
      </c>
      <c r="K793" s="9" t="s">
        <v>3478</v>
      </c>
      <c r="L793" s="9" t="e">
        <f t="shared" si="50"/>
        <v>#N/A</v>
      </c>
      <c r="M793" s="9" t="b">
        <f t="shared" si="51"/>
        <v>1</v>
      </c>
      <c r="N793" s="9" t="s">
        <v>3480</v>
      </c>
      <c r="O793" s="9">
        <v>-1000</v>
      </c>
      <c r="P793" s="9">
        <v>1000</v>
      </c>
      <c r="Q793" s="13"/>
      <c r="R793" s="13"/>
      <c r="S793" s="13"/>
      <c r="T793" s="9" t="s">
        <v>222</v>
      </c>
      <c r="U793" s="13"/>
      <c r="V793" s="9" t="s">
        <v>30</v>
      </c>
      <c r="W793" s="13"/>
      <c r="X793" s="9">
        <v>2</v>
      </c>
    </row>
    <row r="794" spans="1:24">
      <c r="A794" s="13"/>
      <c r="B794" s="9" t="s">
        <v>3481</v>
      </c>
      <c r="C794" s="9" t="e">
        <f>VLOOKUP(B794,[1]RXNS!$B:$C,1,)</f>
        <v>#N/A</v>
      </c>
      <c r="D794" s="9" t="e">
        <f t="shared" si="48"/>
        <v>#N/A</v>
      </c>
      <c r="E794" s="9" t="e">
        <v>#N/A</v>
      </c>
      <c r="F794" s="9" t="s">
        <v>3482</v>
      </c>
      <c r="G794" s="9" t="e">
        <f t="shared" si="49"/>
        <v>#N/A</v>
      </c>
      <c r="H794" s="9" t="e">
        <f>VLOOKUP(B794,[1]RXNS!$B:$D,3,FALSE)</f>
        <v>#N/A</v>
      </c>
      <c r="I794" s="9" t="s">
        <v>2820</v>
      </c>
      <c r="J794" s="9" t="s">
        <v>3483</v>
      </c>
      <c r="K794" s="9" t="s">
        <v>2820</v>
      </c>
      <c r="L794" s="9" t="e">
        <f t="shared" si="50"/>
        <v>#N/A</v>
      </c>
      <c r="M794" s="9" t="b">
        <f t="shared" si="51"/>
        <v>1</v>
      </c>
      <c r="N794" s="9" t="s">
        <v>2822</v>
      </c>
      <c r="O794" s="9">
        <v>-1000</v>
      </c>
      <c r="P794" s="9">
        <v>1000</v>
      </c>
      <c r="Q794" s="13"/>
      <c r="R794" s="13"/>
      <c r="S794" s="13"/>
      <c r="T794" s="9" t="s">
        <v>153</v>
      </c>
      <c r="U794" s="13"/>
      <c r="V794" s="9" t="s">
        <v>30</v>
      </c>
      <c r="W794" s="13"/>
      <c r="X794" s="9">
        <v>2</v>
      </c>
    </row>
    <row r="795" spans="1:24">
      <c r="A795" s="13"/>
      <c r="B795" s="9" t="s">
        <v>3484</v>
      </c>
      <c r="C795" s="9" t="e">
        <f>VLOOKUP(B795,[1]RXNS!$B:$C,1,)</f>
        <v>#N/A</v>
      </c>
      <c r="D795" s="9" t="e">
        <f t="shared" si="48"/>
        <v>#N/A</v>
      </c>
      <c r="E795" s="9" t="e">
        <v>#N/A</v>
      </c>
      <c r="F795" s="9" t="s">
        <v>3443</v>
      </c>
      <c r="G795" s="9" t="e">
        <f t="shared" si="49"/>
        <v>#N/A</v>
      </c>
      <c r="H795" s="9" t="e">
        <f>VLOOKUP(B795,[1]RXNS!$B:$D,3,FALSE)</f>
        <v>#N/A</v>
      </c>
      <c r="I795" s="9" t="s">
        <v>3444</v>
      </c>
      <c r="J795" s="9" t="s">
        <v>3485</v>
      </c>
      <c r="K795" s="9" t="s">
        <v>3444</v>
      </c>
      <c r="L795" s="9" t="e">
        <f t="shared" si="50"/>
        <v>#N/A</v>
      </c>
      <c r="M795" s="9" t="b">
        <f t="shared" si="51"/>
        <v>1</v>
      </c>
      <c r="N795" s="9" t="s">
        <v>898</v>
      </c>
      <c r="O795" s="9">
        <v>-1000</v>
      </c>
      <c r="P795" s="9">
        <v>1000</v>
      </c>
      <c r="Q795" s="13"/>
      <c r="R795" s="13"/>
      <c r="S795" s="13"/>
      <c r="T795" s="9" t="s">
        <v>153</v>
      </c>
      <c r="U795" s="13"/>
      <c r="V795" s="9" t="s">
        <v>30</v>
      </c>
      <c r="W795" s="13"/>
      <c r="X795" s="9">
        <v>2</v>
      </c>
    </row>
    <row r="796" spans="1:24">
      <c r="A796" s="13"/>
      <c r="B796" s="9" t="s">
        <v>3486</v>
      </c>
      <c r="C796" s="9" t="e">
        <f>VLOOKUP(B796,[1]RXNS!$B:$C,1,)</f>
        <v>#N/A</v>
      </c>
      <c r="D796" s="9" t="e">
        <f t="shared" si="48"/>
        <v>#N/A</v>
      </c>
      <c r="E796" s="9" t="e">
        <v>#N/A</v>
      </c>
      <c r="F796" s="9" t="s">
        <v>1512</v>
      </c>
      <c r="G796" s="9" t="e">
        <f t="shared" si="49"/>
        <v>#N/A</v>
      </c>
      <c r="H796" s="9" t="e">
        <f>VLOOKUP(B796,[1]RXNS!$B:$D,3,FALSE)</f>
        <v>#N/A</v>
      </c>
      <c r="I796" s="9" t="s">
        <v>3487</v>
      </c>
      <c r="J796" s="9" t="s">
        <v>3488</v>
      </c>
      <c r="K796" s="9" t="s">
        <v>3487</v>
      </c>
      <c r="L796" s="9" t="e">
        <f t="shared" si="50"/>
        <v>#N/A</v>
      </c>
      <c r="M796" s="9" t="b">
        <f t="shared" si="51"/>
        <v>1</v>
      </c>
      <c r="N796" s="9" t="s">
        <v>1515</v>
      </c>
      <c r="O796" s="9">
        <v>-1000</v>
      </c>
      <c r="P796" s="9">
        <v>1000</v>
      </c>
      <c r="Q796" s="13"/>
      <c r="R796" s="13"/>
      <c r="S796" s="13"/>
      <c r="T796" s="9" t="s">
        <v>278</v>
      </c>
      <c r="U796" s="13"/>
      <c r="V796" s="9" t="s">
        <v>30</v>
      </c>
      <c r="W796" s="13"/>
      <c r="X796" s="9">
        <v>2</v>
      </c>
    </row>
    <row r="797" spans="1:24">
      <c r="A797" s="13"/>
      <c r="B797" s="9" t="s">
        <v>3489</v>
      </c>
      <c r="C797" s="9" t="e">
        <f>VLOOKUP(B797,[1]RXNS!$B:$C,1,)</f>
        <v>#N/A</v>
      </c>
      <c r="D797" s="9" t="e">
        <f t="shared" si="48"/>
        <v>#N/A</v>
      </c>
      <c r="E797" s="9" t="e">
        <v>#N/A</v>
      </c>
      <c r="F797" s="9" t="s">
        <v>3490</v>
      </c>
      <c r="G797" s="9" t="e">
        <f t="shared" si="49"/>
        <v>#N/A</v>
      </c>
      <c r="H797" s="9" t="e">
        <f>VLOOKUP(B797,[1]RXNS!$B:$D,3,FALSE)</f>
        <v>#N/A</v>
      </c>
      <c r="I797" s="9" t="s">
        <v>3491</v>
      </c>
      <c r="J797" s="9" t="s">
        <v>3492</v>
      </c>
      <c r="K797" s="9" t="s">
        <v>3491</v>
      </c>
      <c r="L797" s="9" t="e">
        <f t="shared" si="50"/>
        <v>#N/A</v>
      </c>
      <c r="M797" s="9" t="b">
        <f t="shared" si="51"/>
        <v>1</v>
      </c>
      <c r="N797" s="13"/>
      <c r="O797" s="9">
        <v>0</v>
      </c>
      <c r="P797" s="9">
        <v>1000</v>
      </c>
      <c r="Q797" s="13"/>
      <c r="R797" s="13"/>
      <c r="S797" s="13"/>
      <c r="T797" s="9" t="s">
        <v>85</v>
      </c>
      <c r="U797" s="13"/>
      <c r="V797" s="9" t="s">
        <v>35</v>
      </c>
      <c r="W797" s="13"/>
      <c r="X797" s="9">
        <v>2</v>
      </c>
    </row>
    <row r="798" spans="1:24">
      <c r="A798" s="13"/>
      <c r="B798" s="9" t="s">
        <v>3493</v>
      </c>
      <c r="C798" s="9" t="e">
        <f>VLOOKUP(B798,[1]RXNS!$B:$C,1,)</f>
        <v>#N/A</v>
      </c>
      <c r="D798" s="9" t="e">
        <f t="shared" si="48"/>
        <v>#N/A</v>
      </c>
      <c r="E798" s="9" t="e">
        <v>#N/A</v>
      </c>
      <c r="F798" s="9" t="s">
        <v>608</v>
      </c>
      <c r="G798" s="9" t="e">
        <f t="shared" si="49"/>
        <v>#N/A</v>
      </c>
      <c r="H798" s="9" t="e">
        <f>VLOOKUP(B798,[1]RXNS!$B:$D,3,FALSE)</f>
        <v>#N/A</v>
      </c>
      <c r="I798" s="9" t="s">
        <v>3494</v>
      </c>
      <c r="J798" s="9" t="s">
        <v>3495</v>
      </c>
      <c r="K798" s="9" t="s">
        <v>3494</v>
      </c>
      <c r="L798" s="9" t="e">
        <f t="shared" si="50"/>
        <v>#N/A</v>
      </c>
      <c r="M798" s="9" t="b">
        <f t="shared" si="51"/>
        <v>1</v>
      </c>
      <c r="N798" s="13"/>
      <c r="O798" s="9">
        <v>-1000</v>
      </c>
      <c r="P798" s="9">
        <v>1000</v>
      </c>
      <c r="Q798" s="13"/>
      <c r="R798" s="13"/>
      <c r="S798" s="13"/>
      <c r="T798" s="9" t="s">
        <v>85</v>
      </c>
      <c r="U798" s="13"/>
      <c r="V798" s="9" t="s">
        <v>35</v>
      </c>
      <c r="W798" s="13"/>
      <c r="X798" s="9">
        <v>2</v>
      </c>
    </row>
    <row r="799" spans="1:24">
      <c r="A799" s="13"/>
      <c r="B799" s="9" t="s">
        <v>3496</v>
      </c>
      <c r="C799" s="9" t="e">
        <f>VLOOKUP(B799,[1]RXNS!$B:$C,1,)</f>
        <v>#N/A</v>
      </c>
      <c r="D799" s="9" t="e">
        <f t="shared" si="48"/>
        <v>#N/A</v>
      </c>
      <c r="E799" s="9" t="e">
        <v>#N/A</v>
      </c>
      <c r="F799" s="9" t="s">
        <v>3497</v>
      </c>
      <c r="G799" s="9" t="e">
        <f t="shared" si="49"/>
        <v>#N/A</v>
      </c>
      <c r="H799" s="9" t="e">
        <f>VLOOKUP(B799,[1]RXNS!$B:$D,3,FALSE)</f>
        <v>#N/A</v>
      </c>
      <c r="I799" s="9" t="s">
        <v>3498</v>
      </c>
      <c r="J799" s="9" t="s">
        <v>3499</v>
      </c>
      <c r="K799" s="9" t="s">
        <v>3498</v>
      </c>
      <c r="L799" s="9" t="e">
        <f t="shared" si="50"/>
        <v>#N/A</v>
      </c>
      <c r="M799" s="9" t="b">
        <f t="shared" si="51"/>
        <v>1</v>
      </c>
      <c r="N799" s="13"/>
      <c r="O799" s="9">
        <v>-1000</v>
      </c>
      <c r="P799" s="9">
        <v>1000</v>
      </c>
      <c r="Q799" s="13"/>
      <c r="R799" s="13"/>
      <c r="S799" s="13"/>
      <c r="T799" s="9" t="s">
        <v>599</v>
      </c>
      <c r="U799" s="13"/>
      <c r="V799" s="9" t="s">
        <v>35</v>
      </c>
      <c r="W799" s="13"/>
      <c r="X799" s="9">
        <v>2</v>
      </c>
    </row>
    <row r="800" spans="1:24">
      <c r="A800" s="13"/>
      <c r="B800" s="9" t="s">
        <v>3500</v>
      </c>
      <c r="C800" s="9" t="e">
        <f>VLOOKUP(B800,[1]RXNS!$B:$C,1,)</f>
        <v>#N/A</v>
      </c>
      <c r="D800" s="9" t="e">
        <f t="shared" si="48"/>
        <v>#N/A</v>
      </c>
      <c r="E800" s="9" t="e">
        <v>#N/A</v>
      </c>
      <c r="F800" s="9" t="s">
        <v>3447</v>
      </c>
      <c r="G800" s="9" t="e">
        <f t="shared" si="49"/>
        <v>#N/A</v>
      </c>
      <c r="H800" s="9" t="e">
        <f>VLOOKUP(B800,[1]RXNS!$B:$D,3,FALSE)</f>
        <v>#N/A</v>
      </c>
      <c r="I800" s="9" t="s">
        <v>3448</v>
      </c>
      <c r="J800" s="9" t="s">
        <v>3501</v>
      </c>
      <c r="K800" s="9" t="s">
        <v>3448</v>
      </c>
      <c r="L800" s="9" t="e">
        <f t="shared" si="50"/>
        <v>#N/A</v>
      </c>
      <c r="M800" s="9" t="b">
        <f t="shared" si="51"/>
        <v>1</v>
      </c>
      <c r="N800" s="9" t="s">
        <v>3450</v>
      </c>
      <c r="O800" s="9">
        <v>-1000</v>
      </c>
      <c r="P800" s="9">
        <v>1000</v>
      </c>
      <c r="Q800" s="13"/>
      <c r="R800" s="13"/>
      <c r="S800" s="13"/>
      <c r="T800" s="9" t="s">
        <v>3451</v>
      </c>
      <c r="U800" s="13"/>
      <c r="V800" s="9" t="s">
        <v>30</v>
      </c>
      <c r="W800" s="13"/>
      <c r="X800" s="9">
        <v>2</v>
      </c>
    </row>
    <row r="801" spans="1:24">
      <c r="A801" s="13"/>
      <c r="B801" s="9" t="s">
        <v>3502</v>
      </c>
      <c r="C801" s="9" t="e">
        <f>VLOOKUP(B801,[1]RXNS!$B:$C,1,)</f>
        <v>#N/A</v>
      </c>
      <c r="D801" s="9" t="e">
        <f t="shared" si="48"/>
        <v>#N/A</v>
      </c>
      <c r="E801" s="9" t="e">
        <v>#N/A</v>
      </c>
      <c r="F801" s="9" t="s">
        <v>3447</v>
      </c>
      <c r="G801" s="9" t="e">
        <f t="shared" si="49"/>
        <v>#N/A</v>
      </c>
      <c r="H801" s="9" t="e">
        <f>VLOOKUP(B801,[1]RXNS!$B:$D,3,FALSE)</f>
        <v>#N/A</v>
      </c>
      <c r="I801" s="9" t="s">
        <v>3448</v>
      </c>
      <c r="J801" s="9" t="s">
        <v>3503</v>
      </c>
      <c r="K801" s="9" t="s">
        <v>3448</v>
      </c>
      <c r="L801" s="9" t="e">
        <f t="shared" si="50"/>
        <v>#N/A</v>
      </c>
      <c r="M801" s="9" t="b">
        <f t="shared" si="51"/>
        <v>1</v>
      </c>
      <c r="N801" s="9" t="s">
        <v>3450</v>
      </c>
      <c r="O801" s="9">
        <v>-1000</v>
      </c>
      <c r="P801" s="9">
        <v>1000</v>
      </c>
      <c r="Q801" s="13"/>
      <c r="R801" s="13"/>
      <c r="S801" s="13"/>
      <c r="T801" s="9" t="s">
        <v>3451</v>
      </c>
      <c r="U801" s="13"/>
      <c r="V801" s="9" t="s">
        <v>30</v>
      </c>
      <c r="W801" s="13"/>
      <c r="X801" s="9">
        <v>2</v>
      </c>
    </row>
    <row r="802" spans="1:24">
      <c r="A802" s="13"/>
      <c r="B802" s="9" t="s">
        <v>3504</v>
      </c>
      <c r="C802" s="9" t="e">
        <f>VLOOKUP(B802,[1]RXNS!$B:$C,1,)</f>
        <v>#N/A</v>
      </c>
      <c r="D802" s="9" t="e">
        <f t="shared" si="48"/>
        <v>#N/A</v>
      </c>
      <c r="E802" s="9" t="e">
        <v>#N/A</v>
      </c>
      <c r="F802" s="9" t="s">
        <v>3505</v>
      </c>
      <c r="G802" s="9" t="e">
        <f t="shared" si="49"/>
        <v>#N/A</v>
      </c>
      <c r="H802" s="9" t="e">
        <f>VLOOKUP(B802,[1]RXNS!$B:$D,3,FALSE)</f>
        <v>#N/A</v>
      </c>
      <c r="I802" s="9" t="s">
        <v>3506</v>
      </c>
      <c r="J802" s="9" t="s">
        <v>3507</v>
      </c>
      <c r="K802" s="9" t="s">
        <v>3506</v>
      </c>
      <c r="L802" s="9" t="e">
        <f t="shared" si="50"/>
        <v>#N/A</v>
      </c>
      <c r="M802" s="9" t="b">
        <f t="shared" si="51"/>
        <v>1</v>
      </c>
      <c r="N802" s="9" t="s">
        <v>1463</v>
      </c>
      <c r="O802" s="9">
        <v>-1000</v>
      </c>
      <c r="P802" s="9">
        <v>1000</v>
      </c>
      <c r="Q802" s="13"/>
      <c r="R802" s="13"/>
      <c r="S802" s="13"/>
      <c r="T802" s="9" t="s">
        <v>278</v>
      </c>
      <c r="U802" s="13"/>
      <c r="V802" s="9" t="s">
        <v>30</v>
      </c>
      <c r="W802" s="13"/>
      <c r="X802" s="9">
        <v>2</v>
      </c>
    </row>
    <row r="803" spans="1:24">
      <c r="A803" s="13"/>
      <c r="B803" s="9" t="s">
        <v>3508</v>
      </c>
      <c r="C803" s="9" t="e">
        <f>VLOOKUP(B803,[1]RXNS!$B:$C,1,)</f>
        <v>#N/A</v>
      </c>
      <c r="D803" s="9" t="e">
        <f t="shared" si="48"/>
        <v>#N/A</v>
      </c>
      <c r="E803" s="9" t="e">
        <v>#N/A</v>
      </c>
      <c r="F803" s="9" t="s">
        <v>3148</v>
      </c>
      <c r="G803" s="9" t="e">
        <f t="shared" si="49"/>
        <v>#N/A</v>
      </c>
      <c r="H803" s="9" t="e">
        <f>VLOOKUP(B803,[1]RXNS!$B:$D,3,FALSE)</f>
        <v>#N/A</v>
      </c>
      <c r="I803" s="9" t="s">
        <v>3149</v>
      </c>
      <c r="J803" s="9" t="s">
        <v>3509</v>
      </c>
      <c r="K803" s="9" t="s">
        <v>3149</v>
      </c>
      <c r="L803" s="9" t="e">
        <f t="shared" si="50"/>
        <v>#N/A</v>
      </c>
      <c r="M803" s="9" t="b">
        <f t="shared" si="51"/>
        <v>1</v>
      </c>
      <c r="N803" s="9" t="s">
        <v>3151</v>
      </c>
      <c r="O803" s="9">
        <v>0</v>
      </c>
      <c r="P803" s="9">
        <v>1000</v>
      </c>
      <c r="Q803" s="13"/>
      <c r="R803" s="13"/>
      <c r="S803" s="13"/>
      <c r="T803" s="9" t="s">
        <v>131</v>
      </c>
      <c r="U803" s="13"/>
      <c r="V803" s="9" t="s">
        <v>30</v>
      </c>
      <c r="W803" s="13"/>
      <c r="X803" s="9">
        <v>2</v>
      </c>
    </row>
    <row r="804" spans="1:24">
      <c r="A804" s="13"/>
      <c r="B804" s="9" t="s">
        <v>3510</v>
      </c>
      <c r="C804" s="9" t="e">
        <f>VLOOKUP(B804,[1]RXNS!$B:$C,1,)</f>
        <v>#N/A</v>
      </c>
      <c r="D804" s="9" t="e">
        <f t="shared" si="48"/>
        <v>#N/A</v>
      </c>
      <c r="E804" s="9" t="e">
        <v>#N/A</v>
      </c>
      <c r="F804" s="9" t="s">
        <v>3447</v>
      </c>
      <c r="G804" s="9" t="e">
        <f t="shared" si="49"/>
        <v>#N/A</v>
      </c>
      <c r="H804" s="9" t="e">
        <f>VLOOKUP(B804,[1]RXNS!$B:$D,3,FALSE)</f>
        <v>#N/A</v>
      </c>
      <c r="I804" s="9" t="s">
        <v>3448</v>
      </c>
      <c r="J804" s="9" t="s">
        <v>3511</v>
      </c>
      <c r="K804" s="9" t="s">
        <v>3448</v>
      </c>
      <c r="L804" s="9" t="e">
        <f t="shared" si="50"/>
        <v>#N/A</v>
      </c>
      <c r="M804" s="9" t="b">
        <f t="shared" si="51"/>
        <v>1</v>
      </c>
      <c r="N804" s="9" t="s">
        <v>3450</v>
      </c>
      <c r="O804" s="9">
        <v>-1000</v>
      </c>
      <c r="P804" s="9">
        <v>1000</v>
      </c>
      <c r="Q804" s="13"/>
      <c r="R804" s="13"/>
      <c r="S804" s="13"/>
      <c r="T804" s="9" t="s">
        <v>3451</v>
      </c>
      <c r="U804" s="13"/>
      <c r="V804" s="9" t="s">
        <v>30</v>
      </c>
      <c r="W804" s="13"/>
      <c r="X804" s="9">
        <v>2</v>
      </c>
    </row>
    <row r="805" spans="1:24">
      <c r="A805" s="13"/>
      <c r="B805" s="9" t="s">
        <v>3512</v>
      </c>
      <c r="C805" s="9" t="e">
        <f>VLOOKUP(B805,[1]RXNS!$B:$C,1,)</f>
        <v>#N/A</v>
      </c>
      <c r="D805" s="9" t="e">
        <f t="shared" si="48"/>
        <v>#N/A</v>
      </c>
      <c r="E805" s="9" t="e">
        <v>#N/A</v>
      </c>
      <c r="F805" s="9" t="s">
        <v>3447</v>
      </c>
      <c r="G805" s="9" t="e">
        <f t="shared" si="49"/>
        <v>#N/A</v>
      </c>
      <c r="H805" s="9" t="e">
        <f>VLOOKUP(B805,[1]RXNS!$B:$D,3,FALSE)</f>
        <v>#N/A</v>
      </c>
      <c r="I805" s="9" t="s">
        <v>3448</v>
      </c>
      <c r="J805" s="9" t="s">
        <v>3513</v>
      </c>
      <c r="K805" s="9" t="s">
        <v>3448</v>
      </c>
      <c r="L805" s="9" t="e">
        <f t="shared" si="50"/>
        <v>#N/A</v>
      </c>
      <c r="M805" s="9" t="b">
        <f t="shared" si="51"/>
        <v>1</v>
      </c>
      <c r="N805" s="9" t="s">
        <v>3450</v>
      </c>
      <c r="O805" s="9">
        <v>-1000</v>
      </c>
      <c r="P805" s="9">
        <v>1000</v>
      </c>
      <c r="Q805" s="13"/>
      <c r="R805" s="13"/>
      <c r="S805" s="13"/>
      <c r="T805" s="9" t="s">
        <v>3451</v>
      </c>
      <c r="U805" s="13"/>
      <c r="V805" s="9" t="s">
        <v>30</v>
      </c>
      <c r="W805" s="13"/>
      <c r="X805" s="9">
        <v>2</v>
      </c>
    </row>
    <row r="806" spans="1:24">
      <c r="A806" s="13"/>
      <c r="B806" s="9" t="s">
        <v>3514</v>
      </c>
      <c r="C806" s="9" t="e">
        <f>VLOOKUP(B806,[1]RXNS!$B:$C,1,)</f>
        <v>#N/A</v>
      </c>
      <c r="D806" s="9" t="e">
        <f t="shared" si="48"/>
        <v>#N/A</v>
      </c>
      <c r="E806" s="9" t="e">
        <v>#N/A</v>
      </c>
      <c r="F806" s="9" t="s">
        <v>325</v>
      </c>
      <c r="G806" s="9" t="e">
        <f t="shared" si="49"/>
        <v>#N/A</v>
      </c>
      <c r="H806" s="9" t="e">
        <f>VLOOKUP(B806,[1]RXNS!$B:$D,3,FALSE)</f>
        <v>#N/A</v>
      </c>
      <c r="I806" s="9" t="s">
        <v>3515</v>
      </c>
      <c r="J806" s="9" t="s">
        <v>3516</v>
      </c>
      <c r="K806" s="9" t="s">
        <v>3515</v>
      </c>
      <c r="L806" s="9" t="e">
        <f t="shared" si="50"/>
        <v>#N/A</v>
      </c>
      <c r="M806" s="9" t="b">
        <f t="shared" si="51"/>
        <v>1</v>
      </c>
      <c r="N806" s="9" t="s">
        <v>328</v>
      </c>
      <c r="O806" s="9">
        <v>-1000</v>
      </c>
      <c r="P806" s="9">
        <v>1000</v>
      </c>
      <c r="Q806" s="13"/>
      <c r="R806" s="13"/>
      <c r="S806" s="13"/>
      <c r="T806" s="9" t="s">
        <v>830</v>
      </c>
      <c r="U806" s="13"/>
      <c r="V806" s="9" t="s">
        <v>30</v>
      </c>
      <c r="W806" s="13"/>
      <c r="X806" s="9">
        <v>2</v>
      </c>
    </row>
    <row r="807" spans="1:24">
      <c r="A807" s="13"/>
      <c r="B807" s="9" t="s">
        <v>3517</v>
      </c>
      <c r="C807" s="9" t="e">
        <f>VLOOKUP(B807,[1]RXNS!$B:$C,1,)</f>
        <v>#N/A</v>
      </c>
      <c r="D807" s="9" t="e">
        <f t="shared" si="48"/>
        <v>#N/A</v>
      </c>
      <c r="E807" s="9" t="e">
        <v>#N/A</v>
      </c>
      <c r="F807" s="9" t="s">
        <v>3518</v>
      </c>
      <c r="G807" s="9" t="e">
        <f t="shared" si="49"/>
        <v>#N/A</v>
      </c>
      <c r="H807" s="9" t="e">
        <f>VLOOKUP(B807,[1]RXNS!$B:$D,3,FALSE)</f>
        <v>#N/A</v>
      </c>
      <c r="I807" s="9" t="s">
        <v>671</v>
      </c>
      <c r="J807" s="9" t="s">
        <v>3519</v>
      </c>
      <c r="K807" s="9" t="s">
        <v>671</v>
      </c>
      <c r="L807" s="9" t="e">
        <f t="shared" si="50"/>
        <v>#N/A</v>
      </c>
      <c r="M807" s="9" t="b">
        <f t="shared" si="51"/>
        <v>1</v>
      </c>
      <c r="N807" s="9" t="s">
        <v>3520</v>
      </c>
      <c r="O807" s="9">
        <v>-1000</v>
      </c>
      <c r="P807" s="9">
        <v>1000</v>
      </c>
      <c r="Q807" s="13"/>
      <c r="R807" s="13"/>
      <c r="S807" s="13"/>
      <c r="T807" s="9" t="s">
        <v>3368</v>
      </c>
      <c r="U807" s="13"/>
      <c r="V807" s="9" t="s">
        <v>30</v>
      </c>
      <c r="W807" s="13"/>
      <c r="X807" s="9">
        <v>2</v>
      </c>
    </row>
    <row r="808" spans="1:24">
      <c r="A808" s="13"/>
      <c r="B808" s="9" t="s">
        <v>3521</v>
      </c>
      <c r="C808" s="9" t="e">
        <f>VLOOKUP(B808,[1]RXNS!$B:$C,1,)</f>
        <v>#N/A</v>
      </c>
      <c r="D808" s="9" t="e">
        <f t="shared" si="48"/>
        <v>#N/A</v>
      </c>
      <c r="E808" s="9" t="e">
        <v>#N/A</v>
      </c>
      <c r="F808" s="9" t="s">
        <v>3522</v>
      </c>
      <c r="G808" s="9" t="e">
        <f t="shared" si="49"/>
        <v>#N/A</v>
      </c>
      <c r="H808" s="9" t="e">
        <f>VLOOKUP(B808,[1]RXNS!$B:$D,3,FALSE)</f>
        <v>#N/A</v>
      </c>
      <c r="I808" s="9" t="s">
        <v>3523</v>
      </c>
      <c r="J808" s="9" t="s">
        <v>3524</v>
      </c>
      <c r="K808" s="9" t="s">
        <v>3523</v>
      </c>
      <c r="L808" s="9" t="e">
        <f t="shared" si="50"/>
        <v>#N/A</v>
      </c>
      <c r="M808" s="9" t="b">
        <f t="shared" si="51"/>
        <v>1</v>
      </c>
      <c r="N808" s="9" t="s">
        <v>3525</v>
      </c>
      <c r="O808" s="9">
        <v>-1000</v>
      </c>
      <c r="P808" s="9">
        <v>1000</v>
      </c>
      <c r="Q808" s="13"/>
      <c r="R808" s="13"/>
      <c r="S808" s="13"/>
      <c r="T808" s="9" t="s">
        <v>228</v>
      </c>
      <c r="U808" s="13"/>
      <c r="V808" s="9" t="s">
        <v>30</v>
      </c>
      <c r="W808" s="13"/>
      <c r="X808" s="9">
        <v>2</v>
      </c>
    </row>
    <row r="809" spans="1:24">
      <c r="A809" s="13"/>
      <c r="B809" s="9" t="s">
        <v>3526</v>
      </c>
      <c r="C809" s="9" t="e">
        <f>VLOOKUP(B809,[1]RXNS!$B:$C,1,)</f>
        <v>#N/A</v>
      </c>
      <c r="D809" s="9" t="e">
        <f t="shared" si="48"/>
        <v>#N/A</v>
      </c>
      <c r="E809" s="9" t="e">
        <v>#N/A</v>
      </c>
      <c r="F809" s="9" t="s">
        <v>3527</v>
      </c>
      <c r="G809" s="9" t="e">
        <f t="shared" si="49"/>
        <v>#N/A</v>
      </c>
      <c r="H809" s="9" t="e">
        <f>VLOOKUP(B809,[1]RXNS!$B:$D,3,FALSE)</f>
        <v>#N/A</v>
      </c>
      <c r="I809" s="9" t="s">
        <v>3528</v>
      </c>
      <c r="J809" s="9" t="s">
        <v>3529</v>
      </c>
      <c r="K809" s="9" t="s">
        <v>3528</v>
      </c>
      <c r="L809" s="9" t="e">
        <f t="shared" si="50"/>
        <v>#N/A</v>
      </c>
      <c r="M809" s="9" t="b">
        <f t="shared" si="51"/>
        <v>1</v>
      </c>
      <c r="N809" s="13"/>
      <c r="O809" s="9">
        <v>-1000</v>
      </c>
      <c r="P809" s="9">
        <v>1000</v>
      </c>
      <c r="Q809" s="13"/>
      <c r="R809" s="13"/>
      <c r="S809" s="13"/>
      <c r="T809" s="9" t="s">
        <v>1310</v>
      </c>
      <c r="U809" s="13"/>
      <c r="V809" s="9" t="s">
        <v>35</v>
      </c>
      <c r="W809" s="13"/>
      <c r="X809" s="9">
        <v>2</v>
      </c>
    </row>
    <row r="810" spans="1:24">
      <c r="A810" s="13"/>
      <c r="B810" s="9" t="s">
        <v>3530</v>
      </c>
      <c r="C810" s="9" t="e">
        <f>VLOOKUP(B810,[1]RXNS!$B:$C,1,)</f>
        <v>#N/A</v>
      </c>
      <c r="D810" s="9" t="e">
        <f t="shared" si="48"/>
        <v>#N/A</v>
      </c>
      <c r="E810" s="9" t="e">
        <v>#N/A</v>
      </c>
      <c r="F810" s="9" t="s">
        <v>3379</v>
      </c>
      <c r="G810" s="9" t="e">
        <f t="shared" si="49"/>
        <v>#N/A</v>
      </c>
      <c r="H810" s="9" t="e">
        <f>VLOOKUP(B810,[1]RXNS!$B:$D,3,FALSE)</f>
        <v>#N/A</v>
      </c>
      <c r="I810" s="9" t="s">
        <v>3380</v>
      </c>
      <c r="J810" s="9" t="s">
        <v>3531</v>
      </c>
      <c r="K810" s="9" t="s">
        <v>3380</v>
      </c>
      <c r="L810" s="9" t="e">
        <f t="shared" si="50"/>
        <v>#N/A</v>
      </c>
      <c r="M810" s="9" t="b">
        <f t="shared" si="51"/>
        <v>1</v>
      </c>
      <c r="N810" s="9" t="s">
        <v>3382</v>
      </c>
      <c r="O810" s="9">
        <v>-1000</v>
      </c>
      <c r="P810" s="9">
        <v>1000</v>
      </c>
      <c r="Q810" s="13"/>
      <c r="R810" s="13"/>
      <c r="S810" s="13"/>
      <c r="T810" s="9" t="s">
        <v>3383</v>
      </c>
      <c r="U810" s="13"/>
      <c r="V810" s="9" t="s">
        <v>30</v>
      </c>
      <c r="W810" s="13"/>
      <c r="X810" s="9">
        <v>2</v>
      </c>
    </row>
    <row r="811" spans="1:24">
      <c r="A811" s="13"/>
      <c r="B811" s="9" t="s">
        <v>3532</v>
      </c>
      <c r="C811" s="9" t="e">
        <f>VLOOKUP(B811,[1]RXNS!$B:$C,1,)</f>
        <v>#N/A</v>
      </c>
      <c r="D811" s="9" t="e">
        <f t="shared" si="48"/>
        <v>#N/A</v>
      </c>
      <c r="E811" s="9" t="e">
        <v>#N/A</v>
      </c>
      <c r="F811" s="9" t="s">
        <v>3533</v>
      </c>
      <c r="G811" s="9" t="e">
        <f t="shared" si="49"/>
        <v>#N/A</v>
      </c>
      <c r="H811" s="9" t="e">
        <f>VLOOKUP(B811,[1]RXNS!$B:$D,3,FALSE)</f>
        <v>#N/A</v>
      </c>
      <c r="I811" s="9" t="s">
        <v>3534</v>
      </c>
      <c r="J811" s="9" t="s">
        <v>3535</v>
      </c>
      <c r="K811" s="9" t="s">
        <v>3534</v>
      </c>
      <c r="L811" s="9" t="e">
        <f t="shared" si="50"/>
        <v>#N/A</v>
      </c>
      <c r="M811" s="9" t="b">
        <f t="shared" si="51"/>
        <v>1</v>
      </c>
      <c r="N811" s="13"/>
      <c r="O811" s="9">
        <v>-1000</v>
      </c>
      <c r="P811" s="9">
        <v>1000</v>
      </c>
      <c r="Q811" s="13"/>
      <c r="R811" s="13"/>
      <c r="S811" s="13"/>
      <c r="T811" s="9" t="s">
        <v>85</v>
      </c>
      <c r="U811" s="13"/>
      <c r="V811" s="9" t="s">
        <v>35</v>
      </c>
      <c r="W811" s="13"/>
      <c r="X811" s="9">
        <v>2</v>
      </c>
    </row>
    <row r="812" spans="1:24">
      <c r="A812" s="13"/>
      <c r="B812" s="9" t="s">
        <v>3536</v>
      </c>
      <c r="C812" s="9" t="e">
        <f>VLOOKUP(B812,[1]RXNS!$B:$C,1,)</f>
        <v>#N/A</v>
      </c>
      <c r="D812" s="9" t="e">
        <f t="shared" si="48"/>
        <v>#N/A</v>
      </c>
      <c r="E812" s="9" t="e">
        <v>#N/A</v>
      </c>
      <c r="F812" s="9" t="s">
        <v>3537</v>
      </c>
      <c r="G812" s="9" t="e">
        <f t="shared" si="49"/>
        <v>#N/A</v>
      </c>
      <c r="H812" s="9" t="e">
        <f>VLOOKUP(B812,[1]RXNS!$B:$D,3,FALSE)</f>
        <v>#N/A</v>
      </c>
      <c r="I812" s="9" t="s">
        <v>3538</v>
      </c>
      <c r="J812" s="9" t="s">
        <v>3539</v>
      </c>
      <c r="K812" s="9" t="s">
        <v>3538</v>
      </c>
      <c r="L812" s="9" t="e">
        <f t="shared" si="50"/>
        <v>#N/A</v>
      </c>
      <c r="M812" s="9" t="b">
        <f t="shared" si="51"/>
        <v>1</v>
      </c>
      <c r="N812" s="13"/>
      <c r="O812" s="9">
        <v>0</v>
      </c>
      <c r="P812" s="9">
        <v>1000</v>
      </c>
      <c r="Q812" s="13"/>
      <c r="R812" s="13"/>
      <c r="S812" s="13"/>
      <c r="T812" s="9" t="s">
        <v>160</v>
      </c>
      <c r="U812" s="13"/>
      <c r="V812" s="9" t="s">
        <v>35</v>
      </c>
      <c r="W812" s="13"/>
      <c r="X812" s="9">
        <v>2</v>
      </c>
    </row>
    <row r="813" spans="1:24">
      <c r="A813" s="13"/>
      <c r="B813" s="9" t="s">
        <v>3540</v>
      </c>
      <c r="C813" s="9" t="e">
        <f>VLOOKUP(B813,[1]RXNS!$B:$C,1,)</f>
        <v>#N/A</v>
      </c>
      <c r="D813" s="9" t="e">
        <f t="shared" si="48"/>
        <v>#N/A</v>
      </c>
      <c r="E813" s="9" t="e">
        <v>#N/A</v>
      </c>
      <c r="F813" s="9" t="s">
        <v>3541</v>
      </c>
      <c r="G813" s="9" t="e">
        <f t="shared" si="49"/>
        <v>#N/A</v>
      </c>
      <c r="H813" s="9" t="e">
        <f>VLOOKUP(B813,[1]RXNS!$B:$D,3,FALSE)</f>
        <v>#N/A</v>
      </c>
      <c r="I813" s="9" t="s">
        <v>612</v>
      </c>
      <c r="J813" s="9" t="s">
        <v>3542</v>
      </c>
      <c r="K813" s="9" t="s">
        <v>612</v>
      </c>
      <c r="L813" s="9" t="e">
        <f t="shared" si="50"/>
        <v>#N/A</v>
      </c>
      <c r="M813" s="9" t="b">
        <f t="shared" si="51"/>
        <v>1</v>
      </c>
      <c r="N813" s="13"/>
      <c r="O813" s="9">
        <v>0</v>
      </c>
      <c r="P813" s="9">
        <v>1000</v>
      </c>
      <c r="Q813" s="13"/>
      <c r="R813" s="13"/>
      <c r="S813" s="13"/>
      <c r="T813" s="9" t="s">
        <v>85</v>
      </c>
      <c r="U813" s="13"/>
      <c r="V813" s="9" t="s">
        <v>35</v>
      </c>
      <c r="W813" s="13"/>
      <c r="X813" s="9">
        <v>2</v>
      </c>
    </row>
    <row r="814" spans="1:24">
      <c r="A814" s="13"/>
      <c r="B814" s="9" t="s">
        <v>3543</v>
      </c>
      <c r="C814" s="9" t="e">
        <f>VLOOKUP(B814,[1]RXNS!$B:$C,1,)</f>
        <v>#N/A</v>
      </c>
      <c r="D814" s="9" t="e">
        <f t="shared" si="48"/>
        <v>#N/A</v>
      </c>
      <c r="E814" s="9" t="e">
        <v>#N/A</v>
      </c>
      <c r="F814" s="9" t="s">
        <v>3544</v>
      </c>
      <c r="G814" s="9" t="e">
        <f t="shared" si="49"/>
        <v>#N/A</v>
      </c>
      <c r="H814" s="9" t="e">
        <f>VLOOKUP(B814,[1]RXNS!$B:$D,3,FALSE)</f>
        <v>#N/A</v>
      </c>
      <c r="I814" s="9" t="s">
        <v>3545</v>
      </c>
      <c r="J814" s="9" t="s">
        <v>3546</v>
      </c>
      <c r="K814" s="9" t="s">
        <v>3545</v>
      </c>
      <c r="L814" s="9" t="e">
        <f t="shared" si="50"/>
        <v>#N/A</v>
      </c>
      <c r="M814" s="9" t="b">
        <f t="shared" si="51"/>
        <v>1</v>
      </c>
      <c r="N814" s="13"/>
      <c r="O814" s="9">
        <v>0</v>
      </c>
      <c r="P814" s="9">
        <v>1000</v>
      </c>
      <c r="Q814" s="13"/>
      <c r="R814" s="13"/>
      <c r="S814" s="13"/>
      <c r="T814" s="9" t="s">
        <v>85</v>
      </c>
      <c r="U814" s="13"/>
      <c r="V814" s="9" t="s">
        <v>35</v>
      </c>
      <c r="W814" s="13"/>
      <c r="X814" s="9">
        <v>2</v>
      </c>
    </row>
    <row r="815" spans="1:24">
      <c r="A815" s="13"/>
      <c r="B815" s="9" t="s">
        <v>3547</v>
      </c>
      <c r="C815" s="9" t="e">
        <f>VLOOKUP(B815,[1]RXNS!$B:$C,1,)</f>
        <v>#N/A</v>
      </c>
      <c r="D815" s="9" t="e">
        <f t="shared" si="48"/>
        <v>#N/A</v>
      </c>
      <c r="E815" s="9" t="e">
        <v>#N/A</v>
      </c>
      <c r="F815" s="9" t="s">
        <v>3548</v>
      </c>
      <c r="G815" s="9" t="e">
        <f t="shared" si="49"/>
        <v>#N/A</v>
      </c>
      <c r="H815" s="9" t="e">
        <f>VLOOKUP(B815,[1]RXNS!$B:$D,3,FALSE)</f>
        <v>#N/A</v>
      </c>
      <c r="I815" s="9" t="e">
        <f>VLOOKUP(B815,[1]RXNS!$B:$E,4,FALSE)</f>
        <v>#N/A</v>
      </c>
      <c r="J815" s="9" t="s">
        <v>3549</v>
      </c>
      <c r="K815" s="13"/>
      <c r="L815" s="9" t="e">
        <f t="shared" si="50"/>
        <v>#N/A</v>
      </c>
      <c r="M815" s="9" t="e">
        <f t="shared" si="51"/>
        <v>#N/A</v>
      </c>
      <c r="N815" s="13"/>
      <c r="O815" s="9">
        <v>0</v>
      </c>
      <c r="P815" s="9">
        <v>1000</v>
      </c>
      <c r="Q815" s="13"/>
      <c r="R815" s="13"/>
      <c r="S815" s="13"/>
      <c r="T815" s="9" t="s">
        <v>85</v>
      </c>
      <c r="U815" s="13"/>
      <c r="V815" s="9" t="s">
        <v>35</v>
      </c>
      <c r="W815" s="13"/>
      <c r="X815" s="9">
        <v>2</v>
      </c>
    </row>
    <row r="816" spans="1:24">
      <c r="A816" s="13"/>
      <c r="B816" s="9" t="s">
        <v>3550</v>
      </c>
      <c r="C816" s="9" t="str">
        <f>VLOOKUP(B816,[1]RXNS!$B:$C,1,)</f>
        <v>R05218</v>
      </c>
      <c r="D816" s="9" t="b">
        <f t="shared" si="48"/>
        <v>1</v>
      </c>
      <c r="E816" s="9" t="s">
        <v>3551</v>
      </c>
      <c r="F816" s="9" t="s">
        <v>3551</v>
      </c>
      <c r="G816" s="9" t="b">
        <f t="shared" si="49"/>
        <v>1</v>
      </c>
      <c r="H816" s="9" t="str">
        <f>VLOOKUP(B816,[1]RXNS!$B:$D,3,FALSE)</f>
        <v>2 Cob(II)yrinate a,c diamide[c] + Nicotinamide adenine dinucleotide - reduced[c] =&gt; 2 Cob(I)yrinate a,c diamide[c] + H+[c] + Nicotinamide adenine dinucleotide[c]</v>
      </c>
      <c r="I816" s="9" t="s">
        <v>3552</v>
      </c>
      <c r="J816" s="9" t="s">
        <v>3553</v>
      </c>
      <c r="K816" s="9" t="s">
        <v>3552</v>
      </c>
      <c r="L816" s="9" t="b">
        <f t="shared" si="50"/>
        <v>1</v>
      </c>
      <c r="M816" s="9" t="b">
        <f t="shared" si="51"/>
        <v>1</v>
      </c>
      <c r="N816" s="13"/>
      <c r="O816" s="9">
        <v>0</v>
      </c>
      <c r="P816" s="9">
        <v>1000</v>
      </c>
      <c r="Q816" s="13"/>
      <c r="R816" s="13"/>
      <c r="S816" s="13"/>
      <c r="T816" s="9" t="s">
        <v>160</v>
      </c>
      <c r="U816" s="13"/>
      <c r="V816" s="9" t="s">
        <v>35</v>
      </c>
      <c r="W816" s="13"/>
      <c r="X816" s="9">
        <v>2</v>
      </c>
    </row>
    <row r="817" spans="1:24">
      <c r="A817" s="13"/>
      <c r="B817" s="9" t="s">
        <v>3554</v>
      </c>
      <c r="C817" s="9" t="e">
        <f>VLOOKUP(B817,[1]RXNS!$B:$C,1,)</f>
        <v>#N/A</v>
      </c>
      <c r="D817" s="9" t="e">
        <f t="shared" si="48"/>
        <v>#N/A</v>
      </c>
      <c r="E817" s="9" t="e">
        <v>#N/A</v>
      </c>
      <c r="F817" s="9" t="s">
        <v>3555</v>
      </c>
      <c r="G817" s="9" t="e">
        <f t="shared" si="49"/>
        <v>#N/A</v>
      </c>
      <c r="H817" s="9" t="e">
        <f>VLOOKUP(B817,[1]RXNS!$B:$D,3,FALSE)</f>
        <v>#N/A</v>
      </c>
      <c r="I817" s="9" t="s">
        <v>3556</v>
      </c>
      <c r="J817" s="9" t="s">
        <v>3557</v>
      </c>
      <c r="K817" s="9" t="s">
        <v>3556</v>
      </c>
      <c r="L817" s="9" t="e">
        <f t="shared" si="50"/>
        <v>#N/A</v>
      </c>
      <c r="M817" s="9" t="b">
        <f t="shared" si="51"/>
        <v>1</v>
      </c>
      <c r="N817" s="13"/>
      <c r="O817" s="9">
        <v>0</v>
      </c>
      <c r="P817" s="9">
        <v>1000</v>
      </c>
      <c r="Q817" s="13"/>
      <c r="R817" s="13"/>
      <c r="S817" s="13"/>
      <c r="T817" s="9" t="s">
        <v>85</v>
      </c>
      <c r="U817" s="13"/>
      <c r="V817" s="9" t="s">
        <v>35</v>
      </c>
      <c r="W817" s="13"/>
      <c r="X817" s="9">
        <v>2</v>
      </c>
    </row>
    <row r="818" spans="1:24">
      <c r="A818" s="13"/>
      <c r="B818" s="9" t="s">
        <v>3558</v>
      </c>
      <c r="C818" s="9" t="str">
        <f>VLOOKUP(B818,[1]RXNS!$B:$C,1,)</f>
        <v>R05220</v>
      </c>
      <c r="D818" s="9" t="b">
        <f t="shared" si="48"/>
        <v>1</v>
      </c>
      <c r="E818" s="9" t="s">
        <v>3559</v>
      </c>
      <c r="F818" s="9" t="s">
        <v>3559</v>
      </c>
      <c r="G818" s="9" t="b">
        <f t="shared" si="49"/>
        <v>1</v>
      </c>
      <c r="H818" s="9" t="str">
        <f>VLOOKUP(B818,[1]RXNS!$B:$D,3,FALSE)</f>
        <v>ATP[c] + Cob(I)yrinate a,c diamide[c] + H2O[c] =&gt; Adenosyl cobyrinate diamide[c] + Phosphate[c] + Diphosphate[c]</v>
      </c>
      <c r="I818" s="9" t="s">
        <v>550</v>
      </c>
      <c r="J818" s="9" t="s">
        <v>3560</v>
      </c>
      <c r="K818" s="9" t="s">
        <v>550</v>
      </c>
      <c r="L818" s="9" t="b">
        <f t="shared" si="50"/>
        <v>1</v>
      </c>
      <c r="M818" s="9" t="b">
        <f t="shared" si="51"/>
        <v>1</v>
      </c>
      <c r="N818" s="13"/>
      <c r="O818" s="9">
        <v>0</v>
      </c>
      <c r="P818" s="9">
        <v>1000</v>
      </c>
      <c r="Q818" s="13"/>
      <c r="R818" s="13"/>
      <c r="S818" s="13"/>
      <c r="T818" s="9" t="s">
        <v>85</v>
      </c>
      <c r="U818" s="13"/>
      <c r="V818" s="9" t="s">
        <v>35</v>
      </c>
      <c r="W818" s="13"/>
      <c r="X818" s="9">
        <v>2</v>
      </c>
    </row>
    <row r="819" spans="1:24">
      <c r="A819" s="13"/>
      <c r="B819" s="9" t="s">
        <v>3561</v>
      </c>
      <c r="C819" s="9" t="e">
        <f>VLOOKUP(B819,[1]RXNS!$B:$C,1,)</f>
        <v>#N/A</v>
      </c>
      <c r="D819" s="9" t="e">
        <f t="shared" si="48"/>
        <v>#N/A</v>
      </c>
      <c r="E819" s="9" t="e">
        <v>#N/A</v>
      </c>
      <c r="F819" s="9" t="s">
        <v>3562</v>
      </c>
      <c r="G819" s="9" t="e">
        <f t="shared" si="49"/>
        <v>#N/A</v>
      </c>
      <c r="H819" s="9" t="e">
        <f>VLOOKUP(B819,[1]RXNS!$B:$D,3,FALSE)</f>
        <v>#N/A</v>
      </c>
      <c r="I819" s="9" t="s">
        <v>3563</v>
      </c>
      <c r="J819" s="9" t="s">
        <v>3564</v>
      </c>
      <c r="K819" s="9" t="s">
        <v>3563</v>
      </c>
      <c r="L819" s="9" t="e">
        <f t="shared" si="50"/>
        <v>#N/A</v>
      </c>
      <c r="M819" s="9" t="b">
        <f t="shared" si="51"/>
        <v>1</v>
      </c>
      <c r="N819" s="13"/>
      <c r="O819" s="9">
        <v>0</v>
      </c>
      <c r="P819" s="9">
        <v>1000</v>
      </c>
      <c r="Q819" s="13"/>
      <c r="R819" s="13"/>
      <c r="S819" s="13"/>
      <c r="T819" s="9" t="s">
        <v>85</v>
      </c>
      <c r="U819" s="13"/>
      <c r="V819" s="9" t="s">
        <v>35</v>
      </c>
      <c r="W819" s="13"/>
      <c r="X819" s="9">
        <v>2</v>
      </c>
    </row>
    <row r="820" spans="1:24">
      <c r="A820" s="13"/>
      <c r="B820" s="9" t="s">
        <v>3565</v>
      </c>
      <c r="C820" s="9" t="str">
        <f>VLOOKUP(B820,[1]RXNS!$B:$C,1,)</f>
        <v>R05225</v>
      </c>
      <c r="D820" s="9" t="b">
        <f t="shared" si="48"/>
        <v>1</v>
      </c>
      <c r="E820" s="9" t="s">
        <v>3566</v>
      </c>
      <c r="F820" s="9" t="s">
        <v>3566</v>
      </c>
      <c r="G820" s="9" t="b">
        <f t="shared" si="49"/>
        <v>1</v>
      </c>
      <c r="H820" s="9" t="str">
        <f>VLOOKUP(B820,[1]RXNS!$B:$D,3,FALSE)</f>
        <v>Adenosyl cobyrinate diamide[c] + 4 ATP[c] + 4 L-Glutamine[c] + 4 H2O[c] =&gt; adenosyl-cobyric acid[c] + 4 ADP[c] + 4 L-Glutamate[c] + 4 H+[c] + 4 Phosphate[c]</v>
      </c>
      <c r="I820" s="9" t="s">
        <v>3567</v>
      </c>
      <c r="J820" s="9" t="s">
        <v>3568</v>
      </c>
      <c r="K820" s="9" t="s">
        <v>3567</v>
      </c>
      <c r="L820" s="9" t="b">
        <f t="shared" si="50"/>
        <v>1</v>
      </c>
      <c r="M820" s="9" t="b">
        <f t="shared" si="51"/>
        <v>1</v>
      </c>
      <c r="N820" s="13"/>
      <c r="O820" s="9">
        <v>0</v>
      </c>
      <c r="P820" s="9">
        <v>1000</v>
      </c>
      <c r="Q820" s="13"/>
      <c r="R820" s="13"/>
      <c r="S820" s="13"/>
      <c r="T820" s="9" t="s">
        <v>160</v>
      </c>
      <c r="U820" s="13"/>
      <c r="V820" s="9" t="s">
        <v>35</v>
      </c>
      <c r="W820" s="13"/>
      <c r="X820" s="9">
        <v>2</v>
      </c>
    </row>
    <row r="821" spans="1:24">
      <c r="A821" s="13"/>
      <c r="B821" s="9" t="s">
        <v>3569</v>
      </c>
      <c r="C821" s="9" t="e">
        <f>VLOOKUP(B821,[1]RXNS!$B:$C,1,)</f>
        <v>#N/A</v>
      </c>
      <c r="D821" s="9" t="e">
        <f t="shared" si="48"/>
        <v>#N/A</v>
      </c>
      <c r="E821" s="9" t="e">
        <v>#N/A</v>
      </c>
      <c r="F821" s="9" t="s">
        <v>3570</v>
      </c>
      <c r="G821" s="9" t="e">
        <f t="shared" si="49"/>
        <v>#N/A</v>
      </c>
      <c r="H821" s="9" t="e">
        <f>VLOOKUP(B821,[1]RXNS!$B:$D,3,FALSE)</f>
        <v>#N/A</v>
      </c>
      <c r="I821" s="9" t="s">
        <v>3571</v>
      </c>
      <c r="J821" s="9" t="s">
        <v>3572</v>
      </c>
      <c r="K821" s="9" t="s">
        <v>3571</v>
      </c>
      <c r="L821" s="9" t="e">
        <f t="shared" si="50"/>
        <v>#N/A</v>
      </c>
      <c r="M821" s="9" t="b">
        <f t="shared" si="51"/>
        <v>1</v>
      </c>
      <c r="N821" s="13"/>
      <c r="O821" s="9">
        <v>0</v>
      </c>
      <c r="P821" s="9">
        <v>1000</v>
      </c>
      <c r="Q821" s="13"/>
      <c r="R821" s="13"/>
      <c r="S821" s="13"/>
      <c r="T821" s="9" t="s">
        <v>160</v>
      </c>
      <c r="U821" s="13"/>
      <c r="V821" s="9" t="s">
        <v>35</v>
      </c>
      <c r="W821" s="13"/>
      <c r="X821" s="9">
        <v>2</v>
      </c>
    </row>
    <row r="822" spans="1:24">
      <c r="A822" s="13"/>
      <c r="B822" s="9" t="s">
        <v>3573</v>
      </c>
      <c r="C822" s="9" t="e">
        <f>VLOOKUP(B822,[1]RXNS!$B:$C,1,)</f>
        <v>#N/A</v>
      </c>
      <c r="D822" s="9" t="e">
        <f t="shared" si="48"/>
        <v>#N/A</v>
      </c>
      <c r="E822" s="9" t="e">
        <v>#N/A</v>
      </c>
      <c r="F822" s="9" t="s">
        <v>3447</v>
      </c>
      <c r="G822" s="9" t="e">
        <f t="shared" si="49"/>
        <v>#N/A</v>
      </c>
      <c r="H822" s="9" t="e">
        <f>VLOOKUP(B822,[1]RXNS!$B:$D,3,FALSE)</f>
        <v>#N/A</v>
      </c>
      <c r="I822" s="9" t="s">
        <v>3448</v>
      </c>
      <c r="J822" s="9" t="s">
        <v>3574</v>
      </c>
      <c r="K822" s="9" t="s">
        <v>3448</v>
      </c>
      <c r="L822" s="9" t="e">
        <f t="shared" si="50"/>
        <v>#N/A</v>
      </c>
      <c r="M822" s="9" t="b">
        <f t="shared" si="51"/>
        <v>1</v>
      </c>
      <c r="N822" s="9" t="s">
        <v>3450</v>
      </c>
      <c r="O822" s="9">
        <v>-1000</v>
      </c>
      <c r="P822" s="9">
        <v>1000</v>
      </c>
      <c r="Q822" s="13"/>
      <c r="R822" s="13"/>
      <c r="S822" s="13"/>
      <c r="T822" s="9" t="s">
        <v>3451</v>
      </c>
      <c r="U822" s="13"/>
      <c r="V822" s="9" t="s">
        <v>30</v>
      </c>
      <c r="W822" s="13"/>
      <c r="X822" s="9">
        <v>2</v>
      </c>
    </row>
    <row r="823" spans="1:24">
      <c r="A823" s="13"/>
      <c r="B823" s="9" t="s">
        <v>3575</v>
      </c>
      <c r="C823" s="9" t="e">
        <f>VLOOKUP(B823,[1]RXNS!$B:$C,1,)</f>
        <v>#N/A</v>
      </c>
      <c r="D823" s="9" t="e">
        <f t="shared" si="48"/>
        <v>#N/A</v>
      </c>
      <c r="E823" s="9" t="e">
        <v>#N/A</v>
      </c>
      <c r="F823" s="9" t="s">
        <v>3576</v>
      </c>
      <c r="G823" s="9" t="e">
        <f t="shared" si="49"/>
        <v>#N/A</v>
      </c>
      <c r="H823" s="9" t="e">
        <f>VLOOKUP(B823,[1]RXNS!$B:$D,3,FALSE)</f>
        <v>#N/A</v>
      </c>
      <c r="I823" s="9" t="s">
        <v>3577</v>
      </c>
      <c r="J823" s="9" t="s">
        <v>3578</v>
      </c>
      <c r="K823" s="9" t="s">
        <v>3577</v>
      </c>
      <c r="L823" s="9" t="e">
        <f t="shared" si="50"/>
        <v>#N/A</v>
      </c>
      <c r="M823" s="9" t="b">
        <f t="shared" si="51"/>
        <v>1</v>
      </c>
      <c r="N823" s="9" t="s">
        <v>3579</v>
      </c>
      <c r="O823" s="9">
        <v>-1000</v>
      </c>
      <c r="P823" s="9">
        <v>1000</v>
      </c>
      <c r="Q823" s="13"/>
      <c r="R823" s="13"/>
      <c r="S823" s="13"/>
      <c r="T823" s="9" t="s">
        <v>355</v>
      </c>
      <c r="U823" s="13"/>
      <c r="V823" s="9" t="s">
        <v>30</v>
      </c>
      <c r="W823" s="13"/>
      <c r="X823" s="9">
        <v>2</v>
      </c>
    </row>
    <row r="824" spans="1:24">
      <c r="A824" s="13"/>
      <c r="B824" s="9" t="s">
        <v>3580</v>
      </c>
      <c r="C824" s="9" t="e">
        <f>VLOOKUP(B824,[1]RXNS!$B:$C,1,)</f>
        <v>#N/A</v>
      </c>
      <c r="D824" s="9" t="e">
        <f t="shared" si="48"/>
        <v>#N/A</v>
      </c>
      <c r="E824" s="9" t="e">
        <v>#N/A</v>
      </c>
      <c r="F824" s="9" t="s">
        <v>3581</v>
      </c>
      <c r="G824" s="9" t="e">
        <f t="shared" si="49"/>
        <v>#N/A</v>
      </c>
      <c r="H824" s="9" t="e">
        <f>VLOOKUP(B824,[1]RXNS!$B:$D,3,FALSE)</f>
        <v>#N/A</v>
      </c>
      <c r="I824" s="9" t="s">
        <v>665</v>
      </c>
      <c r="J824" s="9" t="s">
        <v>3582</v>
      </c>
      <c r="K824" s="9" t="s">
        <v>665</v>
      </c>
      <c r="L824" s="9" t="e">
        <f t="shared" si="50"/>
        <v>#N/A</v>
      </c>
      <c r="M824" s="9" t="b">
        <f t="shared" si="51"/>
        <v>1</v>
      </c>
      <c r="N824" s="9" t="s">
        <v>667</v>
      </c>
      <c r="O824" s="9">
        <v>-1000</v>
      </c>
      <c r="P824" s="9">
        <v>1000</v>
      </c>
      <c r="Q824" s="13"/>
      <c r="R824" s="13"/>
      <c r="S824" s="13"/>
      <c r="T824" s="9" t="s">
        <v>239</v>
      </c>
      <c r="U824" s="13"/>
      <c r="V824" s="9" t="s">
        <v>30</v>
      </c>
      <c r="W824" s="13"/>
      <c r="X824" s="9">
        <v>2</v>
      </c>
    </row>
    <row r="825" spans="1:24">
      <c r="A825" s="13"/>
      <c r="B825" s="9" t="s">
        <v>3583</v>
      </c>
      <c r="C825" s="9" t="e">
        <f>VLOOKUP(B825,[1]RXNS!$B:$C,1,)</f>
        <v>#N/A</v>
      </c>
      <c r="D825" s="9" t="e">
        <f t="shared" si="48"/>
        <v>#N/A</v>
      </c>
      <c r="E825" s="9" t="e">
        <v>#N/A</v>
      </c>
      <c r="F825" s="9" t="s">
        <v>3352</v>
      </c>
      <c r="G825" s="9" t="e">
        <f t="shared" si="49"/>
        <v>#N/A</v>
      </c>
      <c r="H825" s="9" t="e">
        <f>VLOOKUP(B825,[1]RXNS!$B:$D,3,FALSE)</f>
        <v>#N/A</v>
      </c>
      <c r="I825" s="9" t="s">
        <v>3584</v>
      </c>
      <c r="J825" s="9" t="s">
        <v>3585</v>
      </c>
      <c r="K825" s="9" t="s">
        <v>3584</v>
      </c>
      <c r="L825" s="9" t="e">
        <f t="shared" si="50"/>
        <v>#N/A</v>
      </c>
      <c r="M825" s="9" t="b">
        <f t="shared" si="51"/>
        <v>1</v>
      </c>
      <c r="N825" s="9" t="s">
        <v>3586</v>
      </c>
      <c r="O825" s="9">
        <v>-1000</v>
      </c>
      <c r="P825" s="9">
        <v>1000</v>
      </c>
      <c r="Q825" s="13"/>
      <c r="R825" s="13"/>
      <c r="S825" s="13"/>
      <c r="T825" s="9" t="s">
        <v>387</v>
      </c>
      <c r="U825" s="13"/>
      <c r="V825" s="9" t="s">
        <v>30</v>
      </c>
      <c r="W825" s="13"/>
      <c r="X825" s="9">
        <v>2</v>
      </c>
    </row>
    <row r="826" spans="1:24">
      <c r="A826" s="13"/>
      <c r="B826" s="9" t="s">
        <v>3587</v>
      </c>
      <c r="C826" s="9" t="e">
        <f>VLOOKUP(B826,[1]RXNS!$B:$C,1,)</f>
        <v>#N/A</v>
      </c>
      <c r="D826" s="9" t="e">
        <f t="shared" si="48"/>
        <v>#N/A</v>
      </c>
      <c r="E826" s="9" t="e">
        <v>#N/A</v>
      </c>
      <c r="F826" s="9" t="s">
        <v>3588</v>
      </c>
      <c r="G826" s="9" t="e">
        <f t="shared" si="49"/>
        <v>#N/A</v>
      </c>
      <c r="H826" s="9" t="e">
        <f>VLOOKUP(B826,[1]RXNS!$B:$D,3,FALSE)</f>
        <v>#N/A</v>
      </c>
      <c r="I826" s="9" t="s">
        <v>1861</v>
      </c>
      <c r="J826" s="9" t="s">
        <v>3589</v>
      </c>
      <c r="K826" s="9" t="s">
        <v>1861</v>
      </c>
      <c r="L826" s="9" t="e">
        <f t="shared" si="50"/>
        <v>#N/A</v>
      </c>
      <c r="M826" s="9" t="b">
        <f t="shared" si="51"/>
        <v>1</v>
      </c>
      <c r="N826" s="9" t="s">
        <v>3590</v>
      </c>
      <c r="O826" s="9">
        <v>0</v>
      </c>
      <c r="P826" s="9">
        <v>1000</v>
      </c>
      <c r="Q826" s="13"/>
      <c r="R826" s="13"/>
      <c r="S826" s="13"/>
      <c r="T826" s="9" t="s">
        <v>153</v>
      </c>
      <c r="U826" s="13"/>
      <c r="V826" s="9" t="s">
        <v>30</v>
      </c>
      <c r="W826" s="13"/>
      <c r="X826" s="9">
        <v>2</v>
      </c>
    </row>
    <row r="827" spans="1:24">
      <c r="A827" s="13"/>
      <c r="B827" s="9" t="s">
        <v>3591</v>
      </c>
      <c r="C827" s="9" t="e">
        <f>VLOOKUP(B827,[1]RXNS!$B:$C,1,)</f>
        <v>#N/A</v>
      </c>
      <c r="D827" s="9" t="e">
        <f t="shared" si="48"/>
        <v>#N/A</v>
      </c>
      <c r="E827" s="9" t="e">
        <v>#N/A</v>
      </c>
      <c r="F827" s="9" t="s">
        <v>3592</v>
      </c>
      <c r="G827" s="9" t="e">
        <f t="shared" si="49"/>
        <v>#N/A</v>
      </c>
      <c r="H827" s="9" t="e">
        <f>VLOOKUP(B827,[1]RXNS!$B:$D,3,FALSE)</f>
        <v>#N/A</v>
      </c>
      <c r="I827" s="9" t="s">
        <v>1866</v>
      </c>
      <c r="J827" s="9" t="s">
        <v>3593</v>
      </c>
      <c r="K827" s="9" t="s">
        <v>1866</v>
      </c>
      <c r="L827" s="9" t="e">
        <f t="shared" si="50"/>
        <v>#N/A</v>
      </c>
      <c r="M827" s="9" t="b">
        <f t="shared" si="51"/>
        <v>1</v>
      </c>
      <c r="N827" s="9" t="s">
        <v>3590</v>
      </c>
      <c r="O827" s="9">
        <v>-1000</v>
      </c>
      <c r="P827" s="9">
        <v>1000</v>
      </c>
      <c r="Q827" s="13"/>
      <c r="R827" s="13"/>
      <c r="S827" s="13"/>
      <c r="T827" s="9" t="s">
        <v>153</v>
      </c>
      <c r="U827" s="13"/>
      <c r="V827" s="9" t="s">
        <v>30</v>
      </c>
      <c r="W827" s="13"/>
      <c r="X827" s="9">
        <v>2</v>
      </c>
    </row>
    <row r="828" spans="1:24">
      <c r="A828" s="13"/>
      <c r="B828" s="9" t="s">
        <v>3594</v>
      </c>
      <c r="C828" s="9" t="e">
        <f>VLOOKUP(B828,[1]RXNS!$B:$C,1,)</f>
        <v>#N/A</v>
      </c>
      <c r="D828" s="9" t="e">
        <f t="shared" si="48"/>
        <v>#N/A</v>
      </c>
      <c r="E828" s="9" t="e">
        <v>#N/A</v>
      </c>
      <c r="F828" s="9" t="s">
        <v>3595</v>
      </c>
      <c r="G828" s="9" t="e">
        <f t="shared" si="49"/>
        <v>#N/A</v>
      </c>
      <c r="H828" s="9" t="e">
        <f>VLOOKUP(B828,[1]RXNS!$B:$D,3,FALSE)</f>
        <v>#N/A</v>
      </c>
      <c r="I828" s="9" t="s">
        <v>3596</v>
      </c>
      <c r="J828" s="9" t="s">
        <v>3597</v>
      </c>
      <c r="K828" s="9" t="s">
        <v>3596</v>
      </c>
      <c r="L828" s="9" t="e">
        <f t="shared" si="50"/>
        <v>#N/A</v>
      </c>
      <c r="M828" s="9" t="b">
        <f t="shared" si="51"/>
        <v>1</v>
      </c>
      <c r="N828" s="13"/>
      <c r="O828" s="9">
        <v>0</v>
      </c>
      <c r="P828" s="9">
        <v>1000</v>
      </c>
      <c r="Q828" s="13"/>
      <c r="R828" s="13"/>
      <c r="S828" s="13"/>
      <c r="T828" s="9" t="s">
        <v>85</v>
      </c>
      <c r="U828" s="13"/>
      <c r="V828" s="9" t="s">
        <v>35</v>
      </c>
      <c r="W828" s="13"/>
      <c r="X828" s="9">
        <v>2</v>
      </c>
    </row>
    <row r="829" spans="1:24">
      <c r="A829" s="13"/>
      <c r="B829" s="9" t="s">
        <v>3598</v>
      </c>
      <c r="C829" s="9" t="e">
        <f>VLOOKUP(B829,[1]RXNS!$B:$C,1,)</f>
        <v>#N/A</v>
      </c>
      <c r="D829" s="9" t="e">
        <f t="shared" si="48"/>
        <v>#N/A</v>
      </c>
      <c r="E829" s="9" t="e">
        <v>#N/A</v>
      </c>
      <c r="F829" s="9" t="s">
        <v>3599</v>
      </c>
      <c r="G829" s="9" t="e">
        <f t="shared" si="49"/>
        <v>#N/A</v>
      </c>
      <c r="H829" s="9" t="e">
        <f>VLOOKUP(B829,[1]RXNS!$B:$D,3,FALSE)</f>
        <v>#N/A</v>
      </c>
      <c r="I829" s="9" t="s">
        <v>3600</v>
      </c>
      <c r="J829" s="9" t="s">
        <v>3601</v>
      </c>
      <c r="K829" s="9" t="s">
        <v>3600</v>
      </c>
      <c r="L829" s="9" t="e">
        <f t="shared" si="50"/>
        <v>#N/A</v>
      </c>
      <c r="M829" s="9" t="b">
        <f t="shared" si="51"/>
        <v>1</v>
      </c>
      <c r="N829" s="13"/>
      <c r="O829" s="9">
        <v>0</v>
      </c>
      <c r="P829" s="9">
        <v>1000</v>
      </c>
      <c r="Q829" s="13"/>
      <c r="R829" s="13"/>
      <c r="S829" s="13"/>
      <c r="T829" s="9" t="s">
        <v>85</v>
      </c>
      <c r="U829" s="13"/>
      <c r="V829" s="9" t="s">
        <v>35</v>
      </c>
      <c r="W829" s="13"/>
      <c r="X829" s="9">
        <v>2</v>
      </c>
    </row>
    <row r="830" spans="1:24">
      <c r="A830" s="13"/>
      <c r="B830" s="9" t="s">
        <v>3602</v>
      </c>
      <c r="C830" s="9" t="e">
        <f>VLOOKUP(B830,[1]RXNS!$B:$C,1,)</f>
        <v>#N/A</v>
      </c>
      <c r="D830" s="9" t="e">
        <f t="shared" si="48"/>
        <v>#N/A</v>
      </c>
      <c r="E830" s="9" t="e">
        <v>#N/A</v>
      </c>
      <c r="F830" s="9" t="s">
        <v>3603</v>
      </c>
      <c r="G830" s="9" t="e">
        <f t="shared" si="49"/>
        <v>#N/A</v>
      </c>
      <c r="H830" s="9" t="e">
        <f>VLOOKUP(B830,[1]RXNS!$B:$D,3,FALSE)</f>
        <v>#N/A</v>
      </c>
      <c r="I830" s="9" t="s">
        <v>3604</v>
      </c>
      <c r="J830" s="9" t="s">
        <v>3605</v>
      </c>
      <c r="K830" s="9" t="s">
        <v>3604</v>
      </c>
      <c r="L830" s="9" t="e">
        <f t="shared" si="50"/>
        <v>#N/A</v>
      </c>
      <c r="M830" s="9" t="b">
        <f t="shared" si="51"/>
        <v>1</v>
      </c>
      <c r="N830" s="13"/>
      <c r="O830" s="9">
        <v>0</v>
      </c>
      <c r="P830" s="9">
        <v>1000</v>
      </c>
      <c r="Q830" s="13"/>
      <c r="R830" s="13"/>
      <c r="S830" s="13"/>
      <c r="T830" s="9" t="s">
        <v>160</v>
      </c>
      <c r="U830" s="13"/>
      <c r="V830" s="9" t="s">
        <v>35</v>
      </c>
      <c r="W830" s="13"/>
      <c r="X830" s="9">
        <v>2</v>
      </c>
    </row>
    <row r="831" spans="1:24">
      <c r="A831" s="13"/>
      <c r="B831" s="9" t="s">
        <v>3606</v>
      </c>
      <c r="C831" s="9" t="e">
        <f>VLOOKUP(B831,[1]RXNS!$B:$C,1,)</f>
        <v>#N/A</v>
      </c>
      <c r="D831" s="9" t="e">
        <f t="shared" si="48"/>
        <v>#N/A</v>
      </c>
      <c r="E831" s="9" t="e">
        <v>#N/A</v>
      </c>
      <c r="F831" s="9" t="s">
        <v>3603</v>
      </c>
      <c r="G831" s="9" t="e">
        <f t="shared" si="49"/>
        <v>#N/A</v>
      </c>
      <c r="H831" s="9" t="e">
        <f>VLOOKUP(B831,[1]RXNS!$B:$D,3,FALSE)</f>
        <v>#N/A</v>
      </c>
      <c r="I831" s="9" t="s">
        <v>3607</v>
      </c>
      <c r="J831" s="9" t="s">
        <v>3608</v>
      </c>
      <c r="K831" s="9" t="s">
        <v>3607</v>
      </c>
      <c r="L831" s="9" t="e">
        <f t="shared" si="50"/>
        <v>#N/A</v>
      </c>
      <c r="M831" s="9" t="b">
        <f t="shared" si="51"/>
        <v>1</v>
      </c>
      <c r="N831" s="13"/>
      <c r="O831" s="9">
        <v>0</v>
      </c>
      <c r="P831" s="9">
        <v>1000</v>
      </c>
      <c r="Q831" s="13"/>
      <c r="R831" s="13"/>
      <c r="S831" s="13"/>
      <c r="T831" s="9" t="s">
        <v>160</v>
      </c>
      <c r="U831" s="13"/>
      <c r="V831" s="9" t="s">
        <v>35</v>
      </c>
      <c r="W831" s="13"/>
      <c r="X831" s="9">
        <v>2</v>
      </c>
    </row>
    <row r="832" spans="1:24">
      <c r="A832" s="13"/>
      <c r="B832" s="9" t="s">
        <v>3609</v>
      </c>
      <c r="C832" s="9" t="e">
        <f>VLOOKUP(B832,[1]RXNS!$B:$C,1,)</f>
        <v>#N/A</v>
      </c>
      <c r="D832" s="9" t="e">
        <f t="shared" si="48"/>
        <v>#N/A</v>
      </c>
      <c r="E832" s="9" t="e">
        <v>#N/A</v>
      </c>
      <c r="F832" s="9" t="s">
        <v>3610</v>
      </c>
      <c r="G832" s="9" t="e">
        <f t="shared" si="49"/>
        <v>#N/A</v>
      </c>
      <c r="H832" s="9" t="e">
        <f>VLOOKUP(B832,[1]RXNS!$B:$D,3,FALSE)</f>
        <v>#N/A</v>
      </c>
      <c r="I832" s="9" t="s">
        <v>3611</v>
      </c>
      <c r="J832" s="9" t="s">
        <v>3612</v>
      </c>
      <c r="K832" s="9" t="s">
        <v>3611</v>
      </c>
      <c r="L832" s="9" t="e">
        <f t="shared" si="50"/>
        <v>#N/A</v>
      </c>
      <c r="M832" s="9" t="b">
        <f t="shared" si="51"/>
        <v>1</v>
      </c>
      <c r="N832" s="9" t="s">
        <v>3613</v>
      </c>
      <c r="O832" s="9">
        <v>0</v>
      </c>
      <c r="P832" s="9">
        <v>1000</v>
      </c>
      <c r="Q832" s="13"/>
      <c r="R832" s="13"/>
      <c r="S832" s="13"/>
      <c r="T832" s="9" t="s">
        <v>1296</v>
      </c>
      <c r="U832" s="13"/>
      <c r="V832" s="9" t="s">
        <v>30</v>
      </c>
      <c r="W832" s="13"/>
      <c r="X832" s="9">
        <v>2</v>
      </c>
    </row>
    <row r="833" spans="1:24">
      <c r="A833" s="13"/>
      <c r="B833" s="9" t="s">
        <v>3614</v>
      </c>
      <c r="C833" s="9" t="e">
        <f>VLOOKUP(B833,[1]RXNS!$B:$C,1,)</f>
        <v>#N/A</v>
      </c>
      <c r="D833" s="9" t="e">
        <f t="shared" si="48"/>
        <v>#N/A</v>
      </c>
      <c r="E833" s="9" t="e">
        <v>#N/A</v>
      </c>
      <c r="F833" s="9" t="s">
        <v>3615</v>
      </c>
      <c r="G833" s="9" t="e">
        <f t="shared" si="49"/>
        <v>#N/A</v>
      </c>
      <c r="H833" s="9" t="e">
        <f>VLOOKUP(B833,[1]RXNS!$B:$D,3,FALSE)</f>
        <v>#N/A</v>
      </c>
      <c r="I833" s="9" t="s">
        <v>3616</v>
      </c>
      <c r="J833" s="9" t="s">
        <v>3617</v>
      </c>
      <c r="K833" s="9" t="s">
        <v>3616</v>
      </c>
      <c r="L833" s="9" t="e">
        <f t="shared" si="50"/>
        <v>#N/A</v>
      </c>
      <c r="M833" s="9" t="b">
        <f t="shared" si="51"/>
        <v>1</v>
      </c>
      <c r="N833" s="9" t="s">
        <v>1540</v>
      </c>
      <c r="O833" s="9">
        <v>0</v>
      </c>
      <c r="P833" s="9">
        <v>1000</v>
      </c>
      <c r="Q833" s="13"/>
      <c r="R833" s="13"/>
      <c r="S833" s="13"/>
      <c r="T833" s="9" t="s">
        <v>228</v>
      </c>
      <c r="U833" s="13"/>
      <c r="V833" s="9" t="s">
        <v>30</v>
      </c>
      <c r="W833" s="13"/>
      <c r="X833" s="9">
        <v>2</v>
      </c>
    </row>
    <row r="834" spans="1:24">
      <c r="A834" s="13"/>
      <c r="B834" s="9" t="s">
        <v>3618</v>
      </c>
      <c r="C834" s="9" t="e">
        <f>VLOOKUP(B834,[1]RXNS!$B:$C,1,)</f>
        <v>#N/A</v>
      </c>
      <c r="D834" s="9" t="e">
        <f t="shared" ref="D834:D897" si="52">EXACT(B834,C834)</f>
        <v>#N/A</v>
      </c>
      <c r="E834" s="9" t="e">
        <v>#N/A</v>
      </c>
      <c r="F834" s="9" t="s">
        <v>3619</v>
      </c>
      <c r="G834" s="9" t="e">
        <f t="shared" ref="G834:G897" si="53">EXACT(E834,F834)</f>
        <v>#N/A</v>
      </c>
      <c r="H834" s="9" t="e">
        <f>VLOOKUP(B834,[1]RXNS!$B:$D,3,FALSE)</f>
        <v>#N/A</v>
      </c>
      <c r="I834" s="9" t="s">
        <v>2777</v>
      </c>
      <c r="J834" s="9" t="s">
        <v>3620</v>
      </c>
      <c r="K834" s="9" t="s">
        <v>2777</v>
      </c>
      <c r="L834" s="9" t="e">
        <f t="shared" ref="L834:L897" si="54">EXACT(H834,J834)</f>
        <v>#N/A</v>
      </c>
      <c r="M834" s="9" t="b">
        <f t="shared" ref="M834:M897" si="55">EXACT(I834,K834)</f>
        <v>1</v>
      </c>
      <c r="N834" s="9" t="s">
        <v>2779</v>
      </c>
      <c r="O834" s="9">
        <v>-1000</v>
      </c>
      <c r="P834" s="9">
        <v>1000</v>
      </c>
      <c r="Q834" s="13"/>
      <c r="R834" s="13"/>
      <c r="S834" s="13"/>
      <c r="T834" s="9" t="s">
        <v>3368</v>
      </c>
      <c r="U834" s="13"/>
      <c r="V834" s="9" t="s">
        <v>30</v>
      </c>
      <c r="W834" s="13"/>
      <c r="X834" s="9">
        <v>2</v>
      </c>
    </row>
    <row r="835" spans="1:24">
      <c r="A835" s="13"/>
      <c r="B835" s="9" t="s">
        <v>3621</v>
      </c>
      <c r="C835" s="9" t="e">
        <f>VLOOKUP(B835,[1]RXNS!$B:$C,1,)</f>
        <v>#N/A</v>
      </c>
      <c r="D835" s="9" t="e">
        <f t="shared" si="52"/>
        <v>#N/A</v>
      </c>
      <c r="E835" s="9" t="e">
        <v>#N/A</v>
      </c>
      <c r="F835" s="9" t="s">
        <v>3518</v>
      </c>
      <c r="G835" s="9" t="e">
        <f t="shared" si="53"/>
        <v>#N/A</v>
      </c>
      <c r="H835" s="9" t="e">
        <f>VLOOKUP(B835,[1]RXNS!$B:$D,3,FALSE)</f>
        <v>#N/A</v>
      </c>
      <c r="I835" s="9" t="s">
        <v>671</v>
      </c>
      <c r="J835" s="9" t="s">
        <v>3622</v>
      </c>
      <c r="K835" s="9" t="s">
        <v>671</v>
      </c>
      <c r="L835" s="9" t="e">
        <f t="shared" si="54"/>
        <v>#N/A</v>
      </c>
      <c r="M835" s="9" t="b">
        <f t="shared" si="55"/>
        <v>1</v>
      </c>
      <c r="N835" s="9" t="s">
        <v>673</v>
      </c>
      <c r="O835" s="9">
        <v>-1000</v>
      </c>
      <c r="P835" s="9">
        <v>1000</v>
      </c>
      <c r="Q835" s="13"/>
      <c r="R835" s="13"/>
      <c r="S835" s="13"/>
      <c r="T835" s="9" t="s">
        <v>3368</v>
      </c>
      <c r="U835" s="13"/>
      <c r="V835" s="9" t="s">
        <v>30</v>
      </c>
      <c r="W835" s="13"/>
      <c r="X835" s="9">
        <v>2</v>
      </c>
    </row>
    <row r="836" spans="1:24">
      <c r="A836" s="13"/>
      <c r="B836" s="9" t="s">
        <v>3623</v>
      </c>
      <c r="C836" s="9" t="e">
        <f>VLOOKUP(B836,[1]RXNS!$B:$C,1,)</f>
        <v>#N/A</v>
      </c>
      <c r="D836" s="9" t="e">
        <f t="shared" si="52"/>
        <v>#N/A</v>
      </c>
      <c r="E836" s="9" t="e">
        <v>#N/A</v>
      </c>
      <c r="F836" s="9" t="s">
        <v>3624</v>
      </c>
      <c r="G836" s="9" t="e">
        <f t="shared" si="53"/>
        <v>#N/A</v>
      </c>
      <c r="H836" s="9" t="e">
        <f>VLOOKUP(B836,[1]RXNS!$B:$D,3,FALSE)</f>
        <v>#N/A</v>
      </c>
      <c r="I836" s="9" t="s">
        <v>3365</v>
      </c>
      <c r="J836" s="9" t="s">
        <v>3625</v>
      </c>
      <c r="K836" s="9" t="s">
        <v>3365</v>
      </c>
      <c r="L836" s="9" t="e">
        <f t="shared" si="54"/>
        <v>#N/A</v>
      </c>
      <c r="M836" s="9" t="b">
        <f t="shared" si="55"/>
        <v>1</v>
      </c>
      <c r="N836" s="9" t="s">
        <v>3367</v>
      </c>
      <c r="O836" s="9">
        <v>-1000</v>
      </c>
      <c r="P836" s="9">
        <v>1000</v>
      </c>
      <c r="Q836" s="13"/>
      <c r="R836" s="13"/>
      <c r="S836" s="13"/>
      <c r="T836" s="9" t="s">
        <v>3368</v>
      </c>
      <c r="U836" s="13"/>
      <c r="V836" s="9" t="s">
        <v>30</v>
      </c>
      <c r="W836" s="13"/>
      <c r="X836" s="9">
        <v>2</v>
      </c>
    </row>
    <row r="837" spans="1:24">
      <c r="A837" s="13"/>
      <c r="B837" s="9" t="s">
        <v>3626</v>
      </c>
      <c r="C837" s="9" t="e">
        <f>VLOOKUP(B837,[1]RXNS!$B:$C,1,)</f>
        <v>#N/A</v>
      </c>
      <c r="D837" s="9" t="e">
        <f t="shared" si="52"/>
        <v>#N/A</v>
      </c>
      <c r="E837" s="9" t="e">
        <v>#N/A</v>
      </c>
      <c r="F837" s="9" t="s">
        <v>3627</v>
      </c>
      <c r="G837" s="9" t="e">
        <f t="shared" si="53"/>
        <v>#N/A</v>
      </c>
      <c r="H837" s="9" t="e">
        <f>VLOOKUP(B837,[1]RXNS!$B:$D,3,FALSE)</f>
        <v>#N/A</v>
      </c>
      <c r="I837" s="9" t="s">
        <v>3628</v>
      </c>
      <c r="J837" s="9" t="s">
        <v>3629</v>
      </c>
      <c r="K837" s="9" t="s">
        <v>3628</v>
      </c>
      <c r="L837" s="9" t="e">
        <f t="shared" si="54"/>
        <v>#N/A</v>
      </c>
      <c r="M837" s="9" t="b">
        <f t="shared" si="55"/>
        <v>1</v>
      </c>
      <c r="N837" s="9" t="s">
        <v>3630</v>
      </c>
      <c r="O837" s="9">
        <v>-1000</v>
      </c>
      <c r="P837" s="9">
        <v>1000</v>
      </c>
      <c r="Q837" s="13"/>
      <c r="R837" s="13"/>
      <c r="S837" s="13"/>
      <c r="T837" s="9" t="s">
        <v>830</v>
      </c>
      <c r="U837" s="13"/>
      <c r="V837" s="9" t="s">
        <v>30</v>
      </c>
      <c r="W837" s="13"/>
      <c r="X837" s="9">
        <v>2</v>
      </c>
    </row>
    <row r="838" spans="1:24">
      <c r="A838" s="13"/>
      <c r="B838" s="9" t="s">
        <v>3631</v>
      </c>
      <c r="C838" s="9" t="e">
        <f>VLOOKUP(B838,[1]RXNS!$B:$C,1,)</f>
        <v>#N/A</v>
      </c>
      <c r="D838" s="9" t="e">
        <f t="shared" si="52"/>
        <v>#N/A</v>
      </c>
      <c r="E838" s="9" t="e">
        <v>#N/A</v>
      </c>
      <c r="F838" s="9" t="s">
        <v>3632</v>
      </c>
      <c r="G838" s="9" t="e">
        <f t="shared" si="53"/>
        <v>#N/A</v>
      </c>
      <c r="H838" s="9" t="e">
        <f>VLOOKUP(B838,[1]RXNS!$B:$D,3,FALSE)</f>
        <v>#N/A</v>
      </c>
      <c r="I838" s="9" t="s">
        <v>3633</v>
      </c>
      <c r="J838" s="9" t="s">
        <v>3634</v>
      </c>
      <c r="K838" s="9" t="s">
        <v>3633</v>
      </c>
      <c r="L838" s="9" t="e">
        <f t="shared" si="54"/>
        <v>#N/A</v>
      </c>
      <c r="M838" s="9" t="b">
        <f t="shared" si="55"/>
        <v>1</v>
      </c>
      <c r="N838" s="9" t="s">
        <v>3635</v>
      </c>
      <c r="O838" s="9">
        <v>-1000</v>
      </c>
      <c r="P838" s="9">
        <v>1000</v>
      </c>
      <c r="Q838" s="13"/>
      <c r="R838" s="13"/>
      <c r="S838" s="13"/>
      <c r="T838" s="9" t="s">
        <v>830</v>
      </c>
      <c r="U838" s="13"/>
      <c r="V838" s="9" t="s">
        <v>30</v>
      </c>
      <c r="W838" s="13"/>
      <c r="X838" s="9">
        <v>2</v>
      </c>
    </row>
    <row r="839" spans="1:24">
      <c r="A839" s="13"/>
      <c r="B839" s="9" t="s">
        <v>3636</v>
      </c>
      <c r="C839" s="9" t="e">
        <f>VLOOKUP(B839,[1]RXNS!$B:$C,1,)</f>
        <v>#N/A</v>
      </c>
      <c r="D839" s="9" t="e">
        <f t="shared" si="52"/>
        <v>#N/A</v>
      </c>
      <c r="E839" s="9" t="e">
        <v>#N/A</v>
      </c>
      <c r="F839" s="9" t="s">
        <v>3637</v>
      </c>
      <c r="G839" s="9" t="e">
        <f t="shared" si="53"/>
        <v>#N/A</v>
      </c>
      <c r="H839" s="9" t="e">
        <f>VLOOKUP(B839,[1]RXNS!$B:$D,3,FALSE)</f>
        <v>#N/A</v>
      </c>
      <c r="I839" s="9" t="s">
        <v>3638</v>
      </c>
      <c r="J839" s="9" t="s">
        <v>3639</v>
      </c>
      <c r="K839" s="9" t="s">
        <v>3638</v>
      </c>
      <c r="L839" s="9" t="e">
        <f t="shared" si="54"/>
        <v>#N/A</v>
      </c>
      <c r="M839" s="9" t="b">
        <f t="shared" si="55"/>
        <v>1</v>
      </c>
      <c r="N839" s="13"/>
      <c r="O839" s="9">
        <v>-1000</v>
      </c>
      <c r="P839" s="9">
        <v>1000</v>
      </c>
      <c r="Q839" s="13"/>
      <c r="R839" s="13"/>
      <c r="S839" s="13"/>
      <c r="T839" s="9" t="s">
        <v>830</v>
      </c>
      <c r="U839" s="13"/>
      <c r="V839" s="9" t="s">
        <v>35</v>
      </c>
      <c r="W839" s="13"/>
      <c r="X839" s="9">
        <v>2</v>
      </c>
    </row>
    <row r="840" spans="1:24">
      <c r="A840" s="13"/>
      <c r="B840" s="9" t="s">
        <v>3640</v>
      </c>
      <c r="C840" s="9" t="e">
        <f>VLOOKUP(B840,[1]RXNS!$B:$C,1,)</f>
        <v>#N/A</v>
      </c>
      <c r="D840" s="9" t="e">
        <f t="shared" si="52"/>
        <v>#N/A</v>
      </c>
      <c r="E840" s="9" t="e">
        <v>#N/A</v>
      </c>
      <c r="F840" s="9" t="s">
        <v>3641</v>
      </c>
      <c r="G840" s="9" t="e">
        <f t="shared" si="53"/>
        <v>#N/A</v>
      </c>
      <c r="H840" s="9" t="e">
        <f>VLOOKUP(B840,[1]RXNS!$B:$D,3,FALSE)</f>
        <v>#N/A</v>
      </c>
      <c r="I840" s="9" t="s">
        <v>3642</v>
      </c>
      <c r="J840" s="9" t="s">
        <v>3643</v>
      </c>
      <c r="K840" s="9" t="s">
        <v>3642</v>
      </c>
      <c r="L840" s="9" t="e">
        <f t="shared" si="54"/>
        <v>#N/A</v>
      </c>
      <c r="M840" s="9" t="b">
        <f t="shared" si="55"/>
        <v>1</v>
      </c>
      <c r="N840" s="9" t="s">
        <v>2209</v>
      </c>
      <c r="O840" s="9">
        <v>-1000</v>
      </c>
      <c r="P840" s="9">
        <v>1000</v>
      </c>
      <c r="Q840" s="13"/>
      <c r="R840" s="13"/>
      <c r="S840" s="13"/>
      <c r="T840" s="9" t="s">
        <v>830</v>
      </c>
      <c r="U840" s="13"/>
      <c r="V840" s="9" t="s">
        <v>30</v>
      </c>
      <c r="W840" s="13"/>
      <c r="X840" s="9">
        <v>2</v>
      </c>
    </row>
    <row r="841" spans="1:24">
      <c r="A841" s="13"/>
      <c r="B841" s="9" t="s">
        <v>3644</v>
      </c>
      <c r="C841" s="9" t="e">
        <f>VLOOKUP(B841,[1]RXNS!$B:$C,1,)</f>
        <v>#N/A</v>
      </c>
      <c r="D841" s="9" t="e">
        <f t="shared" si="52"/>
        <v>#N/A</v>
      </c>
      <c r="E841" s="9" t="e">
        <v>#N/A</v>
      </c>
      <c r="F841" s="9" t="s">
        <v>350</v>
      </c>
      <c r="G841" s="9" t="e">
        <f t="shared" si="53"/>
        <v>#N/A</v>
      </c>
      <c r="H841" s="9" t="e">
        <f>VLOOKUP(B841,[1]RXNS!$B:$D,3,FALSE)</f>
        <v>#N/A</v>
      </c>
      <c r="I841" s="9" t="s">
        <v>351</v>
      </c>
      <c r="J841" s="9" t="s">
        <v>3645</v>
      </c>
      <c r="K841" s="9" t="s">
        <v>351</v>
      </c>
      <c r="L841" s="9" t="e">
        <f t="shared" si="54"/>
        <v>#N/A</v>
      </c>
      <c r="M841" s="9" t="b">
        <f t="shared" si="55"/>
        <v>1</v>
      </c>
      <c r="N841" s="9" t="s">
        <v>353</v>
      </c>
      <c r="O841" s="9">
        <v>-1000</v>
      </c>
      <c r="P841" s="9">
        <v>1000</v>
      </c>
      <c r="Q841" s="13"/>
      <c r="R841" s="13"/>
      <c r="S841" s="13"/>
      <c r="T841" s="9" t="s">
        <v>355</v>
      </c>
      <c r="U841" s="13"/>
      <c r="V841" s="9" t="s">
        <v>30</v>
      </c>
      <c r="W841" s="13"/>
      <c r="X841" s="9">
        <v>2</v>
      </c>
    </row>
    <row r="842" spans="1:24">
      <c r="A842" s="13"/>
      <c r="B842" s="9" t="s">
        <v>3646</v>
      </c>
      <c r="C842" s="9" t="e">
        <f>VLOOKUP(B842,[1]RXNS!$B:$C,1,)</f>
        <v>#N/A</v>
      </c>
      <c r="D842" s="9" t="e">
        <f t="shared" si="52"/>
        <v>#N/A</v>
      </c>
      <c r="E842" s="9" t="e">
        <v>#N/A</v>
      </c>
      <c r="F842" s="9" t="s">
        <v>3647</v>
      </c>
      <c r="G842" s="9" t="e">
        <f t="shared" si="53"/>
        <v>#N/A</v>
      </c>
      <c r="H842" s="9" t="e">
        <f>VLOOKUP(B842,[1]RXNS!$B:$D,3,FALSE)</f>
        <v>#N/A</v>
      </c>
      <c r="I842" s="9" t="s">
        <v>3648</v>
      </c>
      <c r="J842" s="9" t="s">
        <v>3649</v>
      </c>
      <c r="K842" s="9" t="s">
        <v>3648</v>
      </c>
      <c r="L842" s="9" t="e">
        <f t="shared" si="54"/>
        <v>#N/A</v>
      </c>
      <c r="M842" s="9" t="b">
        <f t="shared" si="55"/>
        <v>1</v>
      </c>
      <c r="N842" s="9" t="s">
        <v>1914</v>
      </c>
      <c r="O842" s="9">
        <v>-1000</v>
      </c>
      <c r="P842" s="9">
        <v>1000</v>
      </c>
      <c r="Q842" s="13"/>
      <c r="R842" s="13"/>
      <c r="S842" s="13"/>
      <c r="T842" s="9" t="s">
        <v>355</v>
      </c>
      <c r="U842" s="13"/>
      <c r="V842" s="9" t="s">
        <v>30</v>
      </c>
      <c r="W842" s="13"/>
      <c r="X842" s="9">
        <v>2</v>
      </c>
    </row>
    <row r="843" spans="1:24">
      <c r="A843" s="13"/>
      <c r="B843" s="9" t="s">
        <v>3650</v>
      </c>
      <c r="C843" s="9" t="e">
        <f>VLOOKUP(B843,[1]RXNS!$B:$C,1,)</f>
        <v>#N/A</v>
      </c>
      <c r="D843" s="9" t="e">
        <f t="shared" si="52"/>
        <v>#N/A</v>
      </c>
      <c r="E843" s="9" t="e">
        <v>#N/A</v>
      </c>
      <c r="F843" s="9" t="s">
        <v>3651</v>
      </c>
      <c r="G843" s="9" t="e">
        <f t="shared" si="53"/>
        <v>#N/A</v>
      </c>
      <c r="H843" s="9" t="e">
        <f>VLOOKUP(B843,[1]RXNS!$B:$D,3,FALSE)</f>
        <v>#N/A</v>
      </c>
      <c r="I843" s="9" t="s">
        <v>942</v>
      </c>
      <c r="J843" s="9" t="s">
        <v>3652</v>
      </c>
      <c r="K843" s="9" t="s">
        <v>942</v>
      </c>
      <c r="L843" s="9" t="e">
        <f t="shared" si="54"/>
        <v>#N/A</v>
      </c>
      <c r="M843" s="9" t="b">
        <f t="shared" si="55"/>
        <v>1</v>
      </c>
      <c r="N843" s="13"/>
      <c r="O843" s="9">
        <v>-1000</v>
      </c>
      <c r="P843" s="9">
        <v>1000</v>
      </c>
      <c r="Q843" s="13"/>
      <c r="R843" s="13"/>
      <c r="S843" s="13"/>
      <c r="T843" s="9" t="s">
        <v>648</v>
      </c>
      <c r="U843" s="13"/>
      <c r="V843" s="9" t="s">
        <v>35</v>
      </c>
      <c r="W843" s="13"/>
      <c r="X843" s="9">
        <v>2</v>
      </c>
    </row>
    <row r="844" spans="1:24">
      <c r="A844" s="13"/>
      <c r="B844" s="9" t="s">
        <v>3653</v>
      </c>
      <c r="C844" s="9" t="e">
        <f>VLOOKUP(B844,[1]RXNS!$B:$C,1,)</f>
        <v>#N/A</v>
      </c>
      <c r="D844" s="9" t="e">
        <f t="shared" si="52"/>
        <v>#N/A</v>
      </c>
      <c r="E844" s="9" t="e">
        <v>#N/A</v>
      </c>
      <c r="F844" s="9" t="s">
        <v>3654</v>
      </c>
      <c r="G844" s="9" t="e">
        <f t="shared" si="53"/>
        <v>#N/A</v>
      </c>
      <c r="H844" s="9" t="e">
        <f>VLOOKUP(B844,[1]RXNS!$B:$D,3,FALSE)</f>
        <v>#N/A</v>
      </c>
      <c r="I844" s="9" t="s">
        <v>3655</v>
      </c>
      <c r="J844" s="9" t="s">
        <v>3656</v>
      </c>
      <c r="K844" s="9" t="s">
        <v>3655</v>
      </c>
      <c r="L844" s="9" t="e">
        <f t="shared" si="54"/>
        <v>#N/A</v>
      </c>
      <c r="M844" s="9" t="b">
        <f t="shared" si="55"/>
        <v>1</v>
      </c>
      <c r="N844" s="9" t="s">
        <v>844</v>
      </c>
      <c r="O844" s="9">
        <v>-1000</v>
      </c>
      <c r="P844" s="9">
        <v>1000</v>
      </c>
      <c r="Q844" s="13"/>
      <c r="R844" s="13"/>
      <c r="S844" s="13"/>
      <c r="T844" s="9" t="s">
        <v>830</v>
      </c>
      <c r="U844" s="13"/>
      <c r="V844" s="9" t="s">
        <v>30</v>
      </c>
      <c r="W844" s="13"/>
      <c r="X844" s="9">
        <v>2</v>
      </c>
    </row>
    <row r="845" spans="1:24">
      <c r="A845" s="13"/>
      <c r="B845" s="9" t="s">
        <v>3657</v>
      </c>
      <c r="C845" s="9" t="e">
        <f>VLOOKUP(B845,[1]RXNS!$B:$C,1,)</f>
        <v>#N/A</v>
      </c>
      <c r="D845" s="9" t="e">
        <f t="shared" si="52"/>
        <v>#N/A</v>
      </c>
      <c r="E845" s="9" t="e">
        <v>#N/A</v>
      </c>
      <c r="F845" s="9" t="s">
        <v>3467</v>
      </c>
      <c r="G845" s="9" t="e">
        <f t="shared" si="53"/>
        <v>#N/A</v>
      </c>
      <c r="H845" s="9" t="e">
        <f>VLOOKUP(B845,[1]RXNS!$B:$D,3,FALSE)</f>
        <v>#N/A</v>
      </c>
      <c r="I845" s="9" t="s">
        <v>3658</v>
      </c>
      <c r="J845" s="9" t="s">
        <v>3659</v>
      </c>
      <c r="K845" s="9" t="s">
        <v>3658</v>
      </c>
      <c r="L845" s="9" t="e">
        <f t="shared" si="54"/>
        <v>#N/A</v>
      </c>
      <c r="M845" s="9" t="b">
        <f t="shared" si="55"/>
        <v>1</v>
      </c>
      <c r="N845" s="13"/>
      <c r="O845" s="9">
        <v>-1000</v>
      </c>
      <c r="P845" s="9">
        <v>1000</v>
      </c>
      <c r="Q845" s="13"/>
      <c r="R845" s="13"/>
      <c r="S845" s="13"/>
      <c r="T845" s="9" t="s">
        <v>1310</v>
      </c>
      <c r="U845" s="13"/>
      <c r="V845" s="9" t="s">
        <v>35</v>
      </c>
      <c r="W845" s="13"/>
      <c r="X845" s="9">
        <v>2</v>
      </c>
    </row>
    <row r="846" spans="1:24">
      <c r="A846" s="13"/>
      <c r="B846" s="9" t="s">
        <v>3660</v>
      </c>
      <c r="C846" s="9" t="e">
        <f>VLOOKUP(B846,[1]RXNS!$B:$C,1,)</f>
        <v>#N/A</v>
      </c>
      <c r="D846" s="9" t="e">
        <f t="shared" si="52"/>
        <v>#N/A</v>
      </c>
      <c r="E846" s="9" t="e">
        <v>#N/A</v>
      </c>
      <c r="F846" s="9" t="s">
        <v>173</v>
      </c>
      <c r="G846" s="9" t="e">
        <f t="shared" si="53"/>
        <v>#N/A</v>
      </c>
      <c r="H846" s="9" t="e">
        <f>VLOOKUP(B846,[1]RXNS!$B:$D,3,FALSE)</f>
        <v>#N/A</v>
      </c>
      <c r="I846" s="9" t="s">
        <v>174</v>
      </c>
      <c r="J846" s="9" t="s">
        <v>3661</v>
      </c>
      <c r="K846" s="9" t="s">
        <v>174</v>
      </c>
      <c r="L846" s="9" t="e">
        <f t="shared" si="54"/>
        <v>#N/A</v>
      </c>
      <c r="M846" s="9" t="b">
        <f t="shared" si="55"/>
        <v>1</v>
      </c>
      <c r="N846" s="9" t="s">
        <v>176</v>
      </c>
      <c r="O846" s="9">
        <v>0</v>
      </c>
      <c r="P846" s="9">
        <v>1000</v>
      </c>
      <c r="Q846" s="13"/>
      <c r="R846" s="13"/>
      <c r="S846" s="13"/>
      <c r="T846" s="9" t="s">
        <v>244</v>
      </c>
      <c r="U846" s="13"/>
      <c r="V846" s="9" t="s">
        <v>30</v>
      </c>
      <c r="W846" s="13"/>
      <c r="X846" s="9">
        <v>2</v>
      </c>
    </row>
    <row r="847" spans="1:24">
      <c r="A847" s="13"/>
      <c r="B847" s="9" t="s">
        <v>3662</v>
      </c>
      <c r="C847" s="9" t="e">
        <f>VLOOKUP(B847,[1]RXNS!$B:$C,1,)</f>
        <v>#N/A</v>
      </c>
      <c r="D847" s="9" t="e">
        <f t="shared" si="52"/>
        <v>#N/A</v>
      </c>
      <c r="E847" s="9" t="e">
        <v>#N/A</v>
      </c>
      <c r="F847" s="9" t="s">
        <v>3663</v>
      </c>
      <c r="G847" s="9" t="e">
        <f t="shared" si="53"/>
        <v>#N/A</v>
      </c>
      <c r="H847" s="9" t="e">
        <f>VLOOKUP(B847,[1]RXNS!$B:$D,3,FALSE)</f>
        <v>#N/A</v>
      </c>
      <c r="I847" s="9" t="s">
        <v>3664</v>
      </c>
      <c r="J847" s="9" t="s">
        <v>3665</v>
      </c>
      <c r="K847" s="9" t="s">
        <v>3664</v>
      </c>
      <c r="L847" s="9" t="e">
        <f t="shared" si="54"/>
        <v>#N/A</v>
      </c>
      <c r="M847" s="9" t="b">
        <f t="shared" si="55"/>
        <v>1</v>
      </c>
      <c r="N847" s="9" t="s">
        <v>3666</v>
      </c>
      <c r="O847" s="9">
        <v>-1000</v>
      </c>
      <c r="P847" s="9">
        <v>1000</v>
      </c>
      <c r="Q847" s="13"/>
      <c r="R847" s="13"/>
      <c r="S847" s="13"/>
      <c r="T847" s="9" t="s">
        <v>830</v>
      </c>
      <c r="U847" s="13"/>
      <c r="V847" s="9" t="s">
        <v>30</v>
      </c>
      <c r="W847" s="13"/>
      <c r="X847" s="9">
        <v>2</v>
      </c>
    </row>
    <row r="848" spans="1:24">
      <c r="A848" s="13"/>
      <c r="B848" s="9" t="s">
        <v>3667</v>
      </c>
      <c r="C848" s="9" t="e">
        <f>VLOOKUP(B848,[1]RXNS!$B:$C,1,)</f>
        <v>#N/A</v>
      </c>
      <c r="D848" s="9" t="e">
        <f t="shared" si="52"/>
        <v>#N/A</v>
      </c>
      <c r="E848" s="9" t="e">
        <v>#N/A</v>
      </c>
      <c r="F848" s="9" t="s">
        <v>3668</v>
      </c>
      <c r="G848" s="9" t="e">
        <f t="shared" si="53"/>
        <v>#N/A</v>
      </c>
      <c r="H848" s="9" t="e">
        <f>VLOOKUP(B848,[1]RXNS!$B:$D,3,FALSE)</f>
        <v>#N/A</v>
      </c>
      <c r="I848" s="9" t="s">
        <v>3669</v>
      </c>
      <c r="J848" s="9" t="s">
        <v>3670</v>
      </c>
      <c r="K848" s="9" t="s">
        <v>3669</v>
      </c>
      <c r="L848" s="9" t="e">
        <f t="shared" si="54"/>
        <v>#N/A</v>
      </c>
      <c r="M848" s="9" t="b">
        <f t="shared" si="55"/>
        <v>1</v>
      </c>
      <c r="N848" s="9" t="s">
        <v>3671</v>
      </c>
      <c r="O848" s="9">
        <v>-1000</v>
      </c>
      <c r="P848" s="9">
        <v>1000</v>
      </c>
      <c r="Q848" s="13"/>
      <c r="R848" s="13"/>
      <c r="S848" s="13"/>
      <c r="T848" s="9" t="s">
        <v>830</v>
      </c>
      <c r="U848" s="13"/>
      <c r="V848" s="9" t="s">
        <v>30</v>
      </c>
      <c r="W848" s="13"/>
      <c r="X848" s="9">
        <v>2</v>
      </c>
    </row>
    <row r="849" spans="1:24">
      <c r="A849" s="13"/>
      <c r="B849" s="9" t="s">
        <v>3672</v>
      </c>
      <c r="C849" s="9" t="e">
        <f>VLOOKUP(B849,[1]RXNS!$B:$C,1,)</f>
        <v>#N/A</v>
      </c>
      <c r="D849" s="9" t="e">
        <f t="shared" si="52"/>
        <v>#N/A</v>
      </c>
      <c r="E849" s="9" t="e">
        <v>#N/A</v>
      </c>
      <c r="F849" s="9" t="s">
        <v>3673</v>
      </c>
      <c r="G849" s="9" t="e">
        <f t="shared" si="53"/>
        <v>#N/A</v>
      </c>
      <c r="H849" s="9" t="e">
        <f>VLOOKUP(B849,[1]RXNS!$B:$D,3,FALSE)</f>
        <v>#N/A</v>
      </c>
      <c r="I849" s="9" t="s">
        <v>557</v>
      </c>
      <c r="J849" s="9" t="s">
        <v>3674</v>
      </c>
      <c r="K849" s="9" t="s">
        <v>557</v>
      </c>
      <c r="L849" s="9" t="e">
        <f t="shared" si="54"/>
        <v>#N/A</v>
      </c>
      <c r="M849" s="9" t="b">
        <f t="shared" si="55"/>
        <v>1</v>
      </c>
      <c r="N849" s="9" t="s">
        <v>559</v>
      </c>
      <c r="O849" s="9">
        <v>0</v>
      </c>
      <c r="P849" s="9">
        <v>1000</v>
      </c>
      <c r="Q849" s="13"/>
      <c r="R849" s="13"/>
      <c r="S849" s="13"/>
      <c r="T849" s="9" t="s">
        <v>1669</v>
      </c>
      <c r="U849" s="13"/>
      <c r="V849" s="9" t="s">
        <v>30</v>
      </c>
      <c r="W849" s="13"/>
      <c r="X849" s="9">
        <v>2</v>
      </c>
    </row>
    <row r="850" spans="1:24">
      <c r="A850" s="13"/>
      <c r="B850" s="9" t="s">
        <v>3675</v>
      </c>
      <c r="C850" s="9" t="str">
        <f>VLOOKUP(B850,[1]RXNS!$B:$C,1,)</f>
        <v>RAFFINt</v>
      </c>
      <c r="D850" s="9" t="b">
        <f t="shared" si="52"/>
        <v>1</v>
      </c>
      <c r="E850" s="9" t="s">
        <v>3676</v>
      </c>
      <c r="F850" s="9" t="s">
        <v>3676</v>
      </c>
      <c r="G850" s="9" t="b">
        <f t="shared" si="53"/>
        <v>1</v>
      </c>
      <c r="H850" s="9" t="str">
        <f>VLOOKUP(B850,[1]RXNS!$B:$D,3,FALSE)</f>
        <v>Raffinose[e] &lt;=&gt; Raffinose[c]</v>
      </c>
      <c r="I850" s="9">
        <f>VLOOKUP(B850,[1]RXNS!$B:$E,4,FALSE)</f>
        <v>0</v>
      </c>
      <c r="J850" s="9" t="s">
        <v>3677</v>
      </c>
      <c r="K850" s="13"/>
      <c r="L850" s="9" t="b">
        <f t="shared" si="54"/>
        <v>1</v>
      </c>
      <c r="M850" s="9" t="b">
        <f t="shared" si="55"/>
        <v>0</v>
      </c>
      <c r="N850" s="13"/>
      <c r="O850" s="9">
        <v>-1000</v>
      </c>
      <c r="P850" s="9">
        <v>1000</v>
      </c>
      <c r="Q850" s="13"/>
      <c r="R850" s="13"/>
      <c r="S850" s="13"/>
      <c r="T850" s="9" t="s">
        <v>146</v>
      </c>
      <c r="U850" s="13"/>
      <c r="V850" s="9" t="s">
        <v>35</v>
      </c>
      <c r="W850" s="13"/>
      <c r="X850" s="9">
        <v>2</v>
      </c>
    </row>
    <row r="851" spans="1:24">
      <c r="A851" s="13"/>
      <c r="B851" s="9" t="s">
        <v>3678</v>
      </c>
      <c r="C851" s="9" t="str">
        <f>VLOOKUP(B851,[1]RXNS!$B:$C,1,)</f>
        <v>RAFGH</v>
      </c>
      <c r="D851" s="9" t="b">
        <f t="shared" si="52"/>
        <v>1</v>
      </c>
      <c r="E851" s="9" t="s">
        <v>3679</v>
      </c>
      <c r="F851" s="9" t="s">
        <v>3679</v>
      </c>
      <c r="G851" s="9" t="b">
        <f t="shared" si="53"/>
        <v>1</v>
      </c>
      <c r="H851" s="9" t="str">
        <f>VLOOKUP(B851,[1]RXNS!$B:$D,3,FALSE)</f>
        <v>H2O[c] + Raffinose[c] =&gt; D-Galactose[c] + Sucrose[c]</v>
      </c>
      <c r="I851" s="9" t="s">
        <v>3680</v>
      </c>
      <c r="J851" s="9" t="s">
        <v>3681</v>
      </c>
      <c r="K851" s="9" t="s">
        <v>3680</v>
      </c>
      <c r="L851" s="9" t="b">
        <f t="shared" si="54"/>
        <v>1</v>
      </c>
      <c r="M851" s="9" t="b">
        <f t="shared" si="55"/>
        <v>1</v>
      </c>
      <c r="N851" s="9" t="s">
        <v>1381</v>
      </c>
      <c r="O851" s="9">
        <v>0</v>
      </c>
      <c r="P851" s="9">
        <v>1000</v>
      </c>
      <c r="Q851" s="13"/>
      <c r="R851" s="13"/>
      <c r="S851" s="13"/>
      <c r="T851" s="9" t="s">
        <v>1370</v>
      </c>
      <c r="U851" s="13"/>
      <c r="V851" s="9" t="s">
        <v>30</v>
      </c>
      <c r="W851" s="13"/>
      <c r="X851" s="9">
        <v>2</v>
      </c>
    </row>
    <row r="852" spans="1:24">
      <c r="A852" s="13"/>
      <c r="B852" s="9" t="s">
        <v>3682</v>
      </c>
      <c r="C852" s="9" t="str">
        <f>VLOOKUP(B852,[1]RXNS!$B:$C,1,)</f>
        <v>RBFK</v>
      </c>
      <c r="D852" s="9" t="b">
        <f t="shared" si="52"/>
        <v>1</v>
      </c>
      <c r="E852" s="9" t="s">
        <v>3683</v>
      </c>
      <c r="F852" s="9" t="s">
        <v>3683</v>
      </c>
      <c r="G852" s="9" t="b">
        <f t="shared" si="53"/>
        <v>1</v>
      </c>
      <c r="H852" s="9" t="str">
        <f>VLOOKUP(B852,[1]RXNS!$B:$D,3,FALSE)</f>
        <v>ATP[c] + Riboflavin[c] =&gt; ADP[c] + flavin mononucleotide[c] + H+[c]</v>
      </c>
      <c r="I852" s="9" t="s">
        <v>3684</v>
      </c>
      <c r="J852" s="9" t="s">
        <v>3685</v>
      </c>
      <c r="K852" s="9" t="s">
        <v>3684</v>
      </c>
      <c r="L852" s="9" t="b">
        <f t="shared" si="54"/>
        <v>1</v>
      </c>
      <c r="M852" s="9" t="b">
        <f t="shared" si="55"/>
        <v>1</v>
      </c>
      <c r="N852" s="9" t="s">
        <v>1251</v>
      </c>
      <c r="O852" s="9">
        <v>0</v>
      </c>
      <c r="P852" s="9">
        <v>1000</v>
      </c>
      <c r="Q852" s="13"/>
      <c r="R852" s="13"/>
      <c r="S852" s="9" t="s">
        <v>3686</v>
      </c>
      <c r="T852" s="9" t="s">
        <v>387</v>
      </c>
      <c r="U852" s="13"/>
      <c r="V852" s="9" t="s">
        <v>30</v>
      </c>
      <c r="W852" s="13"/>
      <c r="X852" s="9">
        <v>2</v>
      </c>
    </row>
    <row r="853" spans="1:24">
      <c r="A853" s="13"/>
      <c r="B853" s="9" t="s">
        <v>3687</v>
      </c>
      <c r="C853" s="9" t="str">
        <f>VLOOKUP(B853,[1]RXNS!$B:$C,1,)</f>
        <v>RBFSa</v>
      </c>
      <c r="D853" s="9" t="b">
        <f t="shared" si="52"/>
        <v>1</v>
      </c>
      <c r="E853" s="9" t="s">
        <v>3327</v>
      </c>
      <c r="F853" s="9" t="s">
        <v>3327</v>
      </c>
      <c r="G853" s="9" t="b">
        <f t="shared" si="53"/>
        <v>1</v>
      </c>
      <c r="H853" s="9" t="str">
        <f>VLOOKUP(B853,[1]RXNS!$B:$D,3,FALSE)</f>
        <v>4-(1-D-Ribitylamino)-5-aminouracil[c] + 3,4-dihydroxy-2-butanone 4-phosphate[c] =&gt; 6,7-Dimethyl-8-(1-D-ribityl)lumazine[c] + 2 H2O[c] + Phosphate[c]</v>
      </c>
      <c r="I853" s="9" t="s">
        <v>3688</v>
      </c>
      <c r="J853" s="9" t="s">
        <v>3689</v>
      </c>
      <c r="K853" s="9" t="s">
        <v>3688</v>
      </c>
      <c r="L853" s="9" t="b">
        <f t="shared" si="54"/>
        <v>1</v>
      </c>
      <c r="M853" s="9" t="b">
        <f t="shared" si="55"/>
        <v>1</v>
      </c>
      <c r="N853" s="9" t="s">
        <v>3690</v>
      </c>
      <c r="O853" s="9">
        <v>0</v>
      </c>
      <c r="P853" s="9">
        <v>1000</v>
      </c>
      <c r="Q853" s="13"/>
      <c r="R853" s="13"/>
      <c r="S853" s="9" t="s">
        <v>3691</v>
      </c>
      <c r="T853" s="9" t="s">
        <v>387</v>
      </c>
      <c r="U853" s="13"/>
      <c r="V853" s="9" t="s">
        <v>30</v>
      </c>
      <c r="W853" s="13"/>
      <c r="X853" s="9">
        <v>2</v>
      </c>
    </row>
    <row r="854" spans="1:24">
      <c r="A854" s="13"/>
      <c r="B854" s="9" t="s">
        <v>3692</v>
      </c>
      <c r="C854" s="9" t="str">
        <f>VLOOKUP(B854,[1]RXNS!$B:$C,1,)</f>
        <v>RBK</v>
      </c>
      <c r="D854" s="9" t="b">
        <f t="shared" si="52"/>
        <v>1</v>
      </c>
      <c r="E854" s="9" t="s">
        <v>3693</v>
      </c>
      <c r="F854" s="9" t="s">
        <v>3693</v>
      </c>
      <c r="G854" s="9" t="b">
        <f t="shared" si="53"/>
        <v>1</v>
      </c>
      <c r="H854" s="9" t="str">
        <f>VLOOKUP(B854,[1]RXNS!$B:$D,3,FALSE)</f>
        <v>ATP[c] + D-Ribose[c] =&gt; ADP[c] + H+[c] + alpha-D-Ribose 5-phosphate[c]</v>
      </c>
      <c r="I854" s="9" t="s">
        <v>923</v>
      </c>
      <c r="J854" s="9" t="s">
        <v>3694</v>
      </c>
      <c r="K854" s="9" t="s">
        <v>923</v>
      </c>
      <c r="L854" s="9" t="b">
        <f t="shared" si="54"/>
        <v>1</v>
      </c>
      <c r="M854" s="9" t="b">
        <f t="shared" si="55"/>
        <v>1</v>
      </c>
      <c r="N854" s="9" t="s">
        <v>925</v>
      </c>
      <c r="O854" s="9">
        <v>0</v>
      </c>
      <c r="P854" s="9">
        <v>1000</v>
      </c>
      <c r="Q854" s="13"/>
      <c r="R854" s="13"/>
      <c r="S854" s="9" t="s">
        <v>3695</v>
      </c>
      <c r="T854" s="9" t="s">
        <v>393</v>
      </c>
      <c r="U854" s="13"/>
      <c r="V854" s="9" t="s">
        <v>30</v>
      </c>
      <c r="W854" s="13"/>
      <c r="X854" s="9">
        <v>2</v>
      </c>
    </row>
    <row r="855" spans="1:24">
      <c r="A855" s="13"/>
      <c r="B855" s="9" t="s">
        <v>3696</v>
      </c>
      <c r="C855" s="9" t="str">
        <f>VLOOKUP(B855,[1]RXNS!$B:$C,1,)</f>
        <v>RBLK1</v>
      </c>
      <c r="D855" s="9" t="b">
        <f t="shared" si="52"/>
        <v>1</v>
      </c>
      <c r="E855" s="9" t="s">
        <v>3697</v>
      </c>
      <c r="F855" s="9" t="s">
        <v>3697</v>
      </c>
      <c r="G855" s="9" t="b">
        <f t="shared" si="53"/>
        <v>1</v>
      </c>
      <c r="H855" s="9" t="str">
        <f>VLOOKUP(B855,[1]RXNS!$B:$D,3,FALSE)</f>
        <v>ATP[c] + L-Ribulose[c] =&gt; ADP[c] + H+[c] + L-Ribulose 5-phosphate[c]</v>
      </c>
      <c r="I855" s="9" t="s">
        <v>3698</v>
      </c>
      <c r="J855" s="9" t="s">
        <v>3699</v>
      </c>
      <c r="K855" s="9" t="s">
        <v>3698</v>
      </c>
      <c r="L855" s="9" t="b">
        <f t="shared" si="54"/>
        <v>1</v>
      </c>
      <c r="M855" s="9" t="b">
        <f t="shared" si="55"/>
        <v>1</v>
      </c>
      <c r="N855" s="13"/>
      <c r="O855" s="9">
        <v>0</v>
      </c>
      <c r="P855" s="9">
        <v>1000</v>
      </c>
      <c r="Q855" s="13"/>
      <c r="R855" s="13"/>
      <c r="S855" s="13"/>
      <c r="T855" s="9" t="s">
        <v>3700</v>
      </c>
      <c r="U855" s="13"/>
      <c r="V855" s="9" t="s">
        <v>35</v>
      </c>
      <c r="W855" s="13"/>
      <c r="X855" s="9">
        <v>2</v>
      </c>
    </row>
    <row r="856" spans="1:24">
      <c r="A856" s="13"/>
      <c r="B856" s="9" t="s">
        <v>3701</v>
      </c>
      <c r="C856" s="9" t="str">
        <f>VLOOKUP(B856,[1]RXNS!$B:$C,1,)</f>
        <v>RBP4E</v>
      </c>
      <c r="D856" s="9" t="b">
        <f t="shared" si="52"/>
        <v>1</v>
      </c>
      <c r="E856" s="9" t="s">
        <v>3702</v>
      </c>
      <c r="F856" s="9" t="s">
        <v>3702</v>
      </c>
      <c r="G856" s="9" t="b">
        <f t="shared" si="53"/>
        <v>1</v>
      </c>
      <c r="H856" s="9" t="str">
        <f>VLOOKUP(B856,[1]RXNS!$B:$D,3,FALSE)</f>
        <v>L-Ribulose 5-phosphate[c] &lt;=&gt; D-Xylulose 5-phosphate[c]</v>
      </c>
      <c r="I856" s="9" t="s">
        <v>3703</v>
      </c>
      <c r="J856" s="9" t="s">
        <v>3704</v>
      </c>
      <c r="K856" s="9" t="s">
        <v>3703</v>
      </c>
      <c r="L856" s="9" t="b">
        <f t="shared" si="54"/>
        <v>1</v>
      </c>
      <c r="M856" s="9" t="b">
        <f t="shared" si="55"/>
        <v>1</v>
      </c>
      <c r="N856" s="13"/>
      <c r="O856" s="9">
        <v>-1000</v>
      </c>
      <c r="P856" s="9">
        <v>1000</v>
      </c>
      <c r="Q856" s="13"/>
      <c r="R856" s="13"/>
      <c r="S856" s="13"/>
      <c r="T856" s="9" t="s">
        <v>3700</v>
      </c>
      <c r="U856" s="13"/>
      <c r="V856" s="9" t="s">
        <v>35</v>
      </c>
      <c r="W856" s="13"/>
      <c r="X856" s="9">
        <v>2</v>
      </c>
    </row>
    <row r="857" spans="1:24">
      <c r="A857" s="13"/>
      <c r="B857" s="9" t="s">
        <v>3705</v>
      </c>
      <c r="C857" s="9" t="str">
        <f>VLOOKUP(B857,[1]RXNS!$B:$C,1,)</f>
        <v>RHC</v>
      </c>
      <c r="D857" s="9" t="b">
        <f t="shared" si="52"/>
        <v>1</v>
      </c>
      <c r="E857" s="9" t="s">
        <v>3706</v>
      </c>
      <c r="F857" s="9" t="s">
        <v>3706</v>
      </c>
      <c r="G857" s="9" t="b">
        <f t="shared" si="53"/>
        <v>1</v>
      </c>
      <c r="H857" s="9" t="str">
        <f>VLOOKUP(B857,[1]RXNS!$B:$D,3,FALSE)</f>
        <v>H2O[c] + S-Ribosyl-L-homocysteine[c] =&gt; L-Homocysteine[c] + D-Ribose[c]</v>
      </c>
      <c r="I857" s="9" t="s">
        <v>3707</v>
      </c>
      <c r="J857" s="9" t="s">
        <v>3708</v>
      </c>
      <c r="K857" s="9" t="s">
        <v>3707</v>
      </c>
      <c r="L857" s="9" t="b">
        <f t="shared" si="54"/>
        <v>1</v>
      </c>
      <c r="M857" s="9" t="b">
        <f t="shared" si="55"/>
        <v>1</v>
      </c>
      <c r="N857" s="9" t="s">
        <v>3709</v>
      </c>
      <c r="O857" s="9">
        <v>0</v>
      </c>
      <c r="P857" s="9">
        <v>1000</v>
      </c>
      <c r="Q857" s="13"/>
      <c r="R857" s="13"/>
      <c r="S857" s="13"/>
      <c r="T857" s="9" t="s">
        <v>239</v>
      </c>
      <c r="U857" s="13"/>
      <c r="V857" s="9" t="s">
        <v>30</v>
      </c>
      <c r="W857" s="13"/>
      <c r="X857" s="9">
        <v>2</v>
      </c>
    </row>
    <row r="858" spans="1:24">
      <c r="A858" s="13"/>
      <c r="B858" s="9" t="s">
        <v>3710</v>
      </c>
      <c r="C858" s="9" t="str">
        <f>VLOOKUP(B858,[1]RXNS!$B:$C,1,)</f>
        <v>RIBFLVt2</v>
      </c>
      <c r="D858" s="9" t="b">
        <f t="shared" si="52"/>
        <v>1</v>
      </c>
      <c r="E858" s="9" t="s">
        <v>3711</v>
      </c>
      <c r="F858" s="9" t="s">
        <v>3711</v>
      </c>
      <c r="G858" s="9" t="b">
        <f t="shared" si="53"/>
        <v>1</v>
      </c>
      <c r="H858" s="9" t="str">
        <f>VLOOKUP(B858,[1]RXNS!$B:$D,3,FALSE)</f>
        <v>H+[e] + Riboflavin[e] =&gt; H+[c] + Riboflavin[c]</v>
      </c>
      <c r="I858" s="9">
        <f>VLOOKUP(B858,[1]RXNS!$B:$E,4,FALSE)</f>
        <v>0</v>
      </c>
      <c r="J858" s="9" t="s">
        <v>3712</v>
      </c>
      <c r="K858" s="13"/>
      <c r="L858" s="9" t="b">
        <f t="shared" si="54"/>
        <v>1</v>
      </c>
      <c r="M858" s="9" t="b">
        <f t="shared" si="55"/>
        <v>0</v>
      </c>
      <c r="N858" s="13"/>
      <c r="O858" s="9">
        <v>0</v>
      </c>
      <c r="P858" s="9">
        <v>1000</v>
      </c>
      <c r="Q858" s="13"/>
      <c r="R858" s="13"/>
      <c r="S858" s="13"/>
      <c r="T858" s="9" t="s">
        <v>146</v>
      </c>
      <c r="U858" s="13"/>
      <c r="V858" s="9" t="s">
        <v>35</v>
      </c>
      <c r="W858" s="13"/>
      <c r="X858" s="9">
        <v>2</v>
      </c>
    </row>
    <row r="859" spans="1:24">
      <c r="A859" s="13"/>
      <c r="B859" s="9" t="s">
        <v>3713</v>
      </c>
      <c r="C859" s="9" t="str">
        <f>VLOOKUP(B859,[1]RXNS!$B:$C,1,)</f>
        <v>RIBabc</v>
      </c>
      <c r="D859" s="9" t="b">
        <f t="shared" si="52"/>
        <v>1</v>
      </c>
      <c r="E859" s="9" t="s">
        <v>3714</v>
      </c>
      <c r="F859" s="9" t="s">
        <v>3714</v>
      </c>
      <c r="G859" s="9" t="b">
        <f t="shared" si="53"/>
        <v>1</v>
      </c>
      <c r="H859" s="9" t="str">
        <f>VLOOKUP(B859,[1]RXNS!$B:$D,3,FALSE)</f>
        <v>ATP[c] + H2O[c] + D-Ribose[e] =&gt; ADP[c] + H+[c] + Phosphate[c] + D-Ribose[c]</v>
      </c>
      <c r="I859" s="9" t="s">
        <v>3715</v>
      </c>
      <c r="J859" s="9" t="s">
        <v>3716</v>
      </c>
      <c r="K859" s="9" t="s">
        <v>3715</v>
      </c>
      <c r="L859" s="9" t="b">
        <f t="shared" si="54"/>
        <v>1</v>
      </c>
      <c r="M859" s="9" t="b">
        <f t="shared" si="55"/>
        <v>1</v>
      </c>
      <c r="N859" s="9" t="s">
        <v>3717</v>
      </c>
      <c r="O859" s="9">
        <v>0</v>
      </c>
      <c r="P859" s="9">
        <v>1000</v>
      </c>
      <c r="Q859" s="13"/>
      <c r="R859" s="13"/>
      <c r="S859" s="9" t="s">
        <v>3718</v>
      </c>
      <c r="T859" s="9" t="s">
        <v>146</v>
      </c>
      <c r="U859" s="13"/>
      <c r="V859" s="9" t="s">
        <v>30</v>
      </c>
      <c r="W859" s="13"/>
      <c r="X859" s="9">
        <v>2</v>
      </c>
    </row>
    <row r="860" spans="1:24">
      <c r="A860" s="13"/>
      <c r="B860" s="9" t="s">
        <v>3719</v>
      </c>
      <c r="C860" s="9" t="str">
        <f>VLOOKUP(B860,[1]RXNS!$B:$C,1,)</f>
        <v>RNDR1</v>
      </c>
      <c r="D860" s="9" t="b">
        <f t="shared" si="52"/>
        <v>1</v>
      </c>
      <c r="E860" s="9" t="s">
        <v>3720</v>
      </c>
      <c r="F860" s="9" t="s">
        <v>3720</v>
      </c>
      <c r="G860" s="9" t="b">
        <f t="shared" si="53"/>
        <v>1</v>
      </c>
      <c r="H860" s="9" t="str">
        <f>VLOOKUP(B860,[1]RXNS!$B:$D,3,FALSE)</f>
        <v>ADP[c] + Reduced thioredoxin[c] =&gt; dADP[c] + H2O[c] + Oxidized thioredoxin[c]</v>
      </c>
      <c r="I860" s="9" t="s">
        <v>3721</v>
      </c>
      <c r="J860" s="9" t="s">
        <v>3722</v>
      </c>
      <c r="K860" s="9" t="s">
        <v>3721</v>
      </c>
      <c r="L860" s="9" t="b">
        <f t="shared" si="54"/>
        <v>1</v>
      </c>
      <c r="M860" s="9" t="b">
        <f t="shared" si="55"/>
        <v>1</v>
      </c>
      <c r="N860" s="9" t="s">
        <v>3723</v>
      </c>
      <c r="O860" s="9">
        <v>0</v>
      </c>
      <c r="P860" s="9">
        <v>1000</v>
      </c>
      <c r="Q860" s="13"/>
      <c r="R860" s="13"/>
      <c r="S860" s="9" t="s">
        <v>3724</v>
      </c>
      <c r="T860" s="9" t="s">
        <v>153</v>
      </c>
      <c r="U860" s="13"/>
      <c r="V860" s="9" t="s">
        <v>30</v>
      </c>
      <c r="W860" s="13"/>
      <c r="X860" s="9">
        <v>2</v>
      </c>
    </row>
    <row r="861" spans="1:24">
      <c r="A861" s="13"/>
      <c r="B861" s="9" t="s">
        <v>3725</v>
      </c>
      <c r="C861" s="9" t="str">
        <f>VLOOKUP(B861,[1]RXNS!$B:$C,1,)</f>
        <v>RNDR2</v>
      </c>
      <c r="D861" s="9" t="b">
        <f t="shared" si="52"/>
        <v>1</v>
      </c>
      <c r="E861" s="9" t="s">
        <v>3726</v>
      </c>
      <c r="F861" s="9" t="s">
        <v>3726</v>
      </c>
      <c r="G861" s="9" t="b">
        <f t="shared" si="53"/>
        <v>1</v>
      </c>
      <c r="H861" s="9" t="str">
        <f>VLOOKUP(B861,[1]RXNS!$B:$D,3,FALSE)</f>
        <v>GDP[c] + Reduced thioredoxin[c] =&gt; dGDP[c] + H2O[c] + Oxidized thioredoxin[c]</v>
      </c>
      <c r="I861" s="9" t="s">
        <v>3721</v>
      </c>
      <c r="J861" s="9" t="s">
        <v>3727</v>
      </c>
      <c r="K861" s="9" t="s">
        <v>3721</v>
      </c>
      <c r="L861" s="9" t="b">
        <f t="shared" si="54"/>
        <v>1</v>
      </c>
      <c r="M861" s="9" t="b">
        <f t="shared" si="55"/>
        <v>1</v>
      </c>
      <c r="N861" s="9" t="s">
        <v>3728</v>
      </c>
      <c r="O861" s="9">
        <v>0</v>
      </c>
      <c r="P861" s="9">
        <v>1000</v>
      </c>
      <c r="Q861" s="13"/>
      <c r="R861" s="13"/>
      <c r="S861" s="9" t="s">
        <v>3729</v>
      </c>
      <c r="T861" s="9" t="s">
        <v>153</v>
      </c>
      <c r="U861" s="13"/>
      <c r="V861" s="9" t="s">
        <v>30</v>
      </c>
      <c r="W861" s="13"/>
      <c r="X861" s="9">
        <v>2</v>
      </c>
    </row>
    <row r="862" spans="1:24">
      <c r="A862" s="13"/>
      <c r="B862" s="9" t="s">
        <v>3730</v>
      </c>
      <c r="C862" s="9" t="str">
        <f>VLOOKUP(B862,[1]RXNS!$B:$C,1,)</f>
        <v>RNDR3</v>
      </c>
      <c r="D862" s="9" t="b">
        <f t="shared" si="52"/>
        <v>1</v>
      </c>
      <c r="E862" s="9" t="s">
        <v>3731</v>
      </c>
      <c r="F862" s="9" t="s">
        <v>3731</v>
      </c>
      <c r="G862" s="9" t="b">
        <f t="shared" si="53"/>
        <v>1</v>
      </c>
      <c r="H862" s="9" t="str">
        <f>VLOOKUP(B862,[1]RXNS!$B:$D,3,FALSE)</f>
        <v>CDP[c] + Reduced thioredoxin[c] =&gt; dCDP[c] + H2O[c] + Oxidized thioredoxin[c]</v>
      </c>
      <c r="I862" s="9" t="s">
        <v>3721</v>
      </c>
      <c r="J862" s="9" t="s">
        <v>3732</v>
      </c>
      <c r="K862" s="9" t="s">
        <v>3721</v>
      </c>
      <c r="L862" s="9" t="b">
        <f t="shared" si="54"/>
        <v>1</v>
      </c>
      <c r="M862" s="9" t="b">
        <f t="shared" si="55"/>
        <v>1</v>
      </c>
      <c r="N862" s="9" t="s">
        <v>3728</v>
      </c>
      <c r="O862" s="9">
        <v>0</v>
      </c>
      <c r="P862" s="9">
        <v>1000</v>
      </c>
      <c r="Q862" s="13"/>
      <c r="R862" s="13"/>
      <c r="S862" s="9" t="s">
        <v>3733</v>
      </c>
      <c r="T862" s="9" t="s">
        <v>648</v>
      </c>
      <c r="U862" s="13"/>
      <c r="V862" s="9" t="s">
        <v>30</v>
      </c>
      <c r="W862" s="13"/>
      <c r="X862" s="9">
        <v>2</v>
      </c>
    </row>
    <row r="863" spans="1:24">
      <c r="A863" s="13"/>
      <c r="B863" s="9" t="s">
        <v>3734</v>
      </c>
      <c r="C863" s="9" t="str">
        <f>VLOOKUP(B863,[1]RXNS!$B:$C,1,)</f>
        <v>RNDR4</v>
      </c>
      <c r="D863" s="9" t="b">
        <f t="shared" si="52"/>
        <v>1</v>
      </c>
      <c r="E863" s="9" t="s">
        <v>3735</v>
      </c>
      <c r="F863" s="9" t="s">
        <v>3735</v>
      </c>
      <c r="G863" s="9" t="b">
        <f t="shared" si="53"/>
        <v>1</v>
      </c>
      <c r="H863" s="9" t="str">
        <f>VLOOKUP(B863,[1]RXNS!$B:$D,3,FALSE)</f>
        <v>Reduced thioredoxin[c] + UDP[c] =&gt; dUDP[c] + H2O[c] + Oxidized thioredoxin[c]</v>
      </c>
      <c r="I863" s="9" t="s">
        <v>3721</v>
      </c>
      <c r="J863" s="9" t="s">
        <v>3736</v>
      </c>
      <c r="K863" s="9" t="s">
        <v>3721</v>
      </c>
      <c r="L863" s="9" t="b">
        <f t="shared" si="54"/>
        <v>1</v>
      </c>
      <c r="M863" s="9" t="b">
        <f t="shared" si="55"/>
        <v>1</v>
      </c>
      <c r="N863" s="9" t="s">
        <v>3723</v>
      </c>
      <c r="O863" s="9">
        <v>0</v>
      </c>
      <c r="P863" s="9">
        <v>1000</v>
      </c>
      <c r="Q863" s="13"/>
      <c r="R863" s="13"/>
      <c r="S863" s="9" t="s">
        <v>3737</v>
      </c>
      <c r="T863" s="9" t="s">
        <v>648</v>
      </c>
      <c r="U863" s="13"/>
      <c r="V863" s="9" t="s">
        <v>30</v>
      </c>
      <c r="W863" s="13"/>
      <c r="X863" s="9">
        <v>2</v>
      </c>
    </row>
    <row r="864" spans="1:24">
      <c r="A864" s="13"/>
      <c r="B864" s="9" t="s">
        <v>3738</v>
      </c>
      <c r="C864" s="9" t="str">
        <f>VLOOKUP(B864,[1]RXNS!$B:$C,1,)</f>
        <v>RNTR1</v>
      </c>
      <c r="D864" s="9" t="b">
        <f t="shared" si="52"/>
        <v>1</v>
      </c>
      <c r="E864" s="9" t="s">
        <v>3739</v>
      </c>
      <c r="F864" s="9" t="s">
        <v>3739</v>
      </c>
      <c r="G864" s="9" t="b">
        <f t="shared" si="53"/>
        <v>1</v>
      </c>
      <c r="H864" s="9" t="str">
        <f>VLOOKUP(B864,[1]RXNS!$B:$D,3,FALSE)</f>
        <v>ATP[c] + Reduced thioredoxin[c] =&gt; dATP[c] + H2O[c] + Oxidized thioredoxin[c]</v>
      </c>
      <c r="I864" s="9" t="s">
        <v>3740</v>
      </c>
      <c r="J864" s="9" t="s">
        <v>3741</v>
      </c>
      <c r="K864" s="9" t="s">
        <v>3740</v>
      </c>
      <c r="L864" s="9" t="b">
        <f t="shared" si="54"/>
        <v>1</v>
      </c>
      <c r="M864" s="9" t="b">
        <f t="shared" si="55"/>
        <v>1</v>
      </c>
      <c r="N864" s="9" t="s">
        <v>3742</v>
      </c>
      <c r="O864" s="9">
        <v>0</v>
      </c>
      <c r="P864" s="9">
        <v>1000</v>
      </c>
      <c r="Q864" s="13"/>
      <c r="R864" s="13"/>
      <c r="S864" s="9" t="s">
        <v>3743</v>
      </c>
      <c r="T864" s="9" t="s">
        <v>153</v>
      </c>
      <c r="U864" s="13"/>
      <c r="V864" s="9" t="s">
        <v>30</v>
      </c>
      <c r="W864" s="13"/>
      <c r="X864" s="9">
        <v>2</v>
      </c>
    </row>
    <row r="865" spans="1:24">
      <c r="A865" s="13"/>
      <c r="B865" s="9" t="s">
        <v>3744</v>
      </c>
      <c r="C865" s="9" t="str">
        <f>VLOOKUP(B865,[1]RXNS!$B:$C,1,)</f>
        <v>RNTR2</v>
      </c>
      <c r="D865" s="9" t="b">
        <f t="shared" si="52"/>
        <v>1</v>
      </c>
      <c r="E865" s="9" t="s">
        <v>3745</v>
      </c>
      <c r="F865" s="9" t="s">
        <v>3745</v>
      </c>
      <c r="G865" s="9" t="b">
        <f t="shared" si="53"/>
        <v>1</v>
      </c>
      <c r="H865" s="9" t="str">
        <f>VLOOKUP(B865,[1]RXNS!$B:$D,3,FALSE)</f>
        <v>GTP[c] + Reduced thioredoxin[c] =&gt; dGTP[c] + H2O[c] + Oxidized thioredoxin[c]</v>
      </c>
      <c r="I865" s="9" t="s">
        <v>3740</v>
      </c>
      <c r="J865" s="9" t="s">
        <v>3746</v>
      </c>
      <c r="K865" s="9" t="s">
        <v>3740</v>
      </c>
      <c r="L865" s="9" t="b">
        <f t="shared" si="54"/>
        <v>1</v>
      </c>
      <c r="M865" s="9" t="b">
        <f t="shared" si="55"/>
        <v>1</v>
      </c>
      <c r="N865" s="9" t="s">
        <v>3742</v>
      </c>
      <c r="O865" s="9">
        <v>0</v>
      </c>
      <c r="P865" s="9">
        <v>1000</v>
      </c>
      <c r="Q865" s="13"/>
      <c r="R865" s="13"/>
      <c r="S865" s="9" t="s">
        <v>3747</v>
      </c>
      <c r="T865" s="9" t="s">
        <v>153</v>
      </c>
      <c r="U865" s="13"/>
      <c r="V865" s="9" t="s">
        <v>30</v>
      </c>
      <c r="W865" s="13"/>
      <c r="X865" s="9">
        <v>2</v>
      </c>
    </row>
    <row r="866" spans="1:24">
      <c r="A866" s="13"/>
      <c r="B866" s="9" t="s">
        <v>3748</v>
      </c>
      <c r="C866" s="9" t="str">
        <f>VLOOKUP(B866,[1]RXNS!$B:$C,1,)</f>
        <v>RNTR3</v>
      </c>
      <c r="D866" s="9" t="b">
        <f t="shared" si="52"/>
        <v>1</v>
      </c>
      <c r="E866" s="9" t="s">
        <v>3749</v>
      </c>
      <c r="F866" s="9" t="s">
        <v>3749</v>
      </c>
      <c r="G866" s="9" t="b">
        <f t="shared" si="53"/>
        <v>1</v>
      </c>
      <c r="H866" s="9" t="str">
        <f>VLOOKUP(B866,[1]RXNS!$B:$D,3,FALSE)</f>
        <v>CTP[c] + Reduced thioredoxin[c] =&gt; dCTP[c] + H2O[c] + Oxidized thioredoxin[c]</v>
      </c>
      <c r="I866" s="9" t="s">
        <v>3740</v>
      </c>
      <c r="J866" s="9" t="s">
        <v>3750</v>
      </c>
      <c r="K866" s="9" t="s">
        <v>3740</v>
      </c>
      <c r="L866" s="9" t="b">
        <f t="shared" si="54"/>
        <v>1</v>
      </c>
      <c r="M866" s="9" t="b">
        <f t="shared" si="55"/>
        <v>1</v>
      </c>
      <c r="N866" s="9" t="s">
        <v>3742</v>
      </c>
      <c r="O866" s="9">
        <v>0</v>
      </c>
      <c r="P866" s="9">
        <v>1000</v>
      </c>
      <c r="Q866" s="13"/>
      <c r="R866" s="13"/>
      <c r="S866" s="9" t="s">
        <v>3751</v>
      </c>
      <c r="T866" s="9" t="s">
        <v>648</v>
      </c>
      <c r="U866" s="13"/>
      <c r="V866" s="9" t="s">
        <v>30</v>
      </c>
      <c r="W866" s="13"/>
      <c r="X866" s="9">
        <v>2</v>
      </c>
    </row>
    <row r="867" spans="1:24">
      <c r="A867" s="13"/>
      <c r="B867" s="9" t="s">
        <v>3752</v>
      </c>
      <c r="C867" s="9" t="str">
        <f>VLOOKUP(B867,[1]RXNS!$B:$C,1,)</f>
        <v>RNTR4</v>
      </c>
      <c r="D867" s="9" t="b">
        <f t="shared" si="52"/>
        <v>1</v>
      </c>
      <c r="E867" s="9" t="s">
        <v>3753</v>
      </c>
      <c r="F867" s="9" t="s">
        <v>3753</v>
      </c>
      <c r="G867" s="9" t="b">
        <f t="shared" si="53"/>
        <v>1</v>
      </c>
      <c r="H867" s="9" t="str">
        <f>VLOOKUP(B867,[1]RXNS!$B:$D,3,FALSE)</f>
        <v>Reduced thioredoxin[c] + UTP[c] =&gt; dUTP[c] + H2O[c] + Oxidized thioredoxin[c]</v>
      </c>
      <c r="I867" s="9" t="s">
        <v>3740</v>
      </c>
      <c r="J867" s="9" t="s">
        <v>3754</v>
      </c>
      <c r="K867" s="9" t="s">
        <v>3740</v>
      </c>
      <c r="L867" s="9" t="b">
        <f t="shared" si="54"/>
        <v>1</v>
      </c>
      <c r="M867" s="9" t="b">
        <f t="shared" si="55"/>
        <v>1</v>
      </c>
      <c r="N867" s="9" t="s">
        <v>3742</v>
      </c>
      <c r="O867" s="9">
        <v>0</v>
      </c>
      <c r="P867" s="9">
        <v>1000</v>
      </c>
      <c r="Q867" s="13"/>
      <c r="R867" s="13"/>
      <c r="S867" s="9" t="s">
        <v>3755</v>
      </c>
      <c r="T867" s="9" t="s">
        <v>648</v>
      </c>
      <c r="U867" s="13"/>
      <c r="V867" s="9" t="s">
        <v>30</v>
      </c>
      <c r="W867" s="13"/>
      <c r="X867" s="9">
        <v>2</v>
      </c>
    </row>
    <row r="868" spans="1:24">
      <c r="A868" s="13"/>
      <c r="B868" s="9" t="s">
        <v>3756</v>
      </c>
      <c r="C868" s="9" t="str">
        <f>VLOOKUP(B868,[1]RXNS!$B:$C,1,)</f>
        <v>RPE</v>
      </c>
      <c r="D868" s="9" t="b">
        <f t="shared" si="52"/>
        <v>1</v>
      </c>
      <c r="E868" s="9" t="s">
        <v>3757</v>
      </c>
      <c r="F868" s="9" t="s">
        <v>3757</v>
      </c>
      <c r="G868" s="9" t="b">
        <f t="shared" si="53"/>
        <v>1</v>
      </c>
      <c r="H868" s="9" t="str">
        <f>VLOOKUP(B868,[1]RXNS!$B:$D,3,FALSE)</f>
        <v>D-Ribulose 5-phosphate[c] &lt;=&gt; D-Xylulose 5-phosphate[c]</v>
      </c>
      <c r="I868" s="9" t="s">
        <v>3758</v>
      </c>
      <c r="J868" s="9" t="s">
        <v>3759</v>
      </c>
      <c r="K868" s="9" t="s">
        <v>3758</v>
      </c>
      <c r="L868" s="9" t="b">
        <f t="shared" si="54"/>
        <v>1</v>
      </c>
      <c r="M868" s="9" t="b">
        <f t="shared" si="55"/>
        <v>1</v>
      </c>
      <c r="N868" s="9" t="s">
        <v>3760</v>
      </c>
      <c r="O868" s="9">
        <v>-1000</v>
      </c>
      <c r="P868" s="9">
        <v>1000</v>
      </c>
      <c r="Q868" s="13"/>
      <c r="R868" s="13"/>
      <c r="S868" s="9" t="s">
        <v>3761</v>
      </c>
      <c r="T868" s="9" t="s">
        <v>393</v>
      </c>
      <c r="U868" s="13"/>
      <c r="V868" s="9" t="s">
        <v>30</v>
      </c>
      <c r="W868" s="13"/>
      <c r="X868" s="9">
        <v>2</v>
      </c>
    </row>
    <row r="869" spans="1:24">
      <c r="A869" s="13"/>
      <c r="B869" s="9" t="s">
        <v>3762</v>
      </c>
      <c r="C869" s="9" t="str">
        <f>VLOOKUP(B869,[1]RXNS!$B:$C,1,)</f>
        <v>RPI</v>
      </c>
      <c r="D869" s="9" t="b">
        <f t="shared" si="52"/>
        <v>1</v>
      </c>
      <c r="E869" s="9" t="s">
        <v>3763</v>
      </c>
      <c r="F869" s="9" t="s">
        <v>3763</v>
      </c>
      <c r="G869" s="9" t="b">
        <f t="shared" si="53"/>
        <v>1</v>
      </c>
      <c r="H869" s="9" t="str">
        <f>VLOOKUP(B869,[1]RXNS!$B:$D,3,FALSE)</f>
        <v>alpha-D-Ribose 5-phosphate[c] &lt;=&gt; D-Ribulose 5-phosphate[c]</v>
      </c>
      <c r="I869" s="9" t="s">
        <v>3764</v>
      </c>
      <c r="J869" s="9" t="s">
        <v>3765</v>
      </c>
      <c r="K869" s="9" t="s">
        <v>3764</v>
      </c>
      <c r="L869" s="9" t="b">
        <f t="shared" si="54"/>
        <v>1</v>
      </c>
      <c r="M869" s="9" t="b">
        <f t="shared" si="55"/>
        <v>1</v>
      </c>
      <c r="N869" s="9" t="s">
        <v>3766</v>
      </c>
      <c r="O869" s="9">
        <v>-1000</v>
      </c>
      <c r="P869" s="9">
        <v>1000</v>
      </c>
      <c r="Q869" s="13"/>
      <c r="R869" s="13"/>
      <c r="S869" s="9" t="s">
        <v>3767</v>
      </c>
      <c r="T869" s="9" t="s">
        <v>393</v>
      </c>
      <c r="U869" s="13"/>
      <c r="V869" s="9" t="s">
        <v>30</v>
      </c>
      <c r="W869" s="13"/>
      <c r="X869" s="9">
        <v>2</v>
      </c>
    </row>
    <row r="870" spans="1:24">
      <c r="A870" s="13"/>
      <c r="B870" s="9" t="s">
        <v>3768</v>
      </c>
      <c r="C870" s="9" t="str">
        <f>VLOOKUP(B870,[1]RXNS!$B:$C,1,)</f>
        <v>SCRP</v>
      </c>
      <c r="D870" s="9" t="b">
        <f t="shared" si="52"/>
        <v>1</v>
      </c>
      <c r="E870" s="9" t="s">
        <v>3769</v>
      </c>
      <c r="F870" s="9" t="s">
        <v>3769</v>
      </c>
      <c r="G870" s="9" t="b">
        <f t="shared" si="53"/>
        <v>1</v>
      </c>
      <c r="H870" s="9" t="str">
        <f>VLOOKUP(B870,[1]RXNS!$B:$D,3,FALSE)</f>
        <v>Phosphate[c] + Sucrose[c] =&gt; D-Fructose[c] + D-Glucose 1-phosphate[c]</v>
      </c>
      <c r="I870" s="9" t="s">
        <v>3770</v>
      </c>
      <c r="J870" s="9" t="s">
        <v>3771</v>
      </c>
      <c r="K870" s="9" t="s">
        <v>3770</v>
      </c>
      <c r="L870" s="9" t="b">
        <f t="shared" si="54"/>
        <v>1</v>
      </c>
      <c r="M870" s="9" t="b">
        <f t="shared" si="55"/>
        <v>1</v>
      </c>
      <c r="N870" s="13"/>
      <c r="O870" s="9">
        <v>0</v>
      </c>
      <c r="P870" s="9">
        <v>1000</v>
      </c>
      <c r="Q870" s="13"/>
      <c r="R870" s="13"/>
      <c r="S870" s="13"/>
      <c r="T870" s="9" t="s">
        <v>1310</v>
      </c>
      <c r="U870" s="13"/>
      <c r="V870" s="9" t="s">
        <v>35</v>
      </c>
      <c r="W870" s="13"/>
      <c r="X870" s="9">
        <v>2</v>
      </c>
    </row>
    <row r="871" spans="1:24">
      <c r="A871" s="13"/>
      <c r="B871" s="9" t="s">
        <v>3772</v>
      </c>
      <c r="C871" s="9" t="str">
        <f>VLOOKUP(B871,[1]RXNS!$B:$C,1,)</f>
        <v>SDPDS</v>
      </c>
      <c r="D871" s="9" t="b">
        <f t="shared" si="52"/>
        <v>1</v>
      </c>
      <c r="E871" s="9" t="s">
        <v>3773</v>
      </c>
      <c r="F871" s="9" t="s">
        <v>3773</v>
      </c>
      <c r="G871" s="9" t="b">
        <f t="shared" si="53"/>
        <v>1</v>
      </c>
      <c r="H871" s="9" t="str">
        <f>VLOOKUP(B871,[1]RXNS!$B:$D,3,FALSE)</f>
        <v>H2O[c] + N-Succinyl-LL-2,6-diaminoheptanedioate[c] =&gt; LL-2,6-Diaminoheptanedioate[c] + Succinate[c]</v>
      </c>
      <c r="I871" s="9" t="s">
        <v>3774</v>
      </c>
      <c r="J871" s="9" t="s">
        <v>3775</v>
      </c>
      <c r="K871" s="9" t="s">
        <v>3774</v>
      </c>
      <c r="L871" s="9" t="b">
        <f t="shared" si="54"/>
        <v>1</v>
      </c>
      <c r="M871" s="9" t="b">
        <f t="shared" si="55"/>
        <v>1</v>
      </c>
      <c r="N871" s="9" t="s">
        <v>3776</v>
      </c>
      <c r="O871" s="9">
        <v>0</v>
      </c>
      <c r="P871" s="9">
        <v>1000</v>
      </c>
      <c r="Q871" s="13"/>
      <c r="R871" s="13"/>
      <c r="S871" s="9" t="s">
        <v>3777</v>
      </c>
      <c r="T871" s="9" t="s">
        <v>188</v>
      </c>
      <c r="U871" s="13"/>
      <c r="V871" s="9" t="s">
        <v>30</v>
      </c>
      <c r="W871" s="13"/>
      <c r="X871" s="9">
        <v>2</v>
      </c>
    </row>
    <row r="872" spans="1:24">
      <c r="A872" s="13"/>
      <c r="B872" s="9" t="s">
        <v>3778</v>
      </c>
      <c r="C872" s="9" t="str">
        <f>VLOOKUP(B872,[1]RXNS!$B:$C,1,)</f>
        <v>SELCYSLY</v>
      </c>
      <c r="D872" s="9" t="b">
        <f t="shared" si="52"/>
        <v>1</v>
      </c>
      <c r="E872" s="9" t="s">
        <v>3779</v>
      </c>
      <c r="F872" s="9" t="s">
        <v>3779</v>
      </c>
      <c r="G872" s="9" t="b">
        <f t="shared" si="53"/>
        <v>1</v>
      </c>
      <c r="H872" s="9" t="str">
        <f>VLOOKUP(B872,[1]RXNS!$B:$D,3,FALSE)</f>
        <v>Reduced dithiothreitol[c] + L-Selenocysteine[c] =&gt; L-Alanine[c] + Oxidized dithiothreitol[c] + H+[c] + Selenide[c]</v>
      </c>
      <c r="I872" s="9" t="s">
        <v>3780</v>
      </c>
      <c r="J872" s="9" t="s">
        <v>3781</v>
      </c>
      <c r="K872" s="9" t="s">
        <v>3780</v>
      </c>
      <c r="L872" s="9" t="b">
        <f t="shared" si="54"/>
        <v>1</v>
      </c>
      <c r="M872" s="9" t="b">
        <f t="shared" si="55"/>
        <v>1</v>
      </c>
      <c r="N872" s="9" t="s">
        <v>3782</v>
      </c>
      <c r="O872" s="9">
        <v>0</v>
      </c>
      <c r="P872" s="9">
        <v>1000</v>
      </c>
      <c r="Q872" s="13"/>
      <c r="R872" s="13"/>
      <c r="S872" s="13"/>
      <c r="T872" s="9" t="s">
        <v>3368</v>
      </c>
      <c r="U872" s="13"/>
      <c r="V872" s="9" t="s">
        <v>30</v>
      </c>
      <c r="W872" s="13"/>
      <c r="X872" s="9">
        <v>2</v>
      </c>
    </row>
    <row r="873" spans="1:24">
      <c r="A873" s="13"/>
      <c r="B873" s="9" t="s">
        <v>3783</v>
      </c>
      <c r="C873" s="9" t="e">
        <f>VLOOKUP(B873,[1]RXNS!$B:$C,1,)</f>
        <v>#N/A</v>
      </c>
      <c r="D873" s="9" t="e">
        <f t="shared" si="52"/>
        <v>#N/A</v>
      </c>
      <c r="E873" s="9" t="e">
        <v>#N/A</v>
      </c>
      <c r="F873" s="9" t="s">
        <v>3783</v>
      </c>
      <c r="G873" s="9" t="e">
        <f t="shared" si="53"/>
        <v>#N/A</v>
      </c>
      <c r="H873" s="9" t="e">
        <f>VLOOKUP(B873,[1]RXNS!$B:$D,3,FALSE)</f>
        <v>#N/A</v>
      </c>
      <c r="I873" s="9" t="s">
        <v>3784</v>
      </c>
      <c r="J873" s="9" t="s">
        <v>3785</v>
      </c>
      <c r="K873" s="9" t="s">
        <v>3784</v>
      </c>
      <c r="L873" s="9" t="e">
        <f t="shared" si="54"/>
        <v>#N/A</v>
      </c>
      <c r="M873" s="9" t="b">
        <f t="shared" si="55"/>
        <v>1</v>
      </c>
      <c r="N873" s="13"/>
      <c r="O873" s="9">
        <v>-1000</v>
      </c>
      <c r="P873" s="9">
        <v>1000</v>
      </c>
      <c r="Q873" s="13"/>
      <c r="R873" s="13"/>
      <c r="S873" s="13"/>
      <c r="T873" s="9" t="s">
        <v>3368</v>
      </c>
      <c r="U873" s="13"/>
      <c r="V873" s="9" t="s">
        <v>35</v>
      </c>
      <c r="W873" s="13"/>
      <c r="X873" s="9">
        <v>2</v>
      </c>
    </row>
    <row r="874" spans="1:24">
      <c r="A874" s="13"/>
      <c r="B874" s="9" t="s">
        <v>3786</v>
      </c>
      <c r="C874" s="9" t="e">
        <f>VLOOKUP(B874,[1]RXNS!$B:$C,1,)</f>
        <v>#N/A</v>
      </c>
      <c r="D874" s="9" t="e">
        <f t="shared" si="52"/>
        <v>#N/A</v>
      </c>
      <c r="E874" s="9" t="e">
        <v>#N/A</v>
      </c>
      <c r="F874" s="9" t="s">
        <v>3786</v>
      </c>
      <c r="G874" s="9" t="e">
        <f t="shared" si="53"/>
        <v>#N/A</v>
      </c>
      <c r="H874" s="9" t="e">
        <f>VLOOKUP(B874,[1]RXNS!$B:$D,3,FALSE)</f>
        <v>#N/A</v>
      </c>
      <c r="I874" s="9" t="s">
        <v>3784</v>
      </c>
      <c r="J874" s="9" t="s">
        <v>3787</v>
      </c>
      <c r="K874" s="9" t="s">
        <v>3784</v>
      </c>
      <c r="L874" s="9" t="e">
        <f t="shared" si="54"/>
        <v>#N/A</v>
      </c>
      <c r="M874" s="9" t="b">
        <f t="shared" si="55"/>
        <v>1</v>
      </c>
      <c r="N874" s="13"/>
      <c r="O874" s="9">
        <v>-1000</v>
      </c>
      <c r="P874" s="9">
        <v>1000</v>
      </c>
      <c r="Q874" s="13"/>
      <c r="R874" s="13"/>
      <c r="S874" s="13"/>
      <c r="T874" s="9" t="s">
        <v>3368</v>
      </c>
      <c r="U874" s="13"/>
      <c r="V874" s="9" t="s">
        <v>35</v>
      </c>
      <c r="W874" s="13"/>
      <c r="X874" s="9">
        <v>2</v>
      </c>
    </row>
    <row r="875" spans="1:24">
      <c r="A875" s="13"/>
      <c r="B875" s="9" t="s">
        <v>3788</v>
      </c>
      <c r="C875" s="9" t="str">
        <f>VLOOKUP(B875,[1]RXNS!$B:$C,1,)</f>
        <v>SERD_L</v>
      </c>
      <c r="D875" s="9" t="b">
        <f t="shared" si="52"/>
        <v>1</v>
      </c>
      <c r="E875" s="9" t="s">
        <v>3789</v>
      </c>
      <c r="F875" s="9" t="s">
        <v>3789</v>
      </c>
      <c r="G875" s="9" t="b">
        <f t="shared" si="53"/>
        <v>1</v>
      </c>
      <c r="H875" s="9" t="str">
        <f>VLOOKUP(B875,[1]RXNS!$B:$D,3,FALSE)</f>
        <v>L-Serine[c] =&gt; Ammonium[c] + Pyruvate[c]</v>
      </c>
      <c r="I875" s="9" t="s">
        <v>3790</v>
      </c>
      <c r="J875" s="9" t="s">
        <v>3791</v>
      </c>
      <c r="K875" s="9" t="s">
        <v>3790</v>
      </c>
      <c r="L875" s="9" t="b">
        <f t="shared" si="54"/>
        <v>1</v>
      </c>
      <c r="M875" s="9" t="b">
        <f t="shared" si="55"/>
        <v>1</v>
      </c>
      <c r="N875" s="13"/>
      <c r="O875" s="9">
        <v>0</v>
      </c>
      <c r="P875" s="9">
        <v>1000</v>
      </c>
      <c r="Q875" s="13"/>
      <c r="R875" s="13"/>
      <c r="S875" s="13"/>
      <c r="T875" s="9" t="s">
        <v>364</v>
      </c>
      <c r="U875" s="13"/>
      <c r="V875" s="9" t="s">
        <v>35</v>
      </c>
      <c r="W875" s="13"/>
      <c r="X875" s="9">
        <v>2</v>
      </c>
    </row>
    <row r="876" spans="1:24">
      <c r="A876" s="13"/>
      <c r="B876" s="9" t="s">
        <v>3792</v>
      </c>
      <c r="C876" s="9" t="str">
        <f>VLOOKUP(B876,[1]RXNS!$B:$C,1,)</f>
        <v>SERTRS</v>
      </c>
      <c r="D876" s="9" t="b">
        <f t="shared" si="52"/>
        <v>1</v>
      </c>
      <c r="E876" s="9" t="s">
        <v>3793</v>
      </c>
      <c r="F876" s="9" t="s">
        <v>3793</v>
      </c>
      <c r="G876" s="9" t="b">
        <f t="shared" si="53"/>
        <v>1</v>
      </c>
      <c r="H876" s="9" t="str">
        <f>VLOOKUP(B876,[1]RXNS!$B:$D,3,FALSE)</f>
        <v>ATP[c] + L-Serine[c] + tRNA(Ser)[c] =&gt; AMP[c] + Diphosphate[c] + L-Seryl-tRNA(Ser)[c]</v>
      </c>
      <c r="I876" s="9" t="s">
        <v>3794</v>
      </c>
      <c r="J876" s="9" t="s">
        <v>3795</v>
      </c>
      <c r="K876" s="9" t="s">
        <v>3794</v>
      </c>
      <c r="L876" s="9" t="b">
        <f t="shared" si="54"/>
        <v>1</v>
      </c>
      <c r="M876" s="9" t="b">
        <f t="shared" si="55"/>
        <v>1</v>
      </c>
      <c r="N876" s="9" t="s">
        <v>3796</v>
      </c>
      <c r="O876" s="9">
        <v>0</v>
      </c>
      <c r="P876" s="9">
        <v>1000</v>
      </c>
      <c r="Q876" s="13"/>
      <c r="R876" s="13"/>
      <c r="S876" s="13"/>
      <c r="T876" s="9" t="s">
        <v>278</v>
      </c>
      <c r="U876" s="13"/>
      <c r="V876" s="9" t="s">
        <v>30</v>
      </c>
      <c r="W876" s="13"/>
      <c r="X876" s="9">
        <v>2</v>
      </c>
    </row>
    <row r="877" spans="1:24">
      <c r="A877" s="13"/>
      <c r="B877" s="9" t="s">
        <v>3797</v>
      </c>
      <c r="C877" s="9" t="str">
        <f>VLOOKUP(B877,[1]RXNS!$B:$C,1,)</f>
        <v>SERt3</v>
      </c>
      <c r="D877" s="9" t="b">
        <f t="shared" si="52"/>
        <v>1</v>
      </c>
      <c r="E877" s="9" t="s">
        <v>3798</v>
      </c>
      <c r="F877" s="9" t="s">
        <v>3798</v>
      </c>
      <c r="G877" s="9" t="b">
        <f t="shared" si="53"/>
        <v>1</v>
      </c>
      <c r="H877" s="9" t="str">
        <f>VLOOKUP(B877,[1]RXNS!$B:$D,3,FALSE)</f>
        <v>H+[e] + L-Serine[c] =&gt; H+[c] + L-Serine[e]</v>
      </c>
      <c r="I877" s="9">
        <f>VLOOKUP(B877,[1]RXNS!$B:$E,4,FALSE)</f>
        <v>0</v>
      </c>
      <c r="J877" s="9" t="s">
        <v>3799</v>
      </c>
      <c r="K877" s="13"/>
      <c r="L877" s="9" t="b">
        <f t="shared" si="54"/>
        <v>1</v>
      </c>
      <c r="M877" s="9" t="b">
        <f t="shared" si="55"/>
        <v>0</v>
      </c>
      <c r="N877" s="9" t="s">
        <v>2397</v>
      </c>
      <c r="O877" s="9">
        <v>0</v>
      </c>
      <c r="P877" s="9">
        <v>1000</v>
      </c>
      <c r="Q877" s="13"/>
      <c r="R877" s="13"/>
      <c r="S877" s="13"/>
      <c r="T877" s="9" t="s">
        <v>146</v>
      </c>
      <c r="U877" s="13"/>
      <c r="V877" s="9" t="s">
        <v>30</v>
      </c>
      <c r="W877" s="13"/>
      <c r="X877" s="9">
        <v>2</v>
      </c>
    </row>
    <row r="878" spans="1:24">
      <c r="A878" s="13"/>
      <c r="B878" s="9" t="s">
        <v>3800</v>
      </c>
      <c r="C878" s="9" t="str">
        <f>VLOOKUP(B878,[1]RXNS!$B:$C,1,)</f>
        <v>SERt6</v>
      </c>
      <c r="D878" s="9" t="b">
        <f t="shared" si="52"/>
        <v>1</v>
      </c>
      <c r="E878" s="9" t="s">
        <v>3801</v>
      </c>
      <c r="F878" s="9" t="s">
        <v>3801</v>
      </c>
      <c r="G878" s="9" t="b">
        <f t="shared" si="53"/>
        <v>1</v>
      </c>
      <c r="H878" s="9" t="str">
        <f>VLOOKUP(B878,[1]RXNS!$B:$D,3,FALSE)</f>
        <v>H+[e] + L-Serine[e] &lt;=&gt; H+[c] + L-Serine[c]</v>
      </c>
      <c r="I878" s="9">
        <f>VLOOKUP(B878,[1]RXNS!$B:$E,4,FALSE)</f>
        <v>0</v>
      </c>
      <c r="J878" s="9" t="s">
        <v>3802</v>
      </c>
      <c r="K878" s="13"/>
      <c r="L878" s="9" t="b">
        <f t="shared" si="54"/>
        <v>1</v>
      </c>
      <c r="M878" s="9" t="b">
        <f t="shared" si="55"/>
        <v>0</v>
      </c>
      <c r="N878" s="9" t="s">
        <v>3803</v>
      </c>
      <c r="O878" s="9">
        <v>-1000</v>
      </c>
      <c r="P878" s="9">
        <v>1000</v>
      </c>
      <c r="Q878" s="13"/>
      <c r="R878" s="13"/>
      <c r="S878" s="13"/>
      <c r="T878" s="9" t="s">
        <v>146</v>
      </c>
      <c r="U878" s="13"/>
      <c r="V878" s="9" t="s">
        <v>30</v>
      </c>
      <c r="W878" s="13"/>
      <c r="X878" s="9">
        <v>2</v>
      </c>
    </row>
    <row r="879" spans="1:24">
      <c r="A879" s="13"/>
      <c r="B879" s="9" t="s">
        <v>3804</v>
      </c>
      <c r="C879" s="9" t="str">
        <f>VLOOKUP(B879,[1]RXNS!$B:$C,1,)</f>
        <v>SHCHD2</v>
      </c>
      <c r="D879" s="9" t="b">
        <f t="shared" si="52"/>
        <v>1</v>
      </c>
      <c r="E879" s="9" t="s">
        <v>3490</v>
      </c>
      <c r="F879" s="9" t="s">
        <v>3490</v>
      </c>
      <c r="G879" s="9" t="b">
        <f t="shared" si="53"/>
        <v>1</v>
      </c>
      <c r="H879" s="9" t="str">
        <f>VLOOKUP(B879,[1]RXNS!$B:$D,3,FALSE)</f>
        <v>Nicotinamide adenine dinucleotide[c] + Sirohydrochlorin[c] =&gt; H+[c] + Nicotinamide adenine dinucleotide - reduced[c] + Sirochlorin[c]</v>
      </c>
      <c r="I879" s="9" t="s">
        <v>3491</v>
      </c>
      <c r="J879" s="9" t="s">
        <v>3805</v>
      </c>
      <c r="K879" s="9" t="s">
        <v>3491</v>
      </c>
      <c r="L879" s="9" t="b">
        <f t="shared" si="54"/>
        <v>1</v>
      </c>
      <c r="M879" s="9" t="b">
        <f t="shared" si="55"/>
        <v>1</v>
      </c>
      <c r="N879" s="13"/>
      <c r="O879" s="9">
        <v>0</v>
      </c>
      <c r="P879" s="9">
        <v>1000</v>
      </c>
      <c r="Q879" s="13"/>
      <c r="R879" s="13"/>
      <c r="S879" s="13"/>
      <c r="T879" s="9" t="s">
        <v>29</v>
      </c>
      <c r="U879" s="13"/>
      <c r="V879" s="9" t="s">
        <v>35</v>
      </c>
      <c r="W879" s="13"/>
      <c r="X879" s="9">
        <v>2</v>
      </c>
    </row>
    <row r="880" spans="1:24">
      <c r="A880" s="13"/>
      <c r="B880" s="9" t="s">
        <v>3806</v>
      </c>
      <c r="C880" s="9" t="str">
        <f>VLOOKUP(B880,[1]RXNS!$B:$C,1,)</f>
        <v>SPMDabc</v>
      </c>
      <c r="D880" s="9" t="b">
        <f t="shared" si="52"/>
        <v>1</v>
      </c>
      <c r="E880" s="9" t="s">
        <v>3807</v>
      </c>
      <c r="F880" s="9" t="s">
        <v>3807</v>
      </c>
      <c r="G880" s="9" t="b">
        <f t="shared" si="53"/>
        <v>1</v>
      </c>
      <c r="H880" s="9" t="str">
        <f>VLOOKUP(B880,[1]RXNS!$B:$D,3,FALSE)</f>
        <v>ATP[c] + H2O[c] + Spermidine[e] =&gt; ADP[c] + H+[c] + Phosphate[c] + Spermidine[c]</v>
      </c>
      <c r="I880" s="9" t="s">
        <v>3254</v>
      </c>
      <c r="J880" s="9" t="s">
        <v>3808</v>
      </c>
      <c r="K880" s="9" t="s">
        <v>3254</v>
      </c>
      <c r="L880" s="9" t="b">
        <f t="shared" si="54"/>
        <v>1</v>
      </c>
      <c r="M880" s="9" t="b">
        <f t="shared" si="55"/>
        <v>1</v>
      </c>
      <c r="N880" s="9" t="s">
        <v>3256</v>
      </c>
      <c r="O880" s="9">
        <v>0</v>
      </c>
      <c r="P880" s="9">
        <v>1000</v>
      </c>
      <c r="Q880" s="13"/>
      <c r="R880" s="13"/>
      <c r="S880" s="9" t="s">
        <v>3809</v>
      </c>
      <c r="T880" s="9" t="s">
        <v>146</v>
      </c>
      <c r="U880" s="13"/>
      <c r="V880" s="9" t="s">
        <v>30</v>
      </c>
      <c r="W880" s="13"/>
      <c r="X880" s="9">
        <v>2</v>
      </c>
    </row>
    <row r="881" spans="1:24">
      <c r="A881" s="13"/>
      <c r="B881" s="9" t="s">
        <v>3810</v>
      </c>
      <c r="C881" s="9" t="str">
        <f>VLOOKUP(B881,[1]RXNS!$B:$C,1,)</f>
        <v>SRCHCOC</v>
      </c>
      <c r="D881" s="9" t="b">
        <f t="shared" si="52"/>
        <v>1</v>
      </c>
      <c r="E881" s="9" t="s">
        <v>3811</v>
      </c>
      <c r="F881" s="9" t="s">
        <v>3811</v>
      </c>
      <c r="G881" s="9" t="b">
        <f t="shared" si="53"/>
        <v>1</v>
      </c>
      <c r="H881" s="9" t="str">
        <f>VLOOKUP(B881,[1]RXNS!$B:$D,3,FALSE)</f>
        <v>Co2+[c] + Sirohydrochlorin[c] =&gt; cobalt-precorrin2[c] + 3 H+[c]</v>
      </c>
      <c r="I881" s="9" t="s">
        <v>3812</v>
      </c>
      <c r="J881" s="9" t="s">
        <v>3813</v>
      </c>
      <c r="K881" s="9" t="s">
        <v>3812</v>
      </c>
      <c r="L881" s="9" t="b">
        <f t="shared" si="54"/>
        <v>1</v>
      </c>
      <c r="M881" s="9" t="b">
        <f t="shared" si="55"/>
        <v>1</v>
      </c>
      <c r="N881" s="13"/>
      <c r="O881" s="9">
        <v>0</v>
      </c>
      <c r="P881" s="9">
        <v>1000</v>
      </c>
      <c r="Q881" s="13"/>
      <c r="R881" s="13"/>
      <c r="S881" s="13"/>
      <c r="T881" s="9" t="s">
        <v>85</v>
      </c>
      <c r="U881" s="13"/>
      <c r="V881" s="9" t="s">
        <v>35</v>
      </c>
      <c r="W881" s="13"/>
      <c r="X881" s="9">
        <v>2</v>
      </c>
    </row>
    <row r="882" spans="1:24">
      <c r="A882" s="13"/>
      <c r="B882" s="9" t="s">
        <v>3814</v>
      </c>
      <c r="C882" s="9" t="str">
        <f>VLOOKUP(B882,[1]RXNS!$B:$C,1,)</f>
        <v>SSALx</v>
      </c>
      <c r="D882" s="9" t="b">
        <f t="shared" si="52"/>
        <v>1</v>
      </c>
      <c r="E882" s="9" t="s">
        <v>3815</v>
      </c>
      <c r="F882" s="9" t="s">
        <v>3815</v>
      </c>
      <c r="G882" s="9" t="b">
        <f t="shared" si="53"/>
        <v>1</v>
      </c>
      <c r="H882" s="9" t="str">
        <f>VLOOKUP(B882,[1]RXNS!$B:$D,3,FALSE)</f>
        <v>H2O[c] + Nicotinamide adenine dinucleotide[c] + Succinic semialdehyde[c] =&gt; 2 H+[c] + Nicotinamide adenine dinucleotide - reduced[c] + Succinate[c]</v>
      </c>
      <c r="I882" s="9" t="s">
        <v>3816</v>
      </c>
      <c r="J882" s="9" t="s">
        <v>3817</v>
      </c>
      <c r="K882" s="9" t="s">
        <v>3816</v>
      </c>
      <c r="L882" s="9" t="b">
        <f t="shared" si="54"/>
        <v>1</v>
      </c>
      <c r="M882" s="9" t="b">
        <f t="shared" si="55"/>
        <v>1</v>
      </c>
      <c r="N882" s="9" t="s">
        <v>3818</v>
      </c>
      <c r="O882" s="9">
        <v>0</v>
      </c>
      <c r="P882" s="9">
        <v>1000</v>
      </c>
      <c r="Q882" s="13"/>
      <c r="R882" s="13"/>
      <c r="S882" s="9" t="s">
        <v>3819</v>
      </c>
      <c r="T882" s="9" t="s">
        <v>49</v>
      </c>
      <c r="U882" s="13"/>
      <c r="V882" s="9" t="s">
        <v>30</v>
      </c>
      <c r="W882" s="13"/>
      <c r="X882" s="9">
        <v>2</v>
      </c>
    </row>
    <row r="883" spans="1:24">
      <c r="A883" s="13"/>
      <c r="B883" s="9" t="s">
        <v>3820</v>
      </c>
      <c r="C883" s="9" t="str">
        <f>VLOOKUP(B883,[1]RXNS!$B:$C,1,)</f>
        <v>SSALy</v>
      </c>
      <c r="D883" s="9" t="b">
        <f t="shared" si="52"/>
        <v>1</v>
      </c>
      <c r="E883" s="9" t="s">
        <v>3821</v>
      </c>
      <c r="F883" s="9" t="s">
        <v>3821</v>
      </c>
      <c r="G883" s="9" t="b">
        <f t="shared" si="53"/>
        <v>1</v>
      </c>
      <c r="H883" s="9" t="str">
        <f>VLOOKUP(B883,[1]RXNS!$B:$D,3,FALSE)</f>
        <v>H2O[c] + Nicotinamide adenine dinucleotide phosphate[c] + Succinic semialdehyde[c] =&gt; 2 H+[c] + Nicotinamide adenine dinucleotide phosphate - reduced[c] + Succinate[c]</v>
      </c>
      <c r="I883" s="9" t="s">
        <v>3822</v>
      </c>
      <c r="J883" s="9" t="s">
        <v>3823</v>
      </c>
      <c r="K883" s="9" t="s">
        <v>3822</v>
      </c>
      <c r="L883" s="9" t="b">
        <f t="shared" si="54"/>
        <v>1</v>
      </c>
      <c r="M883" s="9" t="b">
        <f t="shared" si="55"/>
        <v>1</v>
      </c>
      <c r="N883" s="9" t="s">
        <v>3818</v>
      </c>
      <c r="O883" s="9">
        <v>0</v>
      </c>
      <c r="P883" s="9">
        <v>1000</v>
      </c>
      <c r="Q883" s="13"/>
      <c r="R883" s="13"/>
      <c r="S883" s="9" t="s">
        <v>3824</v>
      </c>
      <c r="T883" s="9" t="s">
        <v>49</v>
      </c>
      <c r="U883" s="13"/>
      <c r="V883" s="9" t="s">
        <v>30</v>
      </c>
      <c r="W883" s="13"/>
      <c r="X883" s="9">
        <v>2</v>
      </c>
    </row>
    <row r="884" spans="1:24">
      <c r="A884" s="13"/>
      <c r="B884" s="9" t="s">
        <v>3825</v>
      </c>
      <c r="C884" s="9" t="str">
        <f>VLOOKUP(B884,[1]RXNS!$B:$C,1,)</f>
        <v>SUCBZL</v>
      </c>
      <c r="D884" s="9" t="b">
        <f t="shared" si="52"/>
        <v>1</v>
      </c>
      <c r="E884" s="9" t="s">
        <v>3826</v>
      </c>
      <c r="F884" s="9" t="s">
        <v>3826</v>
      </c>
      <c r="G884" s="9" t="b">
        <f t="shared" si="53"/>
        <v>1</v>
      </c>
      <c r="H884" s="9" t="str">
        <f>VLOOKUP(B884,[1]RXNS!$B:$D,3,FALSE)</f>
        <v>ATP[c] + Coenzyme A[c] + o-Succinylbenzoate[c] =&gt; AMP[c] + Diphosphate[c] + O-Succinylbenzoyl-CoA[c]</v>
      </c>
      <c r="I884" s="9" t="s">
        <v>3827</v>
      </c>
      <c r="J884" s="9" t="s">
        <v>3828</v>
      </c>
      <c r="K884" s="9" t="s">
        <v>3827</v>
      </c>
      <c r="L884" s="9" t="b">
        <f t="shared" si="54"/>
        <v>1</v>
      </c>
      <c r="M884" s="9" t="b">
        <f t="shared" si="55"/>
        <v>1</v>
      </c>
      <c r="N884" s="9" t="s">
        <v>3829</v>
      </c>
      <c r="O884" s="9">
        <v>0</v>
      </c>
      <c r="P884" s="9">
        <v>1000</v>
      </c>
      <c r="Q884" s="13"/>
      <c r="R884" s="13"/>
      <c r="S884" s="9" t="s">
        <v>3830</v>
      </c>
      <c r="T884" s="9" t="s">
        <v>355</v>
      </c>
      <c r="U884" s="13"/>
      <c r="V884" s="9" t="s">
        <v>30</v>
      </c>
      <c r="W884" s="13"/>
      <c r="X884" s="9">
        <v>2</v>
      </c>
    </row>
    <row r="885" spans="1:24">
      <c r="A885" s="13"/>
      <c r="B885" s="9" t="s">
        <v>3831</v>
      </c>
      <c r="C885" s="9" t="str">
        <f>VLOOKUP(B885,[1]RXNS!$B:$C,1,)</f>
        <v>SUCH</v>
      </c>
      <c r="D885" s="9" t="b">
        <f t="shared" si="52"/>
        <v>1</v>
      </c>
      <c r="E885" s="9" t="s">
        <v>3832</v>
      </c>
      <c r="F885" s="9" t="s">
        <v>3832</v>
      </c>
      <c r="G885" s="9" t="b">
        <f t="shared" si="53"/>
        <v>1</v>
      </c>
      <c r="H885" s="9" t="str">
        <f>VLOOKUP(B885,[1]RXNS!$B:$D,3,FALSE)</f>
        <v>H2O[c] + Sucrose[c] =&gt; D-Fructose[c] + D-Glucose[c]</v>
      </c>
      <c r="I885" s="9" t="s">
        <v>3833</v>
      </c>
      <c r="J885" s="9" t="s">
        <v>3834</v>
      </c>
      <c r="K885" s="9" t="s">
        <v>3833</v>
      </c>
      <c r="L885" s="9" t="b">
        <f t="shared" si="54"/>
        <v>1</v>
      </c>
      <c r="M885" s="9" t="b">
        <f t="shared" si="55"/>
        <v>1</v>
      </c>
      <c r="N885" s="13"/>
      <c r="O885" s="9">
        <v>0</v>
      </c>
      <c r="P885" s="9">
        <v>1000</v>
      </c>
      <c r="Q885" s="13"/>
      <c r="R885" s="13"/>
      <c r="S885" s="13"/>
      <c r="T885" s="9" t="s">
        <v>1310</v>
      </c>
      <c r="U885" s="13"/>
      <c r="V885" s="9" t="s">
        <v>35</v>
      </c>
      <c r="W885" s="13"/>
      <c r="X885" s="9">
        <v>2</v>
      </c>
    </row>
    <row r="886" spans="1:24">
      <c r="A886" s="13"/>
      <c r="B886" s="9" t="s">
        <v>3835</v>
      </c>
      <c r="C886" s="9" t="str">
        <f>VLOOKUP(B886,[1]RXNS!$B:$C,1,)</f>
        <v>SUCtpp</v>
      </c>
      <c r="D886" s="9" t="b">
        <f t="shared" si="52"/>
        <v>1</v>
      </c>
      <c r="E886" s="9" t="s">
        <v>3836</v>
      </c>
      <c r="F886" s="9" t="s">
        <v>3836</v>
      </c>
      <c r="G886" s="9" t="b">
        <f t="shared" si="53"/>
        <v>1</v>
      </c>
      <c r="H886" s="9" t="str">
        <f>VLOOKUP(B886,[1]RXNS!$B:$D,3,FALSE)</f>
        <v>Sucrose[e] &lt;=&gt; Sucrose[c]</v>
      </c>
      <c r="I886" s="9">
        <f>VLOOKUP(B886,[1]RXNS!$B:$E,4,FALSE)</f>
        <v>0</v>
      </c>
      <c r="J886" s="9" t="s">
        <v>3837</v>
      </c>
      <c r="K886" s="13"/>
      <c r="L886" s="9" t="b">
        <f t="shared" si="54"/>
        <v>1</v>
      </c>
      <c r="M886" s="9" t="b">
        <f t="shared" si="55"/>
        <v>0</v>
      </c>
      <c r="N886" s="13"/>
      <c r="O886" s="9">
        <v>-1000</v>
      </c>
      <c r="P886" s="9">
        <v>1000</v>
      </c>
      <c r="Q886" s="13"/>
      <c r="R886" s="13"/>
      <c r="S886" s="13"/>
      <c r="T886" s="9" t="s">
        <v>146</v>
      </c>
      <c r="U886" s="13"/>
      <c r="V886" s="9" t="s">
        <v>35</v>
      </c>
      <c r="W886" s="13"/>
      <c r="X886" s="9">
        <v>2</v>
      </c>
    </row>
    <row r="887" spans="1:24">
      <c r="A887" s="13"/>
      <c r="B887" s="9" t="s">
        <v>3838</v>
      </c>
      <c r="C887" s="9" t="str">
        <f>VLOOKUP(B887,[1]RXNS!$B:$C,1,)</f>
        <v>SULABC</v>
      </c>
      <c r="D887" s="9" t="b">
        <f t="shared" si="52"/>
        <v>1</v>
      </c>
      <c r="E887" s="9" t="s">
        <v>3839</v>
      </c>
      <c r="F887" s="9" t="s">
        <v>3839</v>
      </c>
      <c r="G887" s="9" t="b">
        <f t="shared" si="53"/>
        <v>1</v>
      </c>
      <c r="H887" s="9" t="str">
        <f>VLOOKUP(B887,[1]RXNS!$B:$D,3,FALSE)</f>
        <v>ATP[c] + H2O[c] + Sulfate[e] =&gt; ADP[c] + H+[c] + Phosphate[c] + Sulfate[c]</v>
      </c>
      <c r="I887" s="9">
        <f>VLOOKUP(B887,[1]RXNS!$B:$E,4,FALSE)</f>
        <v>0</v>
      </c>
      <c r="J887" s="9" t="s">
        <v>3840</v>
      </c>
      <c r="K887" s="13"/>
      <c r="L887" s="9" t="b">
        <f t="shared" si="54"/>
        <v>1</v>
      </c>
      <c r="M887" s="9" t="b">
        <f t="shared" si="55"/>
        <v>0</v>
      </c>
      <c r="N887" s="9" t="s">
        <v>3841</v>
      </c>
      <c r="O887" s="9">
        <v>0</v>
      </c>
      <c r="P887" s="9">
        <v>1000</v>
      </c>
      <c r="Q887" s="13"/>
      <c r="R887" s="13"/>
      <c r="S887" s="13"/>
      <c r="T887" s="9" t="s">
        <v>146</v>
      </c>
      <c r="U887" s="13"/>
      <c r="V887" s="9" t="s">
        <v>30</v>
      </c>
      <c r="W887" s="13"/>
      <c r="X887" s="9">
        <v>2</v>
      </c>
    </row>
    <row r="888" spans="1:24">
      <c r="A888" s="13"/>
      <c r="B888" s="9" t="s">
        <v>3842</v>
      </c>
      <c r="C888" s="9" t="str">
        <f>VLOOKUP(B888,[1]RXNS!$B:$C,1,)</f>
        <v>SULR</v>
      </c>
      <c r="D888" s="9" t="b">
        <f t="shared" si="52"/>
        <v>1</v>
      </c>
      <c r="E888" s="9" t="s">
        <v>3843</v>
      </c>
      <c r="F888" s="9" t="s">
        <v>3843</v>
      </c>
      <c r="G888" s="9" t="b">
        <f t="shared" si="53"/>
        <v>1</v>
      </c>
      <c r="H888" s="9" t="str">
        <f>VLOOKUP(B888,[1]RXNS!$B:$D,3,FALSE)</f>
        <v>5 H+[c] + 3 Nicotinamide adenine dinucleotide phosphate - reduced[c] + Sulfite[c] =&gt; 3 H2O[c] + Hydrogen sulfide[c] + 3 Nicotinamide adenine dinucleotide phosphate[c]</v>
      </c>
      <c r="I888" s="9" t="s">
        <v>3844</v>
      </c>
      <c r="J888" s="9" t="s">
        <v>3845</v>
      </c>
      <c r="K888" s="9" t="s">
        <v>3844</v>
      </c>
      <c r="L888" s="9" t="b">
        <f t="shared" si="54"/>
        <v>1</v>
      </c>
      <c r="M888" s="9" t="b">
        <f t="shared" si="55"/>
        <v>1</v>
      </c>
      <c r="N888" s="9" t="s">
        <v>3846</v>
      </c>
      <c r="O888" s="9">
        <v>0</v>
      </c>
      <c r="P888" s="9">
        <v>1000</v>
      </c>
      <c r="Q888" s="13"/>
      <c r="R888" s="13"/>
      <c r="S888" s="9" t="s">
        <v>3847</v>
      </c>
      <c r="T888" s="9" t="s">
        <v>679</v>
      </c>
      <c r="U888" s="13"/>
      <c r="V888" s="9" t="s">
        <v>30</v>
      </c>
      <c r="W888" s="13"/>
      <c r="X888" s="9">
        <v>2</v>
      </c>
    </row>
    <row r="889" spans="1:24">
      <c r="A889" s="13"/>
      <c r="B889" s="9" t="s">
        <v>3848</v>
      </c>
      <c r="C889" s="9" t="str">
        <f>VLOOKUP(B889,[1]RXNS!$B:$C,1,)</f>
        <v>TDMAT6</v>
      </c>
      <c r="D889" s="9" t="b">
        <f t="shared" si="52"/>
        <v>1</v>
      </c>
      <c r="E889" s="9" t="s">
        <v>3849</v>
      </c>
      <c r="F889" s="9" t="s">
        <v>3849</v>
      </c>
      <c r="G889" s="9" t="b">
        <f t="shared" si="53"/>
        <v>1</v>
      </c>
      <c r="H889" s="9" t="str">
        <f>VLOOKUP(B889,[1]RXNS!$B:$D,3,FALSE)</f>
        <v>trans-Tetradec-2-enoyl-[acyl-carrier protein][c] + H+[c] + Nicotinamide adenine dinucleotide - reduced[c] =&gt; Nicotinamide adenine dinucleotide[c] + Tetradecanoyl-[acyl-carrier protein][c]</v>
      </c>
      <c r="I889" s="9" t="s">
        <v>798</v>
      </c>
      <c r="J889" s="9" t="s">
        <v>3850</v>
      </c>
      <c r="K889" s="9" t="s">
        <v>798</v>
      </c>
      <c r="L889" s="9" t="b">
        <f t="shared" si="54"/>
        <v>1</v>
      </c>
      <c r="M889" s="9" t="b">
        <f t="shared" si="55"/>
        <v>1</v>
      </c>
      <c r="N889" s="9" t="s">
        <v>539</v>
      </c>
      <c r="O889" s="9">
        <v>0</v>
      </c>
      <c r="P889" s="9">
        <v>1000</v>
      </c>
      <c r="Q889" s="13"/>
      <c r="R889" s="13"/>
      <c r="S889" s="9" t="s">
        <v>3851</v>
      </c>
      <c r="T889" s="9" t="s">
        <v>34</v>
      </c>
      <c r="U889" s="13"/>
      <c r="V889" s="9" t="s">
        <v>30</v>
      </c>
      <c r="W889" s="13"/>
      <c r="X889" s="9">
        <v>2</v>
      </c>
    </row>
    <row r="890" spans="1:24">
      <c r="A890" s="13"/>
      <c r="B890" s="9" t="s">
        <v>3852</v>
      </c>
      <c r="C890" s="9" t="str">
        <f>VLOOKUP(B890,[1]RXNS!$B:$C,1,)</f>
        <v>TDPDRE</v>
      </c>
      <c r="D890" s="9" t="b">
        <f t="shared" si="52"/>
        <v>1</v>
      </c>
      <c r="E890" s="9" t="s">
        <v>3853</v>
      </c>
      <c r="F890" s="9" t="s">
        <v>3853</v>
      </c>
      <c r="G890" s="9" t="b">
        <f t="shared" si="53"/>
        <v>1</v>
      </c>
      <c r="H890" s="9" t="str">
        <f>VLOOKUP(B890,[1]RXNS!$B:$D,3,FALSE)</f>
        <v>dTDP-4-dehydro-6-deoxy-D-glucose[c] =&gt; dTDP-4-dehydro-6-deoxy-L-mannose[c]</v>
      </c>
      <c r="I890" s="9" t="s">
        <v>3854</v>
      </c>
      <c r="J890" s="9" t="s">
        <v>3855</v>
      </c>
      <c r="K890" s="9" t="s">
        <v>3854</v>
      </c>
      <c r="L890" s="9" t="b">
        <f t="shared" si="54"/>
        <v>1</v>
      </c>
      <c r="M890" s="9" t="b">
        <f t="shared" si="55"/>
        <v>1</v>
      </c>
      <c r="N890" s="9" t="s">
        <v>3856</v>
      </c>
      <c r="O890" s="9">
        <v>0</v>
      </c>
      <c r="P890" s="9">
        <v>1000</v>
      </c>
      <c r="Q890" s="13"/>
      <c r="R890" s="13"/>
      <c r="S890" s="13"/>
      <c r="T890" s="9" t="s">
        <v>1317</v>
      </c>
      <c r="U890" s="13"/>
      <c r="V890" s="9" t="s">
        <v>30</v>
      </c>
      <c r="W890" s="13"/>
      <c r="X890" s="9">
        <v>2</v>
      </c>
    </row>
    <row r="891" spans="1:24">
      <c r="A891" s="13"/>
      <c r="B891" s="9" t="s">
        <v>3857</v>
      </c>
      <c r="C891" s="9" t="str">
        <f>VLOOKUP(B891,[1]RXNS!$B:$C,1,)</f>
        <v>TDPDRR</v>
      </c>
      <c r="D891" s="9" t="b">
        <f t="shared" si="52"/>
        <v>1</v>
      </c>
      <c r="E891" s="9" t="s">
        <v>3858</v>
      </c>
      <c r="F891" s="9" t="s">
        <v>3858</v>
      </c>
      <c r="G891" s="9" t="b">
        <f t="shared" si="53"/>
        <v>1</v>
      </c>
      <c r="H891" s="9" t="str">
        <f>VLOOKUP(B891,[1]RXNS!$B:$D,3,FALSE)</f>
        <v>dTDP-6-deoxy-L-mannose[c] + Nicotinamide adenine dinucleotide phosphate[c] &lt;=&gt; dTDP-4-dehydro-6-deoxy-L-mannose[c] + H+[c] + Nicotinamide adenine dinucleotide phosphate - reduced[c]</v>
      </c>
      <c r="I891" s="9" t="s">
        <v>3859</v>
      </c>
      <c r="J891" s="9" t="s">
        <v>3860</v>
      </c>
      <c r="K891" s="9" t="s">
        <v>3859</v>
      </c>
      <c r="L891" s="9" t="b">
        <f t="shared" si="54"/>
        <v>1</v>
      </c>
      <c r="M891" s="9" t="b">
        <f t="shared" si="55"/>
        <v>1</v>
      </c>
      <c r="N891" s="9" t="s">
        <v>3861</v>
      </c>
      <c r="O891" s="9">
        <v>-1000</v>
      </c>
      <c r="P891" s="9">
        <v>1000</v>
      </c>
      <c r="Q891" s="13"/>
      <c r="R891" s="13"/>
      <c r="S891" s="9" t="s">
        <v>3862</v>
      </c>
      <c r="T891" s="9" t="s">
        <v>1317</v>
      </c>
      <c r="U891" s="13"/>
      <c r="V891" s="9" t="s">
        <v>30</v>
      </c>
      <c r="W891" s="13"/>
      <c r="X891" s="9">
        <v>2</v>
      </c>
    </row>
    <row r="892" spans="1:24">
      <c r="A892" s="13"/>
      <c r="B892" s="9" t="s">
        <v>3863</v>
      </c>
      <c r="C892" s="9" t="str">
        <f>VLOOKUP(B892,[1]RXNS!$B:$C,1,)</f>
        <v>TDPGDH</v>
      </c>
      <c r="D892" s="9" t="b">
        <f t="shared" si="52"/>
        <v>1</v>
      </c>
      <c r="E892" s="9" t="s">
        <v>3864</v>
      </c>
      <c r="F892" s="9" t="s">
        <v>3864</v>
      </c>
      <c r="G892" s="9" t="b">
        <f t="shared" si="53"/>
        <v>1</v>
      </c>
      <c r="H892" s="9" t="str">
        <f>VLOOKUP(B892,[1]RXNS!$B:$D,3,FALSE)</f>
        <v>dTDPglucose[c] =&gt; dTDP-4-dehydro-6-deoxy-D-glucose[c] + H2O[c]</v>
      </c>
      <c r="I892" s="9" t="s">
        <v>3865</v>
      </c>
      <c r="J892" s="9" t="s">
        <v>3866</v>
      </c>
      <c r="K892" s="9" t="s">
        <v>3865</v>
      </c>
      <c r="L892" s="9" t="b">
        <f t="shared" si="54"/>
        <v>1</v>
      </c>
      <c r="M892" s="9" t="b">
        <f t="shared" si="55"/>
        <v>1</v>
      </c>
      <c r="N892" s="9" t="s">
        <v>3867</v>
      </c>
      <c r="O892" s="9">
        <v>0</v>
      </c>
      <c r="P892" s="9">
        <v>1000</v>
      </c>
      <c r="Q892" s="13"/>
      <c r="R892" s="13"/>
      <c r="S892" s="9" t="s">
        <v>3868</v>
      </c>
      <c r="T892" s="9" t="s">
        <v>1317</v>
      </c>
      <c r="U892" s="13"/>
      <c r="V892" s="9" t="s">
        <v>30</v>
      </c>
      <c r="W892" s="13"/>
      <c r="X892" s="9">
        <v>2</v>
      </c>
    </row>
    <row r="893" spans="1:24">
      <c r="A893" s="13"/>
      <c r="B893" s="9" t="s">
        <v>3869</v>
      </c>
      <c r="C893" s="9" t="str">
        <f>VLOOKUP(B893,[1]RXNS!$B:$C,1,)</f>
        <v>THDPS</v>
      </c>
      <c r="D893" s="9" t="b">
        <f t="shared" si="52"/>
        <v>1</v>
      </c>
      <c r="E893" s="9" t="s">
        <v>3870</v>
      </c>
      <c r="F893" s="9" t="s">
        <v>3870</v>
      </c>
      <c r="G893" s="9" t="b">
        <f t="shared" si="53"/>
        <v>1</v>
      </c>
      <c r="H893" s="9" t="str">
        <f>VLOOKUP(B893,[1]RXNS!$B:$D,3,FALSE)</f>
        <v>H2O[c] + Succinyl-CoA[c] + 2,3,4,5-Tetrahydrodipicolinate[c] =&gt; Coenzyme A[c] + N-Succinyl-2-L-amino-6-oxoheptanedioate[c]</v>
      </c>
      <c r="I893" s="9" t="s">
        <v>3871</v>
      </c>
      <c r="J893" s="9" t="s">
        <v>3872</v>
      </c>
      <c r="K893" s="9" t="s">
        <v>3871</v>
      </c>
      <c r="L893" s="9" t="b">
        <f t="shared" si="54"/>
        <v>1</v>
      </c>
      <c r="M893" s="9" t="b">
        <f t="shared" si="55"/>
        <v>1</v>
      </c>
      <c r="N893" s="9" t="s">
        <v>375</v>
      </c>
      <c r="O893" s="9">
        <v>0</v>
      </c>
      <c r="P893" s="9">
        <v>1000</v>
      </c>
      <c r="Q893" s="13"/>
      <c r="R893" s="13"/>
      <c r="S893" s="9" t="s">
        <v>3873</v>
      </c>
      <c r="T893" s="9" t="s">
        <v>188</v>
      </c>
      <c r="U893" s="13"/>
      <c r="V893" s="9" t="s">
        <v>30</v>
      </c>
      <c r="W893" s="13"/>
      <c r="X893" s="9">
        <v>2</v>
      </c>
    </row>
    <row r="894" spans="1:24">
      <c r="A894" s="13"/>
      <c r="B894" s="9" t="s">
        <v>3874</v>
      </c>
      <c r="C894" s="9" t="str">
        <f>VLOOKUP(B894,[1]RXNS!$B:$C,1,)</f>
        <v>THFGLUS</v>
      </c>
      <c r="D894" s="9" t="b">
        <f t="shared" si="52"/>
        <v>1</v>
      </c>
      <c r="E894" s="9" t="s">
        <v>3875</v>
      </c>
      <c r="F894" s="9" t="s">
        <v>3875</v>
      </c>
      <c r="G894" s="9" t="b">
        <f t="shared" si="53"/>
        <v>1</v>
      </c>
      <c r="H894" s="9" t="str">
        <f>VLOOKUP(B894,[1]RXNS!$B:$D,3,FALSE)</f>
        <v>ATP[c] + L-Glutamate[c] + 5,6,7,8-Tetrahydrofolate[c] &lt;=&gt; ADP[c] + H+[c] + Phosphate[c] + Tetrahydrofolyl-[Glu](2)[c]</v>
      </c>
      <c r="I894" s="9" t="s">
        <v>3876</v>
      </c>
      <c r="J894" s="9" t="s">
        <v>3877</v>
      </c>
      <c r="K894" s="9" t="s">
        <v>3876</v>
      </c>
      <c r="L894" s="9" t="b">
        <f t="shared" si="54"/>
        <v>1</v>
      </c>
      <c r="M894" s="9" t="b">
        <f t="shared" si="55"/>
        <v>1</v>
      </c>
      <c r="N894" s="9" t="s">
        <v>838</v>
      </c>
      <c r="O894" s="9">
        <v>-1000</v>
      </c>
      <c r="P894" s="9">
        <v>1000</v>
      </c>
      <c r="Q894" s="13"/>
      <c r="R894" s="13"/>
      <c r="S894" s="9" t="s">
        <v>3878</v>
      </c>
      <c r="T894" s="9" t="s">
        <v>1246</v>
      </c>
      <c r="U894" s="13"/>
      <c r="V894" s="9" t="s">
        <v>30</v>
      </c>
      <c r="W894" s="13"/>
      <c r="X894" s="9">
        <v>2</v>
      </c>
    </row>
    <row r="895" spans="1:24">
      <c r="A895" s="13"/>
      <c r="B895" s="9" t="s">
        <v>3879</v>
      </c>
      <c r="C895" s="9" t="str">
        <f>VLOOKUP(B895,[1]RXNS!$B:$C,1,)</f>
        <v>THMabc</v>
      </c>
      <c r="D895" s="9" t="b">
        <f t="shared" si="52"/>
        <v>1</v>
      </c>
      <c r="E895" s="9" t="s">
        <v>3880</v>
      </c>
      <c r="F895" s="9" t="s">
        <v>3880</v>
      </c>
      <c r="G895" s="9" t="b">
        <f t="shared" si="53"/>
        <v>1</v>
      </c>
      <c r="H895" s="9" t="str">
        <f>VLOOKUP(B895,[1]RXNS!$B:$D,3,FALSE)</f>
        <v>ATP[c] + H2O[c] + Thiamin[e] =&gt; ADP[c] + H+[c] + Phosphate[c] + Thiamin[c]</v>
      </c>
      <c r="I895" s="9">
        <f>VLOOKUP(B895,[1]RXNS!$B:$E,4,FALSE)</f>
        <v>0</v>
      </c>
      <c r="J895" s="9" t="s">
        <v>3881</v>
      </c>
      <c r="K895" s="13"/>
      <c r="L895" s="9" t="b">
        <f t="shared" si="54"/>
        <v>1</v>
      </c>
      <c r="M895" s="9" t="b">
        <f t="shared" si="55"/>
        <v>0</v>
      </c>
      <c r="N895" s="13"/>
      <c r="O895" s="9">
        <v>0</v>
      </c>
      <c r="P895" s="9">
        <v>1000</v>
      </c>
      <c r="Q895" s="13"/>
      <c r="R895" s="13"/>
      <c r="S895" s="13"/>
      <c r="T895" s="9" t="s">
        <v>146</v>
      </c>
      <c r="U895" s="13"/>
      <c r="V895" s="9" t="s">
        <v>35</v>
      </c>
      <c r="W895" s="13"/>
      <c r="X895" s="9">
        <v>2</v>
      </c>
    </row>
    <row r="896" spans="1:24">
      <c r="A896" s="13"/>
      <c r="B896" s="9" t="s">
        <v>3882</v>
      </c>
      <c r="C896" s="9" t="str">
        <f>VLOOKUP(B896,[1]RXNS!$B:$C,1,)</f>
        <v>THRD</v>
      </c>
      <c r="D896" s="9" t="b">
        <f t="shared" si="52"/>
        <v>1</v>
      </c>
      <c r="E896" s="9" t="s">
        <v>3883</v>
      </c>
      <c r="F896" s="9" t="s">
        <v>3883</v>
      </c>
      <c r="G896" s="9" t="b">
        <f t="shared" si="53"/>
        <v>1</v>
      </c>
      <c r="H896" s="9" t="str">
        <f>VLOOKUP(B896,[1]RXNS!$B:$D,3,FALSE)</f>
        <v>Nicotinamide adenine dinucleotide[c] + L-Threonine[c] =&gt; L-2-Amino-3-oxobutanoate[c] + H+[c] + Nicotinamide adenine dinucleotide - reduced[c]</v>
      </c>
      <c r="I896" s="9" t="s">
        <v>3884</v>
      </c>
      <c r="J896" s="9" t="s">
        <v>3885</v>
      </c>
      <c r="K896" s="9" t="s">
        <v>3884</v>
      </c>
      <c r="L896" s="9" t="b">
        <f t="shared" si="54"/>
        <v>1</v>
      </c>
      <c r="M896" s="9" t="b">
        <f t="shared" si="55"/>
        <v>1</v>
      </c>
      <c r="N896" s="13"/>
      <c r="O896" s="9">
        <v>0</v>
      </c>
      <c r="P896" s="9">
        <v>1000</v>
      </c>
      <c r="Q896" s="13"/>
      <c r="R896" s="13"/>
      <c r="S896" s="13"/>
      <c r="T896" s="9" t="s">
        <v>364</v>
      </c>
      <c r="U896" s="13"/>
      <c r="V896" s="9" t="s">
        <v>35</v>
      </c>
      <c r="W896" s="13"/>
      <c r="X896" s="9">
        <v>2</v>
      </c>
    </row>
    <row r="897" spans="1:24">
      <c r="A897" s="13"/>
      <c r="B897" s="9" t="s">
        <v>3886</v>
      </c>
      <c r="C897" s="9" t="str">
        <f>VLOOKUP(B897,[1]RXNS!$B:$C,1,)</f>
        <v>THRPDC</v>
      </c>
      <c r="D897" s="9" t="b">
        <f t="shared" si="52"/>
        <v>1</v>
      </c>
      <c r="E897" s="9" t="s">
        <v>3887</v>
      </c>
      <c r="F897" s="9" t="s">
        <v>3887</v>
      </c>
      <c r="G897" s="9" t="b">
        <f t="shared" si="53"/>
        <v>1</v>
      </c>
      <c r="H897" s="9" t="str">
        <f>VLOOKUP(B897,[1]RXNS!$B:$D,3,FALSE)</f>
        <v>H+[c] + L-Threonine phosphate[c] =&gt; D-1-Aminopropan-2-ol O-phosphate[c] + CO2[c]</v>
      </c>
      <c r="I897" s="9" t="s">
        <v>3888</v>
      </c>
      <c r="J897" s="9" t="s">
        <v>3889</v>
      </c>
      <c r="K897" s="9" t="s">
        <v>3888</v>
      </c>
      <c r="L897" s="9" t="b">
        <f t="shared" si="54"/>
        <v>1</v>
      </c>
      <c r="M897" s="9" t="b">
        <f t="shared" si="55"/>
        <v>1</v>
      </c>
      <c r="N897" s="13"/>
      <c r="O897" s="9">
        <v>0</v>
      </c>
      <c r="P897" s="9">
        <v>1000</v>
      </c>
      <c r="Q897" s="13"/>
      <c r="R897" s="13"/>
      <c r="S897" s="13"/>
      <c r="T897" s="9" t="s">
        <v>85</v>
      </c>
      <c r="U897" s="13"/>
      <c r="V897" s="9" t="s">
        <v>35</v>
      </c>
      <c r="W897" s="13"/>
      <c r="X897" s="9">
        <v>2</v>
      </c>
    </row>
    <row r="898" spans="1:24">
      <c r="A898" s="13"/>
      <c r="B898" s="9" t="s">
        <v>3890</v>
      </c>
      <c r="C898" s="9" t="str">
        <f>VLOOKUP(B898,[1]RXNS!$B:$C,1,)</f>
        <v>THRTRS</v>
      </c>
      <c r="D898" s="9" t="b">
        <f t="shared" ref="D898:D954" si="56">EXACT(B898,C898)</f>
        <v>1</v>
      </c>
      <c r="E898" s="9" t="s">
        <v>3891</v>
      </c>
      <c r="F898" s="9" t="s">
        <v>3891</v>
      </c>
      <c r="G898" s="9" t="b">
        <f t="shared" ref="G898:G954" si="57">EXACT(E898,F898)</f>
        <v>1</v>
      </c>
      <c r="H898" s="9" t="str">
        <f>VLOOKUP(B898,[1]RXNS!$B:$D,3,FALSE)</f>
        <v>ATP[c] + L-Threonine[c] + tRNA(Thr)[c] =&gt; AMP[c] + Diphosphate[c] + L-Threonyl-tRNA(Thr)[c]</v>
      </c>
      <c r="I898" s="9" t="s">
        <v>3892</v>
      </c>
      <c r="J898" s="9" t="s">
        <v>3893</v>
      </c>
      <c r="K898" s="9" t="s">
        <v>3892</v>
      </c>
      <c r="L898" s="9" t="b">
        <f t="shared" ref="L898:L954" si="58">EXACT(H898,J898)</f>
        <v>1</v>
      </c>
      <c r="M898" s="9" t="b">
        <f t="shared" ref="M898:M954" si="59">EXACT(I898,K898)</f>
        <v>1</v>
      </c>
      <c r="N898" s="9" t="s">
        <v>3894</v>
      </c>
      <c r="O898" s="9">
        <v>0</v>
      </c>
      <c r="P898" s="9">
        <v>1000</v>
      </c>
      <c r="Q898" s="13"/>
      <c r="R898" s="13"/>
      <c r="S898" s="13"/>
      <c r="T898" s="9" t="s">
        <v>278</v>
      </c>
      <c r="U898" s="13"/>
      <c r="V898" s="9" t="s">
        <v>30</v>
      </c>
      <c r="W898" s="13"/>
      <c r="X898" s="9">
        <v>2</v>
      </c>
    </row>
    <row r="899" spans="1:24">
      <c r="A899" s="13"/>
      <c r="B899" s="9" t="s">
        <v>3895</v>
      </c>
      <c r="C899" s="9" t="str">
        <f>VLOOKUP(B899,[1]RXNS!$B:$C,1,)</f>
        <v>THRt3</v>
      </c>
      <c r="D899" s="9" t="b">
        <f t="shared" si="56"/>
        <v>1</v>
      </c>
      <c r="E899" s="9" t="s">
        <v>3896</v>
      </c>
      <c r="F899" s="9" t="s">
        <v>3896</v>
      </c>
      <c r="G899" s="9" t="b">
        <f t="shared" si="57"/>
        <v>1</v>
      </c>
      <c r="H899" s="9" t="str">
        <f>VLOOKUP(B899,[1]RXNS!$B:$D,3,FALSE)</f>
        <v>H+[e] + L-Threonine[c] =&gt; H+[c] + L-Threonine[e]</v>
      </c>
      <c r="I899" s="9">
        <f>VLOOKUP(B899,[1]RXNS!$B:$E,4,FALSE)</f>
        <v>0</v>
      </c>
      <c r="J899" s="9" t="s">
        <v>3897</v>
      </c>
      <c r="K899" s="13"/>
      <c r="L899" s="9" t="b">
        <f t="shared" si="58"/>
        <v>1</v>
      </c>
      <c r="M899" s="9" t="b">
        <f t="shared" si="59"/>
        <v>0</v>
      </c>
      <c r="N899" s="9" t="s">
        <v>2397</v>
      </c>
      <c r="O899" s="9">
        <v>0</v>
      </c>
      <c r="P899" s="9">
        <v>1000</v>
      </c>
      <c r="Q899" s="13"/>
      <c r="R899" s="13"/>
      <c r="S899" s="13"/>
      <c r="T899" s="9" t="s">
        <v>146</v>
      </c>
      <c r="U899" s="13"/>
      <c r="V899" s="9" t="s">
        <v>30</v>
      </c>
      <c r="W899" s="13"/>
      <c r="X899" s="9">
        <v>2</v>
      </c>
    </row>
    <row r="900" spans="1:24">
      <c r="A900" s="13"/>
      <c r="B900" s="9" t="s">
        <v>3898</v>
      </c>
      <c r="C900" s="9" t="str">
        <f>VLOOKUP(B900,[1]RXNS!$B:$C,1,)</f>
        <v>THZPSN</v>
      </c>
      <c r="D900" s="9" t="b">
        <f t="shared" si="56"/>
        <v>1</v>
      </c>
      <c r="E900" s="9" t="s">
        <v>3899</v>
      </c>
      <c r="F900" s="9" t="s">
        <v>3899</v>
      </c>
      <c r="G900" s="9" t="b">
        <f t="shared" si="57"/>
        <v>1</v>
      </c>
      <c r="H900" s="9" t="str">
        <f>VLOOKUP(B900,[1]RXNS!$B:$D,3,FALSE)</f>
        <v>ATP[c] + L-Cysteine[c] + 1-deoxy-D-xylulose 5-phosphate[c] + L-Tyrosine[c] =&gt; 4-Hydroxy-benzyl alcohol[c] + 4-Methyl-5-(2-phosphoethyl)-thiazole[c] + L-Alanine[c] + AMP[c] + CO2[c] + H2O[c] + H+[c] + Diphosphate[c]</v>
      </c>
      <c r="I900" s="9">
        <f>VLOOKUP(B900,[1]RXNS!$B:$E,4,FALSE)</f>
        <v>0</v>
      </c>
      <c r="J900" s="9" t="s">
        <v>3900</v>
      </c>
      <c r="K900" s="13"/>
      <c r="L900" s="9" t="b">
        <f t="shared" si="58"/>
        <v>1</v>
      </c>
      <c r="M900" s="9" t="b">
        <f t="shared" si="59"/>
        <v>0</v>
      </c>
      <c r="N900" s="9" t="s">
        <v>3901</v>
      </c>
      <c r="O900" s="9">
        <v>0</v>
      </c>
      <c r="P900" s="9">
        <v>1000</v>
      </c>
      <c r="Q900" s="13"/>
      <c r="R900" s="13"/>
      <c r="S900" s="13"/>
      <c r="T900" s="9" t="s">
        <v>244</v>
      </c>
      <c r="U900" s="13"/>
      <c r="V900" s="9" t="s">
        <v>30</v>
      </c>
      <c r="W900" s="13"/>
      <c r="X900" s="9">
        <v>2</v>
      </c>
    </row>
    <row r="901" spans="1:24">
      <c r="A901" s="13"/>
      <c r="B901" s="9" t="s">
        <v>3902</v>
      </c>
      <c r="C901" s="9" t="str">
        <f>VLOOKUP(B901,[1]RXNS!$B:$C,1,)</f>
        <v>THZPSN2</v>
      </c>
      <c r="D901" s="9" t="b">
        <f t="shared" si="56"/>
        <v>1</v>
      </c>
      <c r="E901" s="9" t="s">
        <v>3899</v>
      </c>
      <c r="F901" s="9" t="s">
        <v>3899</v>
      </c>
      <c r="G901" s="9" t="b">
        <f t="shared" si="57"/>
        <v>1</v>
      </c>
      <c r="H901" s="9" t="str">
        <f>VLOOKUP(B901,[1]RXNS!$B:$D,3,FALSE)</f>
        <v>MPT synthase sulfurylated small subunit (MoaD-SH)[c] + 1-deoxy-D-xylulose 5-phosphate[c] + Glycine[c] + Nicotinamide adenine dinucleotide phosphate[c] =&gt; 4-Methyl-5-(2-phosphoethyl)-thiazole[c] + MPT synthase small subunit MoaD[c] + CO2[c] + 2 H2O[c] + 2 H+[c] + Nicotinamide adenine dinucleotide phosphate - reduced[c]</v>
      </c>
      <c r="I901" s="9">
        <f>VLOOKUP(B901,[1]RXNS!$B:$E,4,FALSE)</f>
        <v>0</v>
      </c>
      <c r="J901" s="9" t="s">
        <v>3903</v>
      </c>
      <c r="K901" s="13"/>
      <c r="L901" s="9" t="b">
        <f t="shared" si="58"/>
        <v>1</v>
      </c>
      <c r="M901" s="9" t="b">
        <f t="shared" si="59"/>
        <v>0</v>
      </c>
      <c r="N901" s="9" t="s">
        <v>3901</v>
      </c>
      <c r="O901" s="9">
        <v>0</v>
      </c>
      <c r="P901" s="9">
        <v>1000</v>
      </c>
      <c r="Q901" s="13"/>
      <c r="R901" s="13"/>
      <c r="S901" s="13"/>
      <c r="T901" s="9" t="s">
        <v>244</v>
      </c>
      <c r="U901" s="13"/>
      <c r="V901" s="9" t="s">
        <v>30</v>
      </c>
      <c r="W901" s="13"/>
      <c r="X901" s="9">
        <v>2</v>
      </c>
    </row>
    <row r="902" spans="1:24">
      <c r="A902" s="13"/>
      <c r="B902" s="9" t="s">
        <v>3904</v>
      </c>
      <c r="C902" s="9" t="str">
        <f>VLOOKUP(B902,[1]RXNS!$B:$C,1,)</f>
        <v>TMDK1</v>
      </c>
      <c r="D902" s="9" t="b">
        <f t="shared" si="56"/>
        <v>1</v>
      </c>
      <c r="E902" s="9" t="s">
        <v>3905</v>
      </c>
      <c r="F902" s="9" t="s">
        <v>3905</v>
      </c>
      <c r="G902" s="9" t="b">
        <f t="shared" si="57"/>
        <v>1</v>
      </c>
      <c r="H902" s="9" t="str">
        <f>VLOOKUP(B902,[1]RXNS!$B:$D,3,FALSE)</f>
        <v>ATP[c] + Thymidine[c] =&gt; ADP[c] + dTMP[c] + H+[c]</v>
      </c>
      <c r="I902" s="9" t="s">
        <v>946</v>
      </c>
      <c r="J902" s="9" t="s">
        <v>3906</v>
      </c>
      <c r="K902" s="9" t="s">
        <v>946</v>
      </c>
      <c r="L902" s="9" t="b">
        <f t="shared" si="58"/>
        <v>1</v>
      </c>
      <c r="M902" s="9" t="b">
        <f t="shared" si="59"/>
        <v>1</v>
      </c>
      <c r="N902" s="9" t="s">
        <v>948</v>
      </c>
      <c r="O902" s="9">
        <v>0</v>
      </c>
      <c r="P902" s="9">
        <v>1000</v>
      </c>
      <c r="Q902" s="13"/>
      <c r="R902" s="13"/>
      <c r="S902" s="9" t="s">
        <v>3907</v>
      </c>
      <c r="T902" s="9" t="s">
        <v>648</v>
      </c>
      <c r="U902" s="13"/>
      <c r="V902" s="9" t="s">
        <v>30</v>
      </c>
      <c r="W902" s="13"/>
      <c r="X902" s="9">
        <v>2</v>
      </c>
    </row>
    <row r="903" spans="1:24">
      <c r="A903" s="13"/>
      <c r="B903" s="9" t="s">
        <v>3908</v>
      </c>
      <c r="C903" s="9" t="str">
        <f>VLOOKUP(B903,[1]RXNS!$B:$C,1,)</f>
        <v>TMDK2</v>
      </c>
      <c r="D903" s="9" t="b">
        <f t="shared" si="56"/>
        <v>1</v>
      </c>
      <c r="E903" s="9" t="s">
        <v>3909</v>
      </c>
      <c r="F903" s="9" t="s">
        <v>3909</v>
      </c>
      <c r="G903" s="9" t="b">
        <f t="shared" si="57"/>
        <v>1</v>
      </c>
      <c r="H903" s="9" t="str">
        <f>VLOOKUP(B903,[1]RXNS!$B:$D,3,FALSE)</f>
        <v>GTP[c] + Thymidine[c] =&gt; dTMP[c] + GDP[c] + H+[c]</v>
      </c>
      <c r="I903" s="9" t="s">
        <v>2899</v>
      </c>
      <c r="J903" s="9" t="s">
        <v>3910</v>
      </c>
      <c r="K903" s="9" t="s">
        <v>2899</v>
      </c>
      <c r="L903" s="9" t="b">
        <f t="shared" si="58"/>
        <v>1</v>
      </c>
      <c r="M903" s="9" t="b">
        <f t="shared" si="59"/>
        <v>1</v>
      </c>
      <c r="N903" s="9" t="s">
        <v>948</v>
      </c>
      <c r="O903" s="9">
        <v>0</v>
      </c>
      <c r="P903" s="9">
        <v>1000</v>
      </c>
      <c r="Q903" s="13"/>
      <c r="R903" s="13"/>
      <c r="S903" s="9" t="s">
        <v>3911</v>
      </c>
      <c r="T903" s="9" t="s">
        <v>648</v>
      </c>
      <c r="U903" s="13"/>
      <c r="V903" s="9" t="s">
        <v>30</v>
      </c>
      <c r="W903" s="13"/>
      <c r="X903" s="9">
        <v>2</v>
      </c>
    </row>
    <row r="904" spans="1:24">
      <c r="A904" s="13"/>
      <c r="B904" s="9" t="s">
        <v>3912</v>
      </c>
      <c r="C904" s="9" t="str">
        <f>VLOOKUP(B904,[1]RXNS!$B:$C,1,)</f>
        <v>TMDPK</v>
      </c>
      <c r="D904" s="9" t="b">
        <f t="shared" si="56"/>
        <v>1</v>
      </c>
      <c r="E904" s="9" t="s">
        <v>3913</v>
      </c>
      <c r="F904" s="9" t="s">
        <v>3913</v>
      </c>
      <c r="G904" s="9" t="b">
        <f t="shared" si="57"/>
        <v>1</v>
      </c>
      <c r="H904" s="9" t="str">
        <f>VLOOKUP(B904,[1]RXNS!$B:$D,3,FALSE)</f>
        <v>ATP[c] + Thiamin[c] =&gt; AMP[c] + H+[c] + Thiamine diphosphate[c]</v>
      </c>
      <c r="I904" s="9" t="s">
        <v>3914</v>
      </c>
      <c r="J904" s="9" t="s">
        <v>3915</v>
      </c>
      <c r="K904" s="9" t="s">
        <v>3914</v>
      </c>
      <c r="L904" s="9" t="b">
        <f t="shared" si="58"/>
        <v>1</v>
      </c>
      <c r="M904" s="9" t="b">
        <f t="shared" si="59"/>
        <v>1</v>
      </c>
      <c r="N904" s="9" t="s">
        <v>3916</v>
      </c>
      <c r="O904" s="9">
        <v>0</v>
      </c>
      <c r="P904" s="9">
        <v>1000</v>
      </c>
      <c r="Q904" s="13"/>
      <c r="R904" s="13"/>
      <c r="S904" s="13"/>
      <c r="T904" s="9" t="s">
        <v>244</v>
      </c>
      <c r="U904" s="13"/>
      <c r="V904" s="9" t="s">
        <v>30</v>
      </c>
      <c r="W904" s="13"/>
      <c r="X904" s="9">
        <v>2</v>
      </c>
    </row>
    <row r="905" spans="1:24">
      <c r="A905" s="13"/>
      <c r="B905" s="9" t="s">
        <v>3917</v>
      </c>
      <c r="C905" s="9" t="str">
        <f>VLOOKUP(B905,[1]RXNS!$B:$C,1,)</f>
        <v>TMDPP</v>
      </c>
      <c r="D905" s="9" t="b">
        <f t="shared" si="56"/>
        <v>1</v>
      </c>
      <c r="E905" s="9" t="s">
        <v>3918</v>
      </c>
      <c r="F905" s="9" t="s">
        <v>3918</v>
      </c>
      <c r="G905" s="9" t="b">
        <f t="shared" si="57"/>
        <v>1</v>
      </c>
      <c r="H905" s="9" t="str">
        <f>VLOOKUP(B905,[1]RXNS!$B:$D,3,FALSE)</f>
        <v>2-Deoxy-D-ribose 1-phosphate[c] + Thymine[c] &lt;=&gt; Phosphate[c] + Thymidine[c]</v>
      </c>
      <c r="I905" s="9" t="s">
        <v>3919</v>
      </c>
      <c r="J905" s="9" t="s">
        <v>3920</v>
      </c>
      <c r="K905" s="9" t="s">
        <v>3919</v>
      </c>
      <c r="L905" s="9" t="b">
        <f t="shared" si="58"/>
        <v>1</v>
      </c>
      <c r="M905" s="9" t="b">
        <f t="shared" si="59"/>
        <v>1</v>
      </c>
      <c r="N905" s="13"/>
      <c r="O905" s="9">
        <v>-1000</v>
      </c>
      <c r="P905" s="9">
        <v>1000</v>
      </c>
      <c r="Q905" s="13"/>
      <c r="R905" s="13"/>
      <c r="S905" s="13"/>
      <c r="T905" s="9" t="s">
        <v>648</v>
      </c>
      <c r="U905" s="13"/>
      <c r="V905" s="9" t="s">
        <v>35</v>
      </c>
      <c r="W905" s="13"/>
      <c r="X905" s="9">
        <v>2</v>
      </c>
    </row>
    <row r="906" spans="1:24">
      <c r="A906" s="13"/>
      <c r="B906" s="9" t="s">
        <v>3921</v>
      </c>
      <c r="C906" s="9" t="str">
        <f>VLOOKUP(B906,[1]RXNS!$B:$C,1,)</f>
        <v>TMDS</v>
      </c>
      <c r="D906" s="9" t="b">
        <f t="shared" si="56"/>
        <v>1</v>
      </c>
      <c r="E906" s="9" t="s">
        <v>3922</v>
      </c>
      <c r="F906" s="9" t="s">
        <v>3922</v>
      </c>
      <c r="G906" s="9" t="b">
        <f t="shared" si="57"/>
        <v>1</v>
      </c>
      <c r="H906" s="9" t="str">
        <f>VLOOKUP(B906,[1]RXNS!$B:$D,3,FALSE)</f>
        <v>dUMP[c] + 5,10-Methylenetetrahydrofolate[c] =&gt; 7,8-Dihydrofolate[c] + dTMP[c]</v>
      </c>
      <c r="I906" s="9" t="s">
        <v>3923</v>
      </c>
      <c r="J906" s="9" t="s">
        <v>3924</v>
      </c>
      <c r="K906" s="9" t="s">
        <v>3923</v>
      </c>
      <c r="L906" s="9" t="b">
        <f t="shared" si="58"/>
        <v>1</v>
      </c>
      <c r="M906" s="9" t="b">
        <f t="shared" si="59"/>
        <v>1</v>
      </c>
      <c r="N906" s="9" t="s">
        <v>3925</v>
      </c>
      <c r="O906" s="9">
        <v>0</v>
      </c>
      <c r="P906" s="9">
        <v>1000</v>
      </c>
      <c r="Q906" s="13"/>
      <c r="R906" s="13"/>
      <c r="S906" s="9" t="s">
        <v>3926</v>
      </c>
      <c r="T906" s="9" t="s">
        <v>648</v>
      </c>
      <c r="U906" s="13"/>
      <c r="V906" s="9" t="s">
        <v>30</v>
      </c>
      <c r="W906" s="13"/>
      <c r="X906" s="9">
        <v>2</v>
      </c>
    </row>
    <row r="907" spans="1:24">
      <c r="A907" s="13"/>
      <c r="B907" s="9" t="s">
        <v>3927</v>
      </c>
      <c r="C907" s="9" t="str">
        <f>VLOOKUP(B907,[1]RXNS!$B:$C,1,)</f>
        <v>TMPPP</v>
      </c>
      <c r="D907" s="9" t="b">
        <f t="shared" si="56"/>
        <v>1</v>
      </c>
      <c r="E907" s="9" t="s">
        <v>3928</v>
      </c>
      <c r="F907" s="9" t="s">
        <v>3928</v>
      </c>
      <c r="G907" s="9" t="b">
        <f t="shared" si="57"/>
        <v>1</v>
      </c>
      <c r="H907" s="9" t="str">
        <f>VLOOKUP(B907,[1]RXNS!$B:$D,3,FALSE)</f>
        <v>2-Methyl-4-amino-5-hydroxymethylpyrimidine diphosphate[c] + 4-Methyl-5-(2-phosphoethyl)-thiazole[c] + H+[c] =&gt; Diphosphate[c] + Thiamin monophosphate[c]</v>
      </c>
      <c r="I907" s="9" t="s">
        <v>3929</v>
      </c>
      <c r="J907" s="9" t="s">
        <v>3930</v>
      </c>
      <c r="K907" s="9" t="s">
        <v>3929</v>
      </c>
      <c r="L907" s="9" t="b">
        <f t="shared" si="58"/>
        <v>1</v>
      </c>
      <c r="M907" s="9" t="b">
        <f t="shared" si="59"/>
        <v>1</v>
      </c>
      <c r="N907" s="9" t="s">
        <v>3931</v>
      </c>
      <c r="O907" s="9">
        <v>0</v>
      </c>
      <c r="P907" s="9">
        <v>1000</v>
      </c>
      <c r="Q907" s="13"/>
      <c r="R907" s="13"/>
      <c r="S907" s="9" t="s">
        <v>3932</v>
      </c>
      <c r="T907" s="9" t="s">
        <v>244</v>
      </c>
      <c r="U907" s="13"/>
      <c r="V907" s="9" t="s">
        <v>30</v>
      </c>
      <c r="W907" s="13"/>
      <c r="X907" s="9">
        <v>2</v>
      </c>
    </row>
    <row r="908" spans="1:24">
      <c r="A908" s="13"/>
      <c r="B908" s="9" t="s">
        <v>3933</v>
      </c>
      <c r="C908" s="9" t="str">
        <f>VLOOKUP(B908,[1]RXNS!$B:$C,1,)</f>
        <v>TPI</v>
      </c>
      <c r="D908" s="9" t="b">
        <f t="shared" si="56"/>
        <v>1</v>
      </c>
      <c r="E908" s="9" t="s">
        <v>3934</v>
      </c>
      <c r="F908" s="9" t="s">
        <v>3934</v>
      </c>
      <c r="G908" s="9" t="b">
        <f t="shared" si="57"/>
        <v>1</v>
      </c>
      <c r="H908" s="9" t="str">
        <f>VLOOKUP(B908,[1]RXNS!$B:$D,3,FALSE)</f>
        <v>Dihydroxyacetone phosphate[c] &lt;=&gt; Glyceraldehyde 3-phosphate[c]</v>
      </c>
      <c r="I908" s="9" t="s">
        <v>3935</v>
      </c>
      <c r="J908" s="9" t="s">
        <v>3936</v>
      </c>
      <c r="K908" s="9" t="s">
        <v>3935</v>
      </c>
      <c r="L908" s="9" t="b">
        <f t="shared" si="58"/>
        <v>1</v>
      </c>
      <c r="M908" s="9" t="b">
        <f t="shared" si="59"/>
        <v>1</v>
      </c>
      <c r="N908" s="9" t="s">
        <v>3937</v>
      </c>
      <c r="O908" s="9">
        <v>-1000</v>
      </c>
      <c r="P908" s="9">
        <v>1000</v>
      </c>
      <c r="Q908" s="13"/>
      <c r="R908" s="13"/>
      <c r="S908" s="9" t="s">
        <v>3938</v>
      </c>
      <c r="T908" s="9" t="s">
        <v>330</v>
      </c>
      <c r="U908" s="13"/>
      <c r="V908" s="9" t="s">
        <v>30</v>
      </c>
      <c r="W908" s="13"/>
      <c r="X908" s="9">
        <v>2</v>
      </c>
    </row>
    <row r="909" spans="1:24">
      <c r="A909" s="13"/>
      <c r="B909" s="9" t="s">
        <v>3939</v>
      </c>
      <c r="C909" s="9" t="str">
        <f>VLOOKUP(B909,[1]RXNS!$B:$C,1,)</f>
        <v>TRDR</v>
      </c>
      <c r="D909" s="9" t="b">
        <f t="shared" si="56"/>
        <v>1</v>
      </c>
      <c r="E909" s="9" t="s">
        <v>3940</v>
      </c>
      <c r="F909" s="9" t="s">
        <v>3940</v>
      </c>
      <c r="G909" s="9" t="b">
        <f t="shared" si="57"/>
        <v>1</v>
      </c>
      <c r="H909" s="9" t="str">
        <f>VLOOKUP(B909,[1]RXNS!$B:$D,3,FALSE)</f>
        <v>H+[c] + Nicotinamide adenine dinucleotide phosphate - reduced[c] + Oxidized thioredoxin[c] =&gt; Nicotinamide adenine dinucleotide phosphate[c] + Reduced thioredoxin[c]</v>
      </c>
      <c r="I909" s="9" t="s">
        <v>3941</v>
      </c>
      <c r="J909" s="9" t="s">
        <v>3942</v>
      </c>
      <c r="K909" s="9" t="s">
        <v>3941</v>
      </c>
      <c r="L909" s="9" t="b">
        <f t="shared" si="58"/>
        <v>1</v>
      </c>
      <c r="M909" s="9" t="b">
        <f t="shared" si="59"/>
        <v>1</v>
      </c>
      <c r="N909" s="9" t="s">
        <v>3367</v>
      </c>
      <c r="O909" s="9">
        <v>0</v>
      </c>
      <c r="P909" s="9">
        <v>1000</v>
      </c>
      <c r="Q909" s="13"/>
      <c r="R909" s="13"/>
      <c r="S909" s="9" t="s">
        <v>3943</v>
      </c>
      <c r="T909" s="9" t="s">
        <v>2793</v>
      </c>
      <c r="U909" s="13"/>
      <c r="V909" s="9" t="s">
        <v>30</v>
      </c>
      <c r="W909" s="13"/>
      <c r="X909" s="9">
        <v>2</v>
      </c>
    </row>
    <row r="910" spans="1:24">
      <c r="A910" s="13"/>
      <c r="B910" s="9" t="s">
        <v>3944</v>
      </c>
      <c r="C910" s="9" t="str">
        <f>VLOOKUP(B910,[1]RXNS!$B:$C,1,)</f>
        <v>TREP</v>
      </c>
      <c r="D910" s="9" t="b">
        <f t="shared" si="56"/>
        <v>1</v>
      </c>
      <c r="E910" s="9" t="s">
        <v>2620</v>
      </c>
      <c r="F910" s="9" t="s">
        <v>2620</v>
      </c>
      <c r="G910" s="9" t="b">
        <f t="shared" si="57"/>
        <v>1</v>
      </c>
      <c r="H910" s="9" t="str">
        <f>VLOOKUP(B910,[1]RXNS!$B:$D,3,FALSE)</f>
        <v>Phosphate[c] + Trehalose[c] &lt;=&gt; beta-D-Glucose 1-phosphate[c] + D-Glucose[c]</v>
      </c>
      <c r="I910" s="9" t="s">
        <v>3945</v>
      </c>
      <c r="J910" s="9" t="s">
        <v>3946</v>
      </c>
      <c r="K910" s="9" t="s">
        <v>3945</v>
      </c>
      <c r="L910" s="9" t="b">
        <f t="shared" si="58"/>
        <v>1</v>
      </c>
      <c r="M910" s="9" t="b">
        <f t="shared" si="59"/>
        <v>1</v>
      </c>
      <c r="N910" s="9" t="s">
        <v>3947</v>
      </c>
      <c r="O910" s="9">
        <v>-1000</v>
      </c>
      <c r="P910" s="9">
        <v>1000</v>
      </c>
      <c r="Q910" s="13"/>
      <c r="R910" s="13"/>
      <c r="S910" s="13"/>
      <c r="T910" s="9" t="s">
        <v>1310</v>
      </c>
      <c r="U910" s="13"/>
      <c r="V910" s="9" t="s">
        <v>30</v>
      </c>
      <c r="W910" s="13"/>
      <c r="X910" s="9">
        <v>2</v>
      </c>
    </row>
    <row r="911" spans="1:24">
      <c r="A911" s="13"/>
      <c r="B911" s="9" t="s">
        <v>3948</v>
      </c>
      <c r="C911" s="9" t="str">
        <f>VLOOKUP(B911,[1]RXNS!$B:$C,1,)</f>
        <v>TREt</v>
      </c>
      <c r="D911" s="9" t="b">
        <f t="shared" si="56"/>
        <v>1</v>
      </c>
      <c r="E911" s="9" t="s">
        <v>3949</v>
      </c>
      <c r="F911" s="9" t="s">
        <v>3949</v>
      </c>
      <c r="G911" s="9" t="b">
        <f t="shared" si="57"/>
        <v>1</v>
      </c>
      <c r="H911" s="9" t="str">
        <f>VLOOKUP(B911,[1]RXNS!$B:$D,3,FALSE)</f>
        <v>H+[e] + Trehalose[e] &lt;=&gt; H+[c] + Trehalose[c]</v>
      </c>
      <c r="I911" s="9">
        <f>VLOOKUP(B911,[1]RXNS!$B:$E,4,FALSE)</f>
        <v>0</v>
      </c>
      <c r="J911" s="9" t="s">
        <v>3950</v>
      </c>
      <c r="K911" s="13"/>
      <c r="L911" s="9" t="b">
        <f t="shared" si="58"/>
        <v>1</v>
      </c>
      <c r="M911" s="9" t="b">
        <f t="shared" si="59"/>
        <v>0</v>
      </c>
      <c r="N911" s="9" t="s">
        <v>2630</v>
      </c>
      <c r="O911" s="9">
        <v>-1000</v>
      </c>
      <c r="P911" s="9">
        <v>1000</v>
      </c>
      <c r="Q911" s="13"/>
      <c r="R911" s="13"/>
      <c r="S911" s="13"/>
      <c r="T911" s="9" t="s">
        <v>146</v>
      </c>
      <c r="U911" s="13"/>
      <c r="V911" s="9" t="s">
        <v>30</v>
      </c>
      <c r="W911" s="13"/>
      <c r="X911" s="9">
        <v>2</v>
      </c>
    </row>
    <row r="912" spans="1:24">
      <c r="A912" s="13"/>
      <c r="B912" s="9" t="s">
        <v>3951</v>
      </c>
      <c r="C912" s="9" t="str">
        <f>VLOOKUP(B912,[1]RXNS!$B:$C,1,)</f>
        <v>TRPTRS</v>
      </c>
      <c r="D912" s="9" t="b">
        <f t="shared" si="56"/>
        <v>1</v>
      </c>
      <c r="E912" s="9" t="s">
        <v>3952</v>
      </c>
      <c r="F912" s="9" t="s">
        <v>3952</v>
      </c>
      <c r="G912" s="9" t="b">
        <f t="shared" si="57"/>
        <v>1</v>
      </c>
      <c r="H912" s="9" t="str">
        <f>VLOOKUP(B912,[1]RXNS!$B:$D,3,FALSE)</f>
        <v>ATP[c] + tRNA(Trp)[c] + L-Tryptophan[c] =&gt; AMP[c] + Diphosphate[c] + L-Tryptophanyl-tRNA(Trp)[c]</v>
      </c>
      <c r="I912" s="9" t="s">
        <v>3953</v>
      </c>
      <c r="J912" s="9" t="s">
        <v>3954</v>
      </c>
      <c r="K912" s="9" t="s">
        <v>3953</v>
      </c>
      <c r="L912" s="9" t="b">
        <f t="shared" si="58"/>
        <v>1</v>
      </c>
      <c r="M912" s="9" t="b">
        <f t="shared" si="59"/>
        <v>1</v>
      </c>
      <c r="N912" s="9" t="s">
        <v>3955</v>
      </c>
      <c r="O912" s="9">
        <v>0</v>
      </c>
      <c r="P912" s="9">
        <v>1000</v>
      </c>
      <c r="Q912" s="13"/>
      <c r="R912" s="13"/>
      <c r="S912" s="13"/>
      <c r="T912" s="9" t="s">
        <v>278</v>
      </c>
      <c r="U912" s="13"/>
      <c r="V912" s="9" t="s">
        <v>30</v>
      </c>
      <c r="W912" s="13"/>
      <c r="X912" s="9">
        <v>2</v>
      </c>
    </row>
    <row r="913" spans="1:24">
      <c r="A913" s="13"/>
      <c r="B913" s="9" t="s">
        <v>3956</v>
      </c>
      <c r="C913" s="9" t="str">
        <f>VLOOKUP(B913,[1]RXNS!$B:$C,1,)</f>
        <v>TRPt6</v>
      </c>
      <c r="D913" s="9" t="b">
        <f t="shared" si="56"/>
        <v>1</v>
      </c>
      <c r="E913" s="9" t="s">
        <v>3957</v>
      </c>
      <c r="F913" s="9" t="s">
        <v>3957</v>
      </c>
      <c r="G913" s="9" t="b">
        <f t="shared" si="57"/>
        <v>1</v>
      </c>
      <c r="H913" s="9" t="str">
        <f>VLOOKUP(B913,[1]RXNS!$B:$D,3,FALSE)</f>
        <v>H+[e] + L-Tryptophan[e] &lt;=&gt; H+[c] + L-Tryptophan[c]</v>
      </c>
      <c r="I913" s="9">
        <f>VLOOKUP(B913,[1]RXNS!$B:$E,4,FALSE)</f>
        <v>0</v>
      </c>
      <c r="J913" s="9" t="s">
        <v>3958</v>
      </c>
      <c r="K913" s="13"/>
      <c r="L913" s="9" t="b">
        <f t="shared" si="58"/>
        <v>1</v>
      </c>
      <c r="M913" s="9" t="b">
        <f t="shared" si="59"/>
        <v>0</v>
      </c>
      <c r="N913" s="13"/>
      <c r="O913" s="9">
        <v>-1000</v>
      </c>
      <c r="P913" s="9">
        <v>1000</v>
      </c>
      <c r="Q913" s="13"/>
      <c r="R913" s="13"/>
      <c r="S913" s="13"/>
      <c r="T913" s="9" t="s">
        <v>146</v>
      </c>
      <c r="U913" s="13"/>
      <c r="V913" s="9" t="s">
        <v>35</v>
      </c>
      <c r="W913" s="13"/>
      <c r="X913" s="9">
        <v>2</v>
      </c>
    </row>
    <row r="914" spans="1:24">
      <c r="A914" s="13"/>
      <c r="B914" s="9" t="s">
        <v>3959</v>
      </c>
      <c r="C914" s="9" t="str">
        <f>VLOOKUP(B914,[1]RXNS!$B:$C,1,)</f>
        <v>TYRTRS</v>
      </c>
      <c r="D914" s="9" t="b">
        <f t="shared" si="56"/>
        <v>1</v>
      </c>
      <c r="E914" s="9" t="s">
        <v>3960</v>
      </c>
      <c r="F914" s="9" t="s">
        <v>3960</v>
      </c>
      <c r="G914" s="9" t="b">
        <f t="shared" si="57"/>
        <v>1</v>
      </c>
      <c r="H914" s="9" t="str">
        <f>VLOOKUP(B914,[1]RXNS!$B:$D,3,FALSE)</f>
        <v>ATP[c] + tRNA(Tyr)[c] + L-Tyrosine[c] =&gt; AMP[c] + Diphosphate[c] + L-Tyrosyl-tRNA(Tyr)[c]</v>
      </c>
      <c r="I914" s="9" t="s">
        <v>3961</v>
      </c>
      <c r="J914" s="9" t="s">
        <v>3962</v>
      </c>
      <c r="K914" s="9" t="s">
        <v>3961</v>
      </c>
      <c r="L914" s="9" t="b">
        <f t="shared" si="58"/>
        <v>1</v>
      </c>
      <c r="M914" s="9" t="b">
        <f t="shared" si="59"/>
        <v>1</v>
      </c>
      <c r="N914" s="13"/>
      <c r="O914" s="9">
        <v>0</v>
      </c>
      <c r="P914" s="9">
        <v>1000</v>
      </c>
      <c r="Q914" s="13"/>
      <c r="R914" s="13"/>
      <c r="S914" s="13"/>
      <c r="T914" s="9" t="s">
        <v>278</v>
      </c>
      <c r="U914" s="13"/>
      <c r="V914" s="9" t="s">
        <v>35</v>
      </c>
      <c r="W914" s="13"/>
      <c r="X914" s="9">
        <v>2</v>
      </c>
    </row>
    <row r="915" spans="1:24">
      <c r="A915" s="13"/>
      <c r="B915" s="9" t="s">
        <v>3963</v>
      </c>
      <c r="C915" s="9" t="str">
        <f>VLOOKUP(B915,[1]RXNS!$B:$C,1,)</f>
        <v>TYRt6</v>
      </c>
      <c r="D915" s="9" t="b">
        <f t="shared" si="56"/>
        <v>1</v>
      </c>
      <c r="E915" s="9" t="s">
        <v>3964</v>
      </c>
      <c r="F915" s="9" t="s">
        <v>3964</v>
      </c>
      <c r="G915" s="9" t="b">
        <f t="shared" si="57"/>
        <v>1</v>
      </c>
      <c r="H915" s="9" t="str">
        <f>VLOOKUP(B915,[1]RXNS!$B:$D,3,FALSE)</f>
        <v>H+[e] + L-Tyrosine[e] &lt;=&gt; H+[c] + L-Tyrosine[c]</v>
      </c>
      <c r="I915" s="9">
        <f>VLOOKUP(B915,[1]RXNS!$B:$E,4,FALSE)</f>
        <v>0</v>
      </c>
      <c r="J915" s="9" t="s">
        <v>3965</v>
      </c>
      <c r="K915" s="13"/>
      <c r="L915" s="9" t="b">
        <f t="shared" si="58"/>
        <v>1</v>
      </c>
      <c r="M915" s="9" t="b">
        <f t="shared" si="59"/>
        <v>0</v>
      </c>
      <c r="N915" s="9" t="s">
        <v>3966</v>
      </c>
      <c r="O915" s="9">
        <v>-1000</v>
      </c>
      <c r="P915" s="9">
        <v>1000</v>
      </c>
      <c r="Q915" s="13"/>
      <c r="R915" s="13"/>
      <c r="S915" s="13"/>
      <c r="T915" s="9" t="s">
        <v>146</v>
      </c>
      <c r="U915" s="13"/>
      <c r="V915" s="9" t="s">
        <v>30</v>
      </c>
      <c r="W915" s="13"/>
      <c r="X915" s="9">
        <v>2</v>
      </c>
    </row>
    <row r="916" spans="1:24">
      <c r="A916" s="13"/>
      <c r="B916" s="9" t="s">
        <v>3967</v>
      </c>
      <c r="C916" s="9" t="str">
        <f>VLOOKUP(B916,[1]RXNS!$B:$C,1,)</f>
        <v>UAAGDS</v>
      </c>
      <c r="D916" s="9" t="b">
        <f t="shared" si="56"/>
        <v>1</v>
      </c>
      <c r="E916" s="9" t="s">
        <v>3968</v>
      </c>
      <c r="F916" s="9" t="s">
        <v>3968</v>
      </c>
      <c r="G916" s="9" t="b">
        <f t="shared" si="57"/>
        <v>1</v>
      </c>
      <c r="H916" s="9" t="str">
        <f>VLOOKUP(B916,[1]RXNS!$B:$D,3,FALSE)</f>
        <v>meso-2,6-Diaminoheptanedioate[c] + ATP[c] + UDP-N-acetylmuramoyl-L-alanyl-D-glutamate[c] =&gt; ADP[c] + H+[c] + Phosphate[c] + UDP-N-acetylmuramoyl-L-alanyl-D-gamma-glutamyl-meso-2,6-diaminopimelate[c]</v>
      </c>
      <c r="I916" s="9" t="s">
        <v>3969</v>
      </c>
      <c r="J916" s="9" t="s">
        <v>3970</v>
      </c>
      <c r="K916" s="9" t="s">
        <v>3969</v>
      </c>
      <c r="L916" s="9" t="b">
        <f t="shared" si="58"/>
        <v>1</v>
      </c>
      <c r="M916" s="9" t="b">
        <f t="shared" si="59"/>
        <v>1</v>
      </c>
      <c r="N916" s="9" t="s">
        <v>3971</v>
      </c>
      <c r="O916" s="9">
        <v>0</v>
      </c>
      <c r="P916" s="9">
        <v>1000</v>
      </c>
      <c r="Q916" s="13"/>
      <c r="R916" s="13"/>
      <c r="S916" s="9" t="s">
        <v>3972</v>
      </c>
      <c r="T916" s="9" t="s">
        <v>2294</v>
      </c>
      <c r="U916" s="13"/>
      <c r="V916" s="9" t="s">
        <v>30</v>
      </c>
      <c r="W916" s="13"/>
      <c r="X916" s="9">
        <v>2</v>
      </c>
    </row>
    <row r="917" spans="1:24">
      <c r="A917" s="13"/>
      <c r="B917" s="9" t="s">
        <v>3973</v>
      </c>
      <c r="C917" s="9" t="str">
        <f>VLOOKUP(B917,[1]RXNS!$B:$C,1,)</f>
        <v>UAG2E</v>
      </c>
      <c r="D917" s="9" t="b">
        <f t="shared" si="56"/>
        <v>1</v>
      </c>
      <c r="E917" s="9" t="s">
        <v>3974</v>
      </c>
      <c r="F917" s="9" t="s">
        <v>3974</v>
      </c>
      <c r="G917" s="9" t="b">
        <f t="shared" si="57"/>
        <v>1</v>
      </c>
      <c r="H917" s="9" t="str">
        <f>VLOOKUP(B917,[1]RXNS!$B:$D,3,FALSE)</f>
        <v>UDP-N-acetyl-D-glucosamine[c] &lt;=&gt; UDP-N-acetyl-D-mannosamine[c]</v>
      </c>
      <c r="I917" s="9" t="s">
        <v>3975</v>
      </c>
      <c r="J917" s="9" t="s">
        <v>3976</v>
      </c>
      <c r="K917" s="9" t="s">
        <v>3975</v>
      </c>
      <c r="L917" s="9" t="b">
        <f t="shared" si="58"/>
        <v>1</v>
      </c>
      <c r="M917" s="9" t="b">
        <f t="shared" si="59"/>
        <v>1</v>
      </c>
      <c r="N917" s="13"/>
      <c r="O917" s="9">
        <v>-1000</v>
      </c>
      <c r="P917" s="9">
        <v>1000</v>
      </c>
      <c r="Q917" s="13"/>
      <c r="R917" s="13"/>
      <c r="S917" s="13"/>
      <c r="T917" s="9" t="s">
        <v>1303</v>
      </c>
      <c r="U917" s="13"/>
      <c r="V917" s="9" t="s">
        <v>35</v>
      </c>
      <c r="W917" s="13"/>
      <c r="X917" s="9">
        <v>2</v>
      </c>
    </row>
    <row r="918" spans="1:24">
      <c r="A918" s="13"/>
      <c r="B918" s="9" t="s">
        <v>3977</v>
      </c>
      <c r="C918" s="9" t="str">
        <f>VLOOKUP(B918,[1]RXNS!$B:$C,1,)</f>
        <v>UAGCVT</v>
      </c>
      <c r="D918" s="9" t="b">
        <f t="shared" si="56"/>
        <v>1</v>
      </c>
      <c r="E918" s="9" t="s">
        <v>3978</v>
      </c>
      <c r="F918" s="9" t="s">
        <v>3978</v>
      </c>
      <c r="G918" s="9" t="b">
        <f t="shared" si="57"/>
        <v>1</v>
      </c>
      <c r="H918" s="9" t="str">
        <f>VLOOKUP(B918,[1]RXNS!$B:$D,3,FALSE)</f>
        <v>Phosphoenolpyruvate[c] + UDP-N-acetyl-D-glucosamine[c] =&gt; Phosphate[c] + UDP-N-acetyl-3-O-(1-carboxyvinyl)-D-glucosamine[c]</v>
      </c>
      <c r="I918" s="9" t="s">
        <v>3979</v>
      </c>
      <c r="J918" s="9" t="s">
        <v>3980</v>
      </c>
      <c r="K918" s="9" t="s">
        <v>3979</v>
      </c>
      <c r="L918" s="9" t="b">
        <f t="shared" si="58"/>
        <v>1</v>
      </c>
      <c r="M918" s="9" t="b">
        <f t="shared" si="59"/>
        <v>1</v>
      </c>
      <c r="N918" s="9" t="s">
        <v>3981</v>
      </c>
      <c r="O918" s="9">
        <v>0</v>
      </c>
      <c r="P918" s="9">
        <v>1000</v>
      </c>
      <c r="Q918" s="13"/>
      <c r="R918" s="13"/>
      <c r="S918" s="9" t="s">
        <v>3982</v>
      </c>
      <c r="T918" s="9" t="s">
        <v>2294</v>
      </c>
      <c r="U918" s="13"/>
      <c r="V918" s="9" t="s">
        <v>30</v>
      </c>
      <c r="W918" s="13"/>
      <c r="X918" s="9">
        <v>2</v>
      </c>
    </row>
    <row r="919" spans="1:24">
      <c r="A919" s="13"/>
      <c r="B919" s="9" t="s">
        <v>3983</v>
      </c>
      <c r="C919" s="9" t="str">
        <f>VLOOKUP(B919,[1]RXNS!$B:$C,1,)</f>
        <v>UAGDP</v>
      </c>
      <c r="D919" s="9" t="b">
        <f t="shared" si="56"/>
        <v>1</v>
      </c>
      <c r="E919" s="9" t="s">
        <v>3984</v>
      </c>
      <c r="F919" s="9" t="s">
        <v>3984</v>
      </c>
      <c r="G919" s="9" t="b">
        <f t="shared" si="57"/>
        <v>1</v>
      </c>
      <c r="H919" s="9" t="str">
        <f>VLOOKUP(B919,[1]RXNS!$B:$D,3,FALSE)</f>
        <v>N-Acetyl-D-glucosamine 1-phosphate[c] + H+[c] + UTP[c] =&gt; Diphosphate[c] + UDP-N-acetyl-D-glucosamine[c]</v>
      </c>
      <c r="I919" s="9" t="s">
        <v>3985</v>
      </c>
      <c r="J919" s="9" t="s">
        <v>3986</v>
      </c>
      <c r="K919" s="9" t="s">
        <v>3985</v>
      </c>
      <c r="L919" s="9" t="b">
        <f t="shared" si="58"/>
        <v>1</v>
      </c>
      <c r="M919" s="9" t="b">
        <f t="shared" si="59"/>
        <v>1</v>
      </c>
      <c r="N919" s="9" t="s">
        <v>1301</v>
      </c>
      <c r="O919" s="9">
        <v>0</v>
      </c>
      <c r="P919" s="9">
        <v>1000</v>
      </c>
      <c r="Q919" s="13"/>
      <c r="R919" s="13"/>
      <c r="S919" s="9" t="s">
        <v>3987</v>
      </c>
      <c r="T919" s="9" t="s">
        <v>1303</v>
      </c>
      <c r="U919" s="13"/>
      <c r="V919" s="9" t="s">
        <v>30</v>
      </c>
      <c r="W919" s="13"/>
      <c r="X919" s="9">
        <v>2</v>
      </c>
    </row>
    <row r="920" spans="1:24">
      <c r="A920" s="13"/>
      <c r="B920" s="9" t="s">
        <v>3988</v>
      </c>
      <c r="C920" s="9" t="str">
        <f>VLOOKUP(B920,[1]RXNS!$B:$C,1,)</f>
        <v>UAGPT5</v>
      </c>
      <c r="D920" s="9" t="b">
        <f t="shared" si="56"/>
        <v>1</v>
      </c>
      <c r="E920" s="9" t="s">
        <v>3989</v>
      </c>
      <c r="F920" s="9" t="s">
        <v>3989</v>
      </c>
      <c r="G920" s="9" t="b">
        <f t="shared" si="57"/>
        <v>1</v>
      </c>
      <c r="H920" s="9" t="str">
        <f>VLOOKUP(B920,[1]RXNS!$B:$D,3,FALSE)</f>
        <v>UDP-N-acetyl-D-glucosamine[c] + Undecaprenyl-diphospho-N-acetylmuramoyl-L-alanyl-D-glutamyl-meso-2,6-diaminopimeloyl-D-alanyl-D-lactate[c] =&gt; H+[c] + Undecaprenyl-diphospho-N-acetylmuramoyl-(N-acetylglucosamine)-L-alanyl-D-glutamyl-meso-2,6-diaminopimeloyl-D-alanyl-D-lactate[c] + UDP[c]</v>
      </c>
      <c r="I920" s="9" t="s">
        <v>2415</v>
      </c>
      <c r="J920" s="9" t="s">
        <v>3990</v>
      </c>
      <c r="K920" s="9" t="s">
        <v>2415</v>
      </c>
      <c r="L920" s="9" t="b">
        <f t="shared" si="58"/>
        <v>1</v>
      </c>
      <c r="M920" s="9" t="b">
        <f t="shared" si="59"/>
        <v>1</v>
      </c>
      <c r="N920" s="9" t="s">
        <v>2417</v>
      </c>
      <c r="O920" s="9">
        <v>0</v>
      </c>
      <c r="P920" s="9">
        <v>1000</v>
      </c>
      <c r="Q920" s="13"/>
      <c r="R920" s="13"/>
      <c r="S920" s="13"/>
      <c r="T920" s="9" t="s">
        <v>348</v>
      </c>
      <c r="U920" s="13"/>
      <c r="V920" s="9" t="s">
        <v>30</v>
      </c>
      <c r="W920" s="13"/>
      <c r="X920" s="9">
        <v>2</v>
      </c>
    </row>
    <row r="921" spans="1:24">
      <c r="A921" s="13"/>
      <c r="B921" s="9" t="s">
        <v>3991</v>
      </c>
      <c r="C921" s="9" t="str">
        <f>VLOOKUP(B921,[1]RXNS!$B:$C,1,)</f>
        <v>UAMAGS</v>
      </c>
      <c r="D921" s="9" t="b">
        <f t="shared" si="56"/>
        <v>1</v>
      </c>
      <c r="E921" s="9" t="s">
        <v>3992</v>
      </c>
      <c r="F921" s="9" t="s">
        <v>3992</v>
      </c>
      <c r="G921" s="9" t="b">
        <f t="shared" si="57"/>
        <v>1</v>
      </c>
      <c r="H921" s="9" t="str">
        <f>VLOOKUP(B921,[1]RXNS!$B:$D,3,FALSE)</f>
        <v>ATP[c] + D-Glutamate[c] + UDP-N-acetylmuramoyl-L-alanine[c] =&gt; ADP[c] + H+[c] + Phosphate[c] + UDP-N-acetylmuramoyl-L-alanyl-D-glutamate[c]</v>
      </c>
      <c r="I921" s="9" t="s">
        <v>3993</v>
      </c>
      <c r="J921" s="9" t="s">
        <v>3994</v>
      </c>
      <c r="K921" s="9" t="s">
        <v>3993</v>
      </c>
      <c r="L921" s="9" t="b">
        <f t="shared" si="58"/>
        <v>1</v>
      </c>
      <c r="M921" s="9" t="b">
        <f t="shared" si="59"/>
        <v>1</v>
      </c>
      <c r="N921" s="9" t="s">
        <v>3995</v>
      </c>
      <c r="O921" s="9">
        <v>0</v>
      </c>
      <c r="P921" s="9">
        <v>1000</v>
      </c>
      <c r="Q921" s="13"/>
      <c r="R921" s="13"/>
      <c r="S921" s="9" t="s">
        <v>3996</v>
      </c>
      <c r="T921" s="9" t="s">
        <v>2294</v>
      </c>
      <c r="U921" s="13"/>
      <c r="V921" s="9" t="s">
        <v>30</v>
      </c>
      <c r="W921" s="13"/>
      <c r="X921" s="9">
        <v>2</v>
      </c>
    </row>
    <row r="922" spans="1:24">
      <c r="A922" s="13"/>
      <c r="B922" s="9" t="s">
        <v>3997</v>
      </c>
      <c r="C922" s="9" t="str">
        <f>VLOOKUP(B922,[1]RXNS!$B:$C,1,)</f>
        <v>UAMAS</v>
      </c>
      <c r="D922" s="9" t="b">
        <f t="shared" si="56"/>
        <v>1</v>
      </c>
      <c r="E922" s="9" t="s">
        <v>3998</v>
      </c>
      <c r="F922" s="9" t="s">
        <v>3998</v>
      </c>
      <c r="G922" s="9" t="b">
        <f t="shared" si="57"/>
        <v>1</v>
      </c>
      <c r="H922" s="9" t="str">
        <f>VLOOKUP(B922,[1]RXNS!$B:$D,3,FALSE)</f>
        <v>L-Alanine[c] + ATP[c] + UDP-N-acetylmuramate[c] =&gt; ADP[c] + H+[c] + Phosphate[c] + UDP-N-acetylmuramoyl-L-alanine[c]</v>
      </c>
      <c r="I922" s="9" t="s">
        <v>3999</v>
      </c>
      <c r="J922" s="9" t="s">
        <v>4000</v>
      </c>
      <c r="K922" s="9" t="s">
        <v>3999</v>
      </c>
      <c r="L922" s="9" t="b">
        <f t="shared" si="58"/>
        <v>1</v>
      </c>
      <c r="M922" s="9" t="b">
        <f t="shared" si="59"/>
        <v>1</v>
      </c>
      <c r="N922" s="9" t="s">
        <v>4001</v>
      </c>
      <c r="O922" s="9">
        <v>0</v>
      </c>
      <c r="P922" s="9">
        <v>1000</v>
      </c>
      <c r="Q922" s="13"/>
      <c r="R922" s="13"/>
      <c r="S922" s="9" t="s">
        <v>4002</v>
      </c>
      <c r="T922" s="9" t="s">
        <v>2294</v>
      </c>
      <c r="U922" s="13"/>
      <c r="V922" s="9" t="s">
        <v>30</v>
      </c>
      <c r="W922" s="13"/>
      <c r="X922" s="9">
        <v>2</v>
      </c>
    </row>
    <row r="923" spans="1:24">
      <c r="A923" s="13"/>
      <c r="B923" s="9" t="s">
        <v>4003</v>
      </c>
      <c r="C923" s="9" t="str">
        <f>VLOOKUP(B923,[1]RXNS!$B:$C,1,)</f>
        <v>UAPGR</v>
      </c>
      <c r="D923" s="9" t="b">
        <f t="shared" si="56"/>
        <v>1</v>
      </c>
      <c r="E923" s="9" t="s">
        <v>4004</v>
      </c>
      <c r="F923" s="9" t="s">
        <v>4004</v>
      </c>
      <c r="G923" s="9" t="b">
        <f t="shared" si="57"/>
        <v>1</v>
      </c>
      <c r="H923" s="9" t="str">
        <f>VLOOKUP(B923,[1]RXNS!$B:$D,3,FALSE)</f>
        <v>H+[c] + Nicotinamide adenine dinucleotide phosphate - reduced[c] + UDP-N-acetyl-3-O-(1-carboxyvinyl)-D-glucosamine[c] =&gt; Nicotinamide adenine dinucleotide phosphate[c] + UDP-N-acetylmuramate[c]</v>
      </c>
      <c r="I923" s="9" t="s">
        <v>4005</v>
      </c>
      <c r="J923" s="9" t="s">
        <v>4006</v>
      </c>
      <c r="K923" s="9" t="s">
        <v>4005</v>
      </c>
      <c r="L923" s="9" t="b">
        <f t="shared" si="58"/>
        <v>1</v>
      </c>
      <c r="M923" s="9" t="b">
        <f t="shared" si="59"/>
        <v>1</v>
      </c>
      <c r="N923" s="9" t="s">
        <v>4007</v>
      </c>
      <c r="O923" s="9">
        <v>0</v>
      </c>
      <c r="P923" s="9">
        <v>1000</v>
      </c>
      <c r="Q923" s="13"/>
      <c r="R923" s="13"/>
      <c r="S923" s="9" t="s">
        <v>4008</v>
      </c>
      <c r="T923" s="9" t="s">
        <v>2294</v>
      </c>
      <c r="U923" s="13"/>
      <c r="V923" s="9" t="s">
        <v>30</v>
      </c>
      <c r="W923" s="13"/>
      <c r="X923" s="9">
        <v>2</v>
      </c>
    </row>
    <row r="924" spans="1:24">
      <c r="A924" s="13"/>
      <c r="B924" s="9" t="s">
        <v>4009</v>
      </c>
      <c r="C924" s="9" t="str">
        <f>VLOOKUP(B924,[1]RXNS!$B:$C,1,)</f>
        <v>UDCPDP</v>
      </c>
      <c r="D924" s="9" t="b">
        <f t="shared" si="56"/>
        <v>1</v>
      </c>
      <c r="E924" s="9" t="s">
        <v>4010</v>
      </c>
      <c r="F924" s="9" t="s">
        <v>4010</v>
      </c>
      <c r="G924" s="9" t="b">
        <f t="shared" si="57"/>
        <v>1</v>
      </c>
      <c r="H924" s="9" t="str">
        <f>VLOOKUP(B924,[1]RXNS!$B:$D,3,FALSE)</f>
        <v>H2O[c] + Undecaprenyl diphosphate[c] =&gt; H+[c] + Phosphate[c] + Undecaprenyl phosphate[c]</v>
      </c>
      <c r="I924" s="9" t="s">
        <v>4011</v>
      </c>
      <c r="J924" s="9" t="s">
        <v>4012</v>
      </c>
      <c r="K924" s="9" t="s">
        <v>4011</v>
      </c>
      <c r="L924" s="9" t="b">
        <f t="shared" si="58"/>
        <v>1</v>
      </c>
      <c r="M924" s="9" t="b">
        <f t="shared" si="59"/>
        <v>1</v>
      </c>
      <c r="N924" s="9" t="s">
        <v>4013</v>
      </c>
      <c r="O924" s="9">
        <v>0</v>
      </c>
      <c r="P924" s="9">
        <v>1000</v>
      </c>
      <c r="Q924" s="13"/>
      <c r="R924" s="13"/>
      <c r="S924" s="13"/>
      <c r="T924" s="9" t="s">
        <v>2294</v>
      </c>
      <c r="U924" s="13"/>
      <c r="V924" s="9" t="s">
        <v>30</v>
      </c>
      <c r="W924" s="13"/>
      <c r="X924" s="9">
        <v>2</v>
      </c>
    </row>
    <row r="925" spans="1:24">
      <c r="A925" s="13"/>
      <c r="B925" s="9" t="s">
        <v>4014</v>
      </c>
      <c r="C925" s="9" t="str">
        <f>VLOOKUP(B925,[1]RXNS!$B:$C,1,)</f>
        <v>UDCPDPS</v>
      </c>
      <c r="D925" s="9" t="b">
        <f t="shared" si="56"/>
        <v>1</v>
      </c>
      <c r="E925" s="9" t="s">
        <v>4015</v>
      </c>
      <c r="F925" s="9" t="s">
        <v>4015</v>
      </c>
      <c r="G925" s="9" t="b">
        <f t="shared" si="57"/>
        <v>1</v>
      </c>
      <c r="H925" s="9" t="str">
        <f>VLOOKUP(B925,[1]RXNS!$B:$D,3,FALSE)</f>
        <v>Farnesyl diphosphate[c] + 8 Isopentenyl diphosphate[c] =&gt; 8 Diphosphate[c] + Undecaprenyl diphosphate[c]</v>
      </c>
      <c r="I925" s="9" t="s">
        <v>4016</v>
      </c>
      <c r="J925" s="9" t="s">
        <v>4017</v>
      </c>
      <c r="K925" s="9" t="s">
        <v>4016</v>
      </c>
      <c r="L925" s="9" t="b">
        <f t="shared" si="58"/>
        <v>1</v>
      </c>
      <c r="M925" s="9" t="b">
        <f t="shared" si="59"/>
        <v>1</v>
      </c>
      <c r="N925" s="9" t="s">
        <v>4018</v>
      </c>
      <c r="O925" s="9">
        <v>0</v>
      </c>
      <c r="P925" s="9">
        <v>1000</v>
      </c>
      <c r="Q925" s="13"/>
      <c r="R925" s="13"/>
      <c r="S925" s="9" t="s">
        <v>4019</v>
      </c>
      <c r="T925" s="9" t="s">
        <v>573</v>
      </c>
      <c r="U925" s="13"/>
      <c r="V925" s="9" t="s">
        <v>30</v>
      </c>
      <c r="W925" s="13"/>
      <c r="X925" s="9">
        <v>2</v>
      </c>
    </row>
    <row r="926" spans="1:24">
      <c r="A926" s="13"/>
      <c r="B926" s="9" t="s">
        <v>4020</v>
      </c>
      <c r="C926" s="9" t="str">
        <f>VLOOKUP(B926,[1]RXNS!$B:$C,1,)</f>
        <v>UDCPK</v>
      </c>
      <c r="D926" s="9" t="b">
        <f t="shared" si="56"/>
        <v>1</v>
      </c>
      <c r="E926" s="9" t="s">
        <v>4021</v>
      </c>
      <c r="F926" s="9" t="s">
        <v>4021</v>
      </c>
      <c r="G926" s="9" t="b">
        <f t="shared" si="57"/>
        <v>1</v>
      </c>
      <c r="H926" s="9" t="str">
        <f>VLOOKUP(B926,[1]RXNS!$B:$D,3,FALSE)</f>
        <v>ATP[c] + Undecaprenol[c] =&gt; ADP[c] + H+[c] + Undecaprenyl phosphate[c]</v>
      </c>
      <c r="I926" s="9" t="s">
        <v>4022</v>
      </c>
      <c r="J926" s="9" t="s">
        <v>4023</v>
      </c>
      <c r="K926" s="9" t="s">
        <v>4022</v>
      </c>
      <c r="L926" s="9" t="b">
        <f t="shared" si="58"/>
        <v>1</v>
      </c>
      <c r="M926" s="9" t="b">
        <f t="shared" si="59"/>
        <v>1</v>
      </c>
      <c r="N926" s="9" t="s">
        <v>4024</v>
      </c>
      <c r="O926" s="9">
        <v>0</v>
      </c>
      <c r="P926" s="9">
        <v>1000</v>
      </c>
      <c r="Q926" s="13"/>
      <c r="R926" s="13"/>
      <c r="S926" s="13"/>
      <c r="T926" s="9" t="s">
        <v>2294</v>
      </c>
      <c r="U926" s="13"/>
      <c r="V926" s="9" t="s">
        <v>30</v>
      </c>
      <c r="W926" s="13"/>
      <c r="X926" s="9">
        <v>2</v>
      </c>
    </row>
    <row r="927" spans="1:24">
      <c r="A927" s="13"/>
      <c r="B927" s="9" t="s">
        <v>4025</v>
      </c>
      <c r="C927" s="9" t="str">
        <f>VLOOKUP(B927,[1]RXNS!$B:$C,1,)</f>
        <v>UDPDPS</v>
      </c>
      <c r="D927" s="9" t="b">
        <f t="shared" si="56"/>
        <v>1</v>
      </c>
      <c r="E927" s="9" t="s">
        <v>4026</v>
      </c>
      <c r="F927" s="9" t="s">
        <v>4026</v>
      </c>
      <c r="G927" s="9" t="b">
        <f t="shared" si="57"/>
        <v>1</v>
      </c>
      <c r="H927" s="9" t="str">
        <f>VLOOKUP(B927,[1]RXNS!$B:$D,3,FALSE)</f>
        <v>all-trans-Decaprenyl diphosphate[c] + Isopentenyl diphosphate[c] =&gt; Diphosphate[c] + Undecaprenyl diphosphate[c]</v>
      </c>
      <c r="I927" s="9" t="s">
        <v>4027</v>
      </c>
      <c r="J927" s="9" t="s">
        <v>4028</v>
      </c>
      <c r="K927" s="9" t="s">
        <v>4027</v>
      </c>
      <c r="L927" s="9" t="b">
        <f t="shared" si="58"/>
        <v>1</v>
      </c>
      <c r="M927" s="9" t="b">
        <f t="shared" si="59"/>
        <v>1</v>
      </c>
      <c r="N927" s="9" t="s">
        <v>4029</v>
      </c>
      <c r="O927" s="9">
        <v>0</v>
      </c>
      <c r="P927" s="9">
        <v>1000</v>
      </c>
      <c r="Q927" s="13"/>
      <c r="R927" s="13"/>
      <c r="S927" s="13"/>
      <c r="T927" s="9" t="s">
        <v>573</v>
      </c>
      <c r="U927" s="13"/>
      <c r="V927" s="9" t="s">
        <v>30</v>
      </c>
      <c r="W927" s="13"/>
      <c r="X927" s="9">
        <v>2</v>
      </c>
    </row>
    <row r="928" spans="1:24">
      <c r="A928" s="13"/>
      <c r="B928" s="9" t="s">
        <v>4030</v>
      </c>
      <c r="C928" s="9" t="str">
        <f>VLOOKUP(B928,[1]RXNS!$B:$C,1,)</f>
        <v>UDPG4E</v>
      </c>
      <c r="D928" s="9" t="b">
        <f t="shared" si="56"/>
        <v>1</v>
      </c>
      <c r="E928" s="9" t="s">
        <v>3339</v>
      </c>
      <c r="F928" s="9" t="s">
        <v>3339</v>
      </c>
      <c r="G928" s="9" t="b">
        <f t="shared" si="57"/>
        <v>1</v>
      </c>
      <c r="H928" s="9" t="str">
        <f>VLOOKUP(B928,[1]RXNS!$B:$D,3,FALSE)</f>
        <v>UDPglucose[c] &lt;=&gt; UDPgalactose[c]</v>
      </c>
      <c r="I928" s="9" t="s">
        <v>3340</v>
      </c>
      <c r="J928" s="9" t="s">
        <v>4031</v>
      </c>
      <c r="K928" s="9" t="s">
        <v>3340</v>
      </c>
      <c r="L928" s="9" t="b">
        <f t="shared" si="58"/>
        <v>1</v>
      </c>
      <c r="M928" s="9" t="b">
        <f t="shared" si="59"/>
        <v>1</v>
      </c>
      <c r="N928" s="9" t="s">
        <v>3342</v>
      </c>
      <c r="O928" s="9">
        <v>-1000</v>
      </c>
      <c r="P928" s="9">
        <v>1000</v>
      </c>
      <c r="Q928" s="13"/>
      <c r="R928" s="13"/>
      <c r="S928" s="9" t="s">
        <v>4032</v>
      </c>
      <c r="T928" s="9" t="s">
        <v>1370</v>
      </c>
      <c r="U928" s="13"/>
      <c r="V928" s="9" t="s">
        <v>30</v>
      </c>
      <c r="W928" s="13"/>
      <c r="X928" s="9">
        <v>2</v>
      </c>
    </row>
    <row r="929" spans="1:24">
      <c r="A929" s="13"/>
      <c r="B929" s="9" t="s">
        <v>4033</v>
      </c>
      <c r="C929" s="9" t="str">
        <f>VLOOKUP(B929,[1]RXNS!$B:$C,1,)</f>
        <v>UDPGALM</v>
      </c>
      <c r="D929" s="9" t="b">
        <f t="shared" si="56"/>
        <v>1</v>
      </c>
      <c r="E929" s="9" t="s">
        <v>4034</v>
      </c>
      <c r="F929" s="9" t="s">
        <v>4034</v>
      </c>
      <c r="G929" s="9" t="b">
        <f t="shared" si="57"/>
        <v>1</v>
      </c>
      <c r="H929" s="9" t="str">
        <f>VLOOKUP(B929,[1]RXNS!$B:$D,3,FALSE)</f>
        <v>UDPgalactose[c] =&gt; UDP-D-galacto-1,4-furanose[c]</v>
      </c>
      <c r="I929" s="9" t="s">
        <v>4035</v>
      </c>
      <c r="J929" s="9" t="s">
        <v>4036</v>
      </c>
      <c r="K929" s="9" t="s">
        <v>4035</v>
      </c>
      <c r="L929" s="9" t="b">
        <f t="shared" si="58"/>
        <v>1</v>
      </c>
      <c r="M929" s="9" t="b">
        <f t="shared" si="59"/>
        <v>1</v>
      </c>
      <c r="N929" s="9" t="s">
        <v>4037</v>
      </c>
      <c r="O929" s="9">
        <v>0</v>
      </c>
      <c r="P929" s="9">
        <v>1000</v>
      </c>
      <c r="Q929" s="13"/>
      <c r="R929" s="13"/>
      <c r="S929" s="9" t="s">
        <v>4038</v>
      </c>
      <c r="T929" s="9" t="s">
        <v>4039</v>
      </c>
      <c r="U929" s="13"/>
      <c r="V929" s="9" t="s">
        <v>30</v>
      </c>
      <c r="W929" s="13"/>
      <c r="X929" s="9">
        <v>2</v>
      </c>
    </row>
    <row r="930" spans="1:24">
      <c r="A930" s="13"/>
      <c r="B930" s="9" t="s">
        <v>4040</v>
      </c>
      <c r="C930" s="9" t="str">
        <f>VLOOKUP(B930,[1]RXNS!$B:$C,1,)</f>
        <v>UGLDDS1</v>
      </c>
      <c r="D930" s="9" t="b">
        <f t="shared" si="56"/>
        <v>1</v>
      </c>
      <c r="E930" s="9" t="s">
        <v>4041</v>
      </c>
      <c r="F930" s="9" t="s">
        <v>4041</v>
      </c>
      <c r="G930" s="9" t="b">
        <f t="shared" si="57"/>
        <v>1</v>
      </c>
      <c r="H930" s="9" t="str">
        <f>VLOOKUP(B930,[1]RXNS!$B:$D,3,FALSE)</f>
        <v>D-Alanyl-D-alanine[c] + ATP[c] + UDP-N-acetylmuramoyl-L-alanyl-D-glutamyl-L-lysine[c] =&gt; ADP[c] + Phosphate[c] + UDP-N-acetylmuramoyl-L-alanyl-D-glutamyl-L-lysyl-D-alanyl-D-alanine[c]</v>
      </c>
      <c r="I930" s="9" t="s">
        <v>4042</v>
      </c>
      <c r="J930" s="9" t="s">
        <v>4043</v>
      </c>
      <c r="K930" s="9" t="s">
        <v>4042</v>
      </c>
      <c r="L930" s="9" t="b">
        <f t="shared" si="58"/>
        <v>1</v>
      </c>
      <c r="M930" s="9" t="b">
        <f t="shared" si="59"/>
        <v>1</v>
      </c>
      <c r="N930" s="9" t="s">
        <v>2426</v>
      </c>
      <c r="O930" s="9">
        <v>0</v>
      </c>
      <c r="P930" s="9">
        <v>1000</v>
      </c>
      <c r="Q930" s="13"/>
      <c r="R930" s="13"/>
      <c r="S930" s="9" t="s">
        <v>4044</v>
      </c>
      <c r="T930" s="9" t="s">
        <v>348</v>
      </c>
      <c r="U930" s="13"/>
      <c r="V930" s="9" t="s">
        <v>30</v>
      </c>
      <c r="W930" s="13"/>
      <c r="X930" s="9">
        <v>2</v>
      </c>
    </row>
    <row r="931" spans="1:24">
      <c r="A931" s="13"/>
      <c r="B931" s="9" t="s">
        <v>4045</v>
      </c>
      <c r="C931" s="9" t="str">
        <f>VLOOKUP(B931,[1]RXNS!$B:$C,1,)</f>
        <v>UGLDDS2</v>
      </c>
      <c r="D931" s="9" t="b">
        <f t="shared" si="56"/>
        <v>1</v>
      </c>
      <c r="E931" s="9" t="s">
        <v>4046</v>
      </c>
      <c r="F931" s="9" t="s">
        <v>4046</v>
      </c>
      <c r="G931" s="9" t="b">
        <f t="shared" si="57"/>
        <v>1</v>
      </c>
      <c r="H931" s="9" t="str">
        <f>VLOOKUP(B931,[1]RXNS!$B:$D,3,FALSE)</f>
        <v>D-Alanyl-D-alanine[c] + ATP[c] + UDP-N-acetylmuramoyl-L-alanyl-gamma-D-glutamyl-L-lysine[c] =&gt; ADP[c] + H+[c] + Phosphate[c] + UDP-N-acetylmuramoyl-L-alanyl-gamma-D-glutamyl-L-lysyl-D-alanyl-D-alanine[c]</v>
      </c>
      <c r="I931" s="9" t="s">
        <v>2424</v>
      </c>
      <c r="J931" s="9" t="s">
        <v>4047</v>
      </c>
      <c r="K931" s="9" t="s">
        <v>2424</v>
      </c>
      <c r="L931" s="9" t="b">
        <f t="shared" si="58"/>
        <v>1</v>
      </c>
      <c r="M931" s="9" t="b">
        <f t="shared" si="59"/>
        <v>1</v>
      </c>
      <c r="N931" s="9" t="s">
        <v>2426</v>
      </c>
      <c r="O931" s="9">
        <v>0</v>
      </c>
      <c r="P931" s="9">
        <v>1000</v>
      </c>
      <c r="Q931" s="13"/>
      <c r="R931" s="13"/>
      <c r="S931" s="13"/>
      <c r="T931" s="9" t="s">
        <v>348</v>
      </c>
      <c r="U931" s="13"/>
      <c r="V931" s="9" t="s">
        <v>30</v>
      </c>
      <c r="W931" s="13"/>
      <c r="X931" s="9">
        <v>2</v>
      </c>
    </row>
    <row r="932" spans="1:24">
      <c r="A932" s="13"/>
      <c r="B932" s="9" t="s">
        <v>4048</v>
      </c>
      <c r="C932" s="9" t="str">
        <f>VLOOKUP(B932,[1]RXNS!$B:$C,1,)</f>
        <v>UGMDDS2</v>
      </c>
      <c r="D932" s="9" t="b">
        <f t="shared" si="56"/>
        <v>1</v>
      </c>
      <c r="E932" s="9" t="s">
        <v>4049</v>
      </c>
      <c r="F932" s="9" t="s">
        <v>4049</v>
      </c>
      <c r="G932" s="9" t="b">
        <f t="shared" si="57"/>
        <v>1</v>
      </c>
      <c r="H932" s="9" t="str">
        <f>VLOOKUP(B932,[1]RXNS!$B:$D,3,FALSE)</f>
        <v>D-Alanyl-D-lactate[c] + ATP[c] + UDP-N-acetylmuramoyl-L-alanyl-D-gamma-glutamyl-meso-2,6-diaminopimelate[c] =&gt; ADP[c] + H+[c] + Phosphate[c] + UDP-N-acetylmuramoyl-L-alanyl-D-glutamyl-meso-2,6-diaminopimeloyl-D-alanyl-D-lactate[c]</v>
      </c>
      <c r="I932" s="9" t="s">
        <v>2424</v>
      </c>
      <c r="J932" s="9" t="s">
        <v>4050</v>
      </c>
      <c r="K932" s="9" t="s">
        <v>2424</v>
      </c>
      <c r="L932" s="9" t="b">
        <f t="shared" si="58"/>
        <v>1</v>
      </c>
      <c r="M932" s="9" t="b">
        <f t="shared" si="59"/>
        <v>1</v>
      </c>
      <c r="N932" s="9" t="s">
        <v>2426</v>
      </c>
      <c r="O932" s="9">
        <v>0</v>
      </c>
      <c r="P932" s="9">
        <v>1000</v>
      </c>
      <c r="Q932" s="13"/>
      <c r="R932" s="13"/>
      <c r="S932" s="13"/>
      <c r="T932" s="9" t="s">
        <v>348</v>
      </c>
      <c r="U932" s="13"/>
      <c r="V932" s="9" t="s">
        <v>30</v>
      </c>
      <c r="W932" s="13"/>
      <c r="X932" s="9">
        <v>2</v>
      </c>
    </row>
    <row r="933" spans="1:24">
      <c r="A933" s="13"/>
      <c r="B933" s="9" t="s">
        <v>4051</v>
      </c>
      <c r="C933" s="9" t="str">
        <f>VLOOKUP(B933,[1]RXNS!$B:$C,1,)</f>
        <v>UMPK</v>
      </c>
      <c r="D933" s="9" t="b">
        <f t="shared" si="56"/>
        <v>1</v>
      </c>
      <c r="E933" s="9" t="s">
        <v>4052</v>
      </c>
      <c r="F933" s="9" t="s">
        <v>4052</v>
      </c>
      <c r="G933" s="9" t="b">
        <f t="shared" si="57"/>
        <v>1</v>
      </c>
      <c r="H933" s="9" t="str">
        <f>VLOOKUP(B933,[1]RXNS!$B:$D,3,FALSE)</f>
        <v>ATP[c] + UMP[c] &lt;=&gt; ADP[c] + UDP[c]</v>
      </c>
      <c r="I933" s="9" t="s">
        <v>4053</v>
      </c>
      <c r="J933" s="9" t="s">
        <v>4054</v>
      </c>
      <c r="K933" s="9" t="s">
        <v>4053</v>
      </c>
      <c r="L933" s="9" t="b">
        <f t="shared" si="58"/>
        <v>0</v>
      </c>
      <c r="M933" s="9" t="b">
        <f t="shared" si="59"/>
        <v>1</v>
      </c>
      <c r="N933" s="9" t="s">
        <v>726</v>
      </c>
      <c r="O933" s="9">
        <v>0</v>
      </c>
      <c r="P933" s="9">
        <v>1000</v>
      </c>
      <c r="Q933" s="13"/>
      <c r="R933" s="13"/>
      <c r="S933" s="9" t="s">
        <v>4055</v>
      </c>
      <c r="T933" s="9" t="s">
        <v>648</v>
      </c>
      <c r="U933" s="13"/>
      <c r="V933" s="9" t="s">
        <v>30</v>
      </c>
      <c r="W933" s="13"/>
      <c r="X933" s="9">
        <v>2</v>
      </c>
    </row>
    <row r="934" spans="1:24">
      <c r="A934" s="13"/>
      <c r="B934" s="9" t="s">
        <v>4056</v>
      </c>
      <c r="C934" s="9" t="str">
        <f>VLOOKUP(B934,[1]RXNS!$B:$C,1,)</f>
        <v>UPP3MT</v>
      </c>
      <c r="D934" s="9" t="b">
        <f t="shared" si="56"/>
        <v>1</v>
      </c>
      <c r="E934" s="9" t="s">
        <v>4057</v>
      </c>
      <c r="F934" s="9" t="s">
        <v>4057</v>
      </c>
      <c r="G934" s="9" t="b">
        <f t="shared" si="57"/>
        <v>1</v>
      </c>
      <c r="H934" s="9" t="str">
        <f>VLOOKUP(B934,[1]RXNS!$B:$D,3,FALSE)</f>
        <v>2 S-Adenosyl-L-methionine[c] + Uroporphyrinogen III[c] =&gt; 2 S-Adenosyl-L-homocysteine[c] + H+[c] + Sirohydrochlorin[c]</v>
      </c>
      <c r="I934" s="9" t="s">
        <v>3471</v>
      </c>
      <c r="J934" s="9" t="s">
        <v>4058</v>
      </c>
      <c r="K934" s="9" t="s">
        <v>3471</v>
      </c>
      <c r="L934" s="9" t="b">
        <f t="shared" si="58"/>
        <v>1</v>
      </c>
      <c r="M934" s="9" t="b">
        <f t="shared" si="59"/>
        <v>1</v>
      </c>
      <c r="N934" s="13"/>
      <c r="O934" s="9">
        <v>0</v>
      </c>
      <c r="P934" s="9">
        <v>1000</v>
      </c>
      <c r="Q934" s="13"/>
      <c r="R934" s="13"/>
      <c r="S934" s="13"/>
      <c r="T934" s="9" t="s">
        <v>29</v>
      </c>
      <c r="U934" s="13"/>
      <c r="V934" s="9" t="s">
        <v>35</v>
      </c>
      <c r="W934" s="13"/>
      <c r="X934" s="9">
        <v>2</v>
      </c>
    </row>
    <row r="935" spans="1:24">
      <c r="A935" s="13"/>
      <c r="B935" s="9" t="s">
        <v>4059</v>
      </c>
      <c r="C935" s="9" t="str">
        <f>VLOOKUP(B935,[1]RXNS!$B:$C,1,)</f>
        <v>UPP3S</v>
      </c>
      <c r="D935" s="9" t="b">
        <f t="shared" si="56"/>
        <v>1</v>
      </c>
      <c r="E935" s="9" t="s">
        <v>4060</v>
      </c>
      <c r="F935" s="9" t="s">
        <v>4060</v>
      </c>
      <c r="G935" s="9" t="b">
        <f t="shared" si="57"/>
        <v>1</v>
      </c>
      <c r="H935" s="9" t="str">
        <f>VLOOKUP(B935,[1]RXNS!$B:$D,3,FALSE)</f>
        <v>Hydroxymethylbilane[c] =&gt; H2O[c] + Uroporphyrinogen III[c]</v>
      </c>
      <c r="I935" s="9" t="s">
        <v>4061</v>
      </c>
      <c r="J935" s="9" t="s">
        <v>4062</v>
      </c>
      <c r="K935" s="9" t="s">
        <v>4061</v>
      </c>
      <c r="L935" s="9" t="b">
        <f t="shared" si="58"/>
        <v>1</v>
      </c>
      <c r="M935" s="9" t="b">
        <f t="shared" si="59"/>
        <v>1</v>
      </c>
      <c r="N935" s="13"/>
      <c r="O935" s="9">
        <v>0</v>
      </c>
      <c r="P935" s="9">
        <v>1000</v>
      </c>
      <c r="Q935" s="13"/>
      <c r="R935" s="13"/>
      <c r="S935" s="13"/>
      <c r="T935" s="9" t="s">
        <v>85</v>
      </c>
      <c r="U935" s="13"/>
      <c r="V935" s="9" t="s">
        <v>35</v>
      </c>
      <c r="W935" s="13"/>
      <c r="X935" s="9">
        <v>2</v>
      </c>
    </row>
    <row r="936" spans="1:24">
      <c r="A936" s="13"/>
      <c r="B936" s="9" t="s">
        <v>4063</v>
      </c>
      <c r="C936" s="9" t="str">
        <f>VLOOKUP(B936,[1]RXNS!$B:$C,1,)</f>
        <v>UPPRT</v>
      </c>
      <c r="D936" s="9" t="b">
        <f t="shared" si="56"/>
        <v>1</v>
      </c>
      <c r="E936" s="9" t="s">
        <v>4064</v>
      </c>
      <c r="F936" s="9" t="s">
        <v>4064</v>
      </c>
      <c r="G936" s="9" t="b">
        <f t="shared" si="57"/>
        <v>1</v>
      </c>
      <c r="H936" s="9" t="str">
        <f>VLOOKUP(B936,[1]RXNS!$B:$D,3,FALSE)</f>
        <v>5-Phospho-alpha-D-ribose 1-diphosphate[c] + Uracil[c] =&gt; Diphosphate[c] + UMP[c]</v>
      </c>
      <c r="I936" s="9" t="s">
        <v>4065</v>
      </c>
      <c r="J936" s="9" t="s">
        <v>4066</v>
      </c>
      <c r="K936" s="9" t="s">
        <v>4065</v>
      </c>
      <c r="L936" s="9" t="b">
        <f t="shared" si="58"/>
        <v>1</v>
      </c>
      <c r="M936" s="9" t="b">
        <f t="shared" si="59"/>
        <v>1</v>
      </c>
      <c r="N936" s="9" t="s">
        <v>4067</v>
      </c>
      <c r="O936" s="9">
        <v>0</v>
      </c>
      <c r="P936" s="9">
        <v>1000</v>
      </c>
      <c r="Q936" s="13"/>
      <c r="R936" s="13"/>
      <c r="S936" s="9" t="s">
        <v>4068</v>
      </c>
      <c r="T936" s="9" t="s">
        <v>648</v>
      </c>
      <c r="U936" s="13"/>
      <c r="V936" s="9" t="s">
        <v>30</v>
      </c>
      <c r="W936" s="13"/>
      <c r="X936" s="9">
        <v>2</v>
      </c>
    </row>
    <row r="937" spans="1:24">
      <c r="A937" s="13"/>
      <c r="B937" s="9" t="s">
        <v>4069</v>
      </c>
      <c r="C937" s="9" t="str">
        <f>VLOOKUP(B937,[1]RXNS!$B:$C,1,)</f>
        <v>URAt2</v>
      </c>
      <c r="D937" s="9" t="b">
        <f t="shared" si="56"/>
        <v>1</v>
      </c>
      <c r="E937" s="9" t="s">
        <v>4070</v>
      </c>
      <c r="F937" s="9" t="s">
        <v>4070</v>
      </c>
      <c r="G937" s="9" t="b">
        <f t="shared" si="57"/>
        <v>1</v>
      </c>
      <c r="H937" s="9" t="str">
        <f>VLOOKUP(B937,[1]RXNS!$B:$D,3,FALSE)</f>
        <v>H+[e] + Uracil[e] =&gt; H+[c] + Uracil[c]</v>
      </c>
      <c r="I937" s="9">
        <f>VLOOKUP(B937,[1]RXNS!$B:$E,4,FALSE)</f>
        <v>0</v>
      </c>
      <c r="J937" s="9" t="s">
        <v>4071</v>
      </c>
      <c r="K937" s="13"/>
      <c r="L937" s="9" t="b">
        <f t="shared" si="58"/>
        <v>1</v>
      </c>
      <c r="M937" s="9" t="b">
        <f t="shared" si="59"/>
        <v>0</v>
      </c>
      <c r="N937" s="9" t="s">
        <v>4072</v>
      </c>
      <c r="O937" s="9">
        <v>0</v>
      </c>
      <c r="P937" s="9">
        <v>1000</v>
      </c>
      <c r="Q937" s="13"/>
      <c r="R937" s="13"/>
      <c r="S937" s="9" t="s">
        <v>4073</v>
      </c>
      <c r="T937" s="9" t="s">
        <v>146</v>
      </c>
      <c r="U937" s="13"/>
      <c r="V937" s="9" t="s">
        <v>30</v>
      </c>
      <c r="W937" s="13"/>
      <c r="X937" s="9">
        <v>2</v>
      </c>
    </row>
    <row r="938" spans="1:24">
      <c r="A938" s="13"/>
      <c r="B938" s="9" t="s">
        <v>4074</v>
      </c>
      <c r="C938" s="9" t="str">
        <f>VLOOKUP(B938,[1]RXNS!$B:$C,1,)</f>
        <v>URIDK2</v>
      </c>
      <c r="D938" s="9" t="b">
        <f t="shared" si="56"/>
        <v>1</v>
      </c>
      <c r="E938" s="9" t="s">
        <v>4075</v>
      </c>
      <c r="F938" s="9" t="s">
        <v>4075</v>
      </c>
      <c r="G938" s="9" t="b">
        <f t="shared" si="57"/>
        <v>1</v>
      </c>
      <c r="H938" s="9" t="str">
        <f>VLOOKUP(B938,[1]RXNS!$B:$D,3,FALSE)</f>
        <v>ATP[c] + dUMP[c] =&gt; ADP[c] + dUDP[c]</v>
      </c>
      <c r="I938" s="9" t="s">
        <v>4076</v>
      </c>
      <c r="J938" s="9" t="s">
        <v>4077</v>
      </c>
      <c r="K938" s="9" t="s">
        <v>4076</v>
      </c>
      <c r="L938" s="9" t="b">
        <f t="shared" si="58"/>
        <v>1</v>
      </c>
      <c r="M938" s="9" t="b">
        <f t="shared" si="59"/>
        <v>1</v>
      </c>
      <c r="N938" s="9" t="s">
        <v>4078</v>
      </c>
      <c r="O938" s="9">
        <v>0</v>
      </c>
      <c r="P938" s="9">
        <v>1000</v>
      </c>
      <c r="Q938" s="13"/>
      <c r="R938" s="13"/>
      <c r="S938" s="13"/>
      <c r="T938" s="9" t="s">
        <v>648</v>
      </c>
      <c r="U938" s="13"/>
      <c r="V938" s="9" t="s">
        <v>30</v>
      </c>
      <c r="W938" s="13"/>
      <c r="X938" s="9">
        <v>2</v>
      </c>
    </row>
    <row r="939" spans="1:24">
      <c r="A939" s="13"/>
      <c r="B939" s="9" t="s">
        <v>4079</v>
      </c>
      <c r="C939" s="9" t="str">
        <f>VLOOKUP(B939,[1]RXNS!$B:$C,1,)</f>
        <v>URIK1</v>
      </c>
      <c r="D939" s="9" t="b">
        <f t="shared" si="56"/>
        <v>1</v>
      </c>
      <c r="E939" s="9" t="s">
        <v>4080</v>
      </c>
      <c r="F939" s="9" t="s">
        <v>4080</v>
      </c>
      <c r="G939" s="9" t="b">
        <f t="shared" si="57"/>
        <v>1</v>
      </c>
      <c r="H939" s="9" t="str">
        <f>VLOOKUP(B939,[1]RXNS!$B:$D,3,FALSE)</f>
        <v>ATP[c] + Uridine[c] =&gt; ADP[c] + H+[c] + UMP[c]</v>
      </c>
      <c r="I939" s="9" t="s">
        <v>711</v>
      </c>
      <c r="J939" s="9" t="s">
        <v>4081</v>
      </c>
      <c r="K939" s="9" t="s">
        <v>711</v>
      </c>
      <c r="L939" s="9" t="b">
        <f t="shared" si="58"/>
        <v>1</v>
      </c>
      <c r="M939" s="9" t="b">
        <f t="shared" si="59"/>
        <v>1</v>
      </c>
      <c r="N939" s="9" t="s">
        <v>713</v>
      </c>
      <c r="O939" s="9">
        <v>0</v>
      </c>
      <c r="P939" s="9">
        <v>1000</v>
      </c>
      <c r="Q939" s="13"/>
      <c r="R939" s="13"/>
      <c r="S939" s="9" t="s">
        <v>4082</v>
      </c>
      <c r="T939" s="9" t="s">
        <v>648</v>
      </c>
      <c r="U939" s="13"/>
      <c r="V939" s="9" t="s">
        <v>30</v>
      </c>
      <c r="W939" s="13"/>
      <c r="X939" s="9">
        <v>2</v>
      </c>
    </row>
    <row r="940" spans="1:24">
      <c r="A940" s="13"/>
      <c r="B940" s="9" t="s">
        <v>4083</v>
      </c>
      <c r="C940" s="9" t="str">
        <f>VLOOKUP(B940,[1]RXNS!$B:$C,1,)</f>
        <v>URIK2</v>
      </c>
      <c r="D940" s="9" t="b">
        <f t="shared" si="56"/>
        <v>1</v>
      </c>
      <c r="E940" s="9" t="s">
        <v>4084</v>
      </c>
      <c r="F940" s="9" t="s">
        <v>4084</v>
      </c>
      <c r="G940" s="9" t="b">
        <f t="shared" si="57"/>
        <v>1</v>
      </c>
      <c r="H940" s="9" t="str">
        <f>VLOOKUP(B940,[1]RXNS!$B:$D,3,FALSE)</f>
        <v>GTP[c] + Uridine[c] =&gt; GDP[c] + H+[c] + UMP[c]</v>
      </c>
      <c r="I940" s="9" t="s">
        <v>4085</v>
      </c>
      <c r="J940" s="9" t="s">
        <v>4086</v>
      </c>
      <c r="K940" s="9" t="s">
        <v>4085</v>
      </c>
      <c r="L940" s="9" t="b">
        <f t="shared" si="58"/>
        <v>1</v>
      </c>
      <c r="M940" s="9" t="b">
        <f t="shared" si="59"/>
        <v>1</v>
      </c>
      <c r="N940" s="9" t="s">
        <v>713</v>
      </c>
      <c r="O940" s="9">
        <v>0</v>
      </c>
      <c r="P940" s="9">
        <v>1000</v>
      </c>
      <c r="Q940" s="13"/>
      <c r="R940" s="13"/>
      <c r="S940" s="9" t="s">
        <v>4087</v>
      </c>
      <c r="T940" s="9" t="s">
        <v>648</v>
      </c>
      <c r="U940" s="13"/>
      <c r="V940" s="9" t="s">
        <v>30</v>
      </c>
      <c r="W940" s="13"/>
      <c r="X940" s="9">
        <v>2</v>
      </c>
    </row>
    <row r="941" spans="1:24">
      <c r="A941" s="13"/>
      <c r="B941" s="9" t="s">
        <v>4088</v>
      </c>
      <c r="C941" s="9" t="str">
        <f>VLOOKUP(B941,[1]RXNS!$B:$C,1,)</f>
        <v>URIK3</v>
      </c>
      <c r="D941" s="9" t="b">
        <f t="shared" si="56"/>
        <v>1</v>
      </c>
      <c r="E941" s="9" t="s">
        <v>4089</v>
      </c>
      <c r="F941" s="9" t="s">
        <v>4089</v>
      </c>
      <c r="G941" s="9" t="b">
        <f t="shared" si="57"/>
        <v>1</v>
      </c>
      <c r="H941" s="9" t="str">
        <f>VLOOKUP(B941,[1]RXNS!$B:$D,3,FALSE)</f>
        <v>ITP[c] + Uridine[c] =&gt; H+[c] + IDP[c] + UMP[c]</v>
      </c>
      <c r="I941" s="9" t="s">
        <v>4085</v>
      </c>
      <c r="J941" s="9" t="s">
        <v>4090</v>
      </c>
      <c r="K941" s="9" t="s">
        <v>4085</v>
      </c>
      <c r="L941" s="9" t="b">
        <f t="shared" si="58"/>
        <v>1</v>
      </c>
      <c r="M941" s="9" t="b">
        <f t="shared" si="59"/>
        <v>1</v>
      </c>
      <c r="N941" s="9" t="s">
        <v>713</v>
      </c>
      <c r="O941" s="9">
        <v>0</v>
      </c>
      <c r="P941" s="9">
        <v>1000</v>
      </c>
      <c r="Q941" s="13"/>
      <c r="R941" s="13"/>
      <c r="S941" s="9" t="s">
        <v>4091</v>
      </c>
      <c r="T941" s="9" t="s">
        <v>648</v>
      </c>
      <c r="U941" s="13"/>
      <c r="V941" s="9" t="s">
        <v>30</v>
      </c>
      <c r="W941" s="13"/>
      <c r="X941" s="9">
        <v>2</v>
      </c>
    </row>
    <row r="942" spans="1:24">
      <c r="A942" s="13"/>
      <c r="B942" s="9" t="s">
        <v>4092</v>
      </c>
      <c r="C942" s="9" t="str">
        <f>VLOOKUP(B942,[1]RXNS!$B:$C,1,)</f>
        <v>VALTRS</v>
      </c>
      <c r="D942" s="9" t="b">
        <f t="shared" si="56"/>
        <v>1</v>
      </c>
      <c r="E942" s="9" t="s">
        <v>4093</v>
      </c>
      <c r="F942" s="9" t="s">
        <v>4093</v>
      </c>
      <c r="G942" s="9" t="b">
        <f t="shared" si="57"/>
        <v>1</v>
      </c>
      <c r="H942" s="9" t="str">
        <f>VLOOKUP(B942,[1]RXNS!$B:$D,3,FALSE)</f>
        <v>ATP[c] + tRNA(Val)[c] + L-Valine[c] =&gt; AMP[c] + Diphosphate[c] + L-Valyl-tRNA(Val)[c]</v>
      </c>
      <c r="I942" s="9" t="s">
        <v>4094</v>
      </c>
      <c r="J942" s="9" t="s">
        <v>4095</v>
      </c>
      <c r="K942" s="9" t="s">
        <v>4094</v>
      </c>
      <c r="L942" s="9" t="b">
        <f t="shared" si="58"/>
        <v>1</v>
      </c>
      <c r="M942" s="9" t="b">
        <f t="shared" si="59"/>
        <v>1</v>
      </c>
      <c r="N942" s="9" t="s">
        <v>4096</v>
      </c>
      <c r="O942" s="9">
        <v>0</v>
      </c>
      <c r="P942" s="9">
        <v>1000</v>
      </c>
      <c r="Q942" s="13"/>
      <c r="R942" s="13"/>
      <c r="S942" s="13"/>
      <c r="T942" s="9" t="s">
        <v>278</v>
      </c>
      <c r="U942" s="13"/>
      <c r="V942" s="9" t="s">
        <v>30</v>
      </c>
      <c r="W942" s="13"/>
      <c r="X942" s="9">
        <v>2</v>
      </c>
    </row>
    <row r="943" spans="1:24">
      <c r="A943" s="13"/>
      <c r="B943" s="9" t="s">
        <v>4097</v>
      </c>
      <c r="C943" s="9" t="str">
        <f>VLOOKUP(B943,[1]RXNS!$B:$C,1,)</f>
        <v>VALt6</v>
      </c>
      <c r="D943" s="9" t="b">
        <f t="shared" si="56"/>
        <v>1</v>
      </c>
      <c r="E943" s="9" t="s">
        <v>4098</v>
      </c>
      <c r="F943" s="9" t="s">
        <v>4098</v>
      </c>
      <c r="G943" s="9" t="b">
        <f t="shared" si="57"/>
        <v>1</v>
      </c>
      <c r="H943" s="9" t="str">
        <f>VLOOKUP(B943,[1]RXNS!$B:$D,3,FALSE)</f>
        <v>H+[e] + L-Valine[e] &lt;=&gt; H+[c] + L-Valine[c]</v>
      </c>
      <c r="I943" s="9">
        <f>VLOOKUP(B943,[1]RXNS!$B:$E,4,FALSE)</f>
        <v>0</v>
      </c>
      <c r="J943" s="9" t="s">
        <v>4099</v>
      </c>
      <c r="K943" s="13"/>
      <c r="L943" s="9" t="b">
        <f t="shared" si="58"/>
        <v>1</v>
      </c>
      <c r="M943" s="9" t="b">
        <f t="shared" si="59"/>
        <v>0</v>
      </c>
      <c r="N943" s="9" t="s">
        <v>2534</v>
      </c>
      <c r="O943" s="9">
        <v>-1000</v>
      </c>
      <c r="P943" s="9">
        <v>1000</v>
      </c>
      <c r="Q943" s="13"/>
      <c r="R943" s="13"/>
      <c r="S943" s="13"/>
      <c r="T943" s="9" t="s">
        <v>146</v>
      </c>
      <c r="U943" s="13"/>
      <c r="V943" s="9" t="s">
        <v>30</v>
      </c>
      <c r="W943" s="13"/>
      <c r="X943" s="9">
        <v>2</v>
      </c>
    </row>
    <row r="944" spans="1:24">
      <c r="A944" s="13"/>
      <c r="B944" s="9" t="s">
        <v>4100</v>
      </c>
      <c r="C944" s="9" t="str">
        <f>VLOOKUP(B944,[1]RXNS!$B:$C,1,)</f>
        <v>XANt2</v>
      </c>
      <c r="D944" s="9" t="b">
        <f t="shared" si="56"/>
        <v>1</v>
      </c>
      <c r="E944" s="9" t="s">
        <v>4101</v>
      </c>
      <c r="F944" s="9" t="s">
        <v>4101</v>
      </c>
      <c r="G944" s="9" t="b">
        <f t="shared" si="57"/>
        <v>1</v>
      </c>
      <c r="H944" s="9" t="str">
        <f>VLOOKUP(B944,[1]RXNS!$B:$D,3,FALSE)</f>
        <v>H+[e] + Xanthine[e] =&gt; H+[c] + Xanthine[c]</v>
      </c>
      <c r="I944" s="9">
        <f>VLOOKUP(B944,[1]RXNS!$B:$E,4,FALSE)</f>
        <v>0</v>
      </c>
      <c r="J944" s="9" t="s">
        <v>4102</v>
      </c>
      <c r="K944" s="13"/>
      <c r="L944" s="9" t="b">
        <f t="shared" si="58"/>
        <v>1</v>
      </c>
      <c r="M944" s="9" t="b">
        <f t="shared" si="59"/>
        <v>0</v>
      </c>
      <c r="N944" s="9" t="s">
        <v>4103</v>
      </c>
      <c r="O944" s="9">
        <v>0</v>
      </c>
      <c r="P944" s="9">
        <v>1000</v>
      </c>
      <c r="Q944" s="13"/>
      <c r="R944" s="13"/>
      <c r="S944" s="9" t="s">
        <v>4104</v>
      </c>
      <c r="T944" s="9" t="s">
        <v>146</v>
      </c>
      <c r="U944" s="13"/>
      <c r="V944" s="9" t="s">
        <v>30</v>
      </c>
      <c r="W944" s="13"/>
      <c r="X944" s="9">
        <v>2</v>
      </c>
    </row>
    <row r="945" spans="1:24">
      <c r="A945" s="13"/>
      <c r="B945" s="9" t="s">
        <v>4105</v>
      </c>
      <c r="C945" s="9" t="str">
        <f>VLOOKUP(B945,[1]RXNS!$B:$C,1,)</f>
        <v>XPPT</v>
      </c>
      <c r="D945" s="9" t="b">
        <f t="shared" si="56"/>
        <v>1</v>
      </c>
      <c r="E945" s="9" t="s">
        <v>4106</v>
      </c>
      <c r="F945" s="9" t="s">
        <v>4106</v>
      </c>
      <c r="G945" s="9" t="b">
        <f t="shared" si="57"/>
        <v>1</v>
      </c>
      <c r="H945" s="9" t="str">
        <f>VLOOKUP(B945,[1]RXNS!$B:$D,3,FALSE)</f>
        <v>5-Phospho-alpha-D-ribose 1-diphosphate[c] + Xanthine[c] =&gt; Diphosphate[c] + Xanthosine 5'-phosphate[c]</v>
      </c>
      <c r="I945" s="9" t="s">
        <v>4107</v>
      </c>
      <c r="J945" s="9" t="s">
        <v>4108</v>
      </c>
      <c r="K945" s="9" t="s">
        <v>4107</v>
      </c>
      <c r="L945" s="9" t="b">
        <f t="shared" si="58"/>
        <v>1</v>
      </c>
      <c r="M945" s="9" t="b">
        <f t="shared" si="59"/>
        <v>1</v>
      </c>
      <c r="N945" s="9" t="s">
        <v>4109</v>
      </c>
      <c r="O945" s="9">
        <v>0</v>
      </c>
      <c r="P945" s="9">
        <v>1000</v>
      </c>
      <c r="Q945" s="13"/>
      <c r="R945" s="13"/>
      <c r="S945" s="9" t="s">
        <v>4110</v>
      </c>
      <c r="T945" s="9" t="s">
        <v>153</v>
      </c>
      <c r="U945" s="13"/>
      <c r="V945" s="9" t="s">
        <v>30</v>
      </c>
      <c r="W945" s="13"/>
      <c r="X945" s="9">
        <v>2</v>
      </c>
    </row>
    <row r="946" spans="1:24">
      <c r="A946" s="13"/>
      <c r="B946" s="9" t="s">
        <v>4111</v>
      </c>
      <c r="C946" s="9" t="str">
        <f>VLOOKUP(B946,[1]RXNS!$B:$C,1,)</f>
        <v>XYLK</v>
      </c>
      <c r="D946" s="9" t="b">
        <f t="shared" si="56"/>
        <v>1</v>
      </c>
      <c r="E946" s="9" t="s">
        <v>4112</v>
      </c>
      <c r="F946" s="9" t="s">
        <v>4112</v>
      </c>
      <c r="G946" s="9" t="b">
        <f t="shared" si="57"/>
        <v>1</v>
      </c>
      <c r="H946" s="9" t="str">
        <f>VLOOKUP(B946,[1]RXNS!$B:$D,3,FALSE)</f>
        <v>ATP[c] + D-Xylulose[c] =&gt; ADP[c] + H+[c] + D-Xylulose 5-phosphate[c]</v>
      </c>
      <c r="I946" s="9" t="s">
        <v>4113</v>
      </c>
      <c r="J946" s="9" t="s">
        <v>4114</v>
      </c>
      <c r="K946" s="9" t="s">
        <v>4113</v>
      </c>
      <c r="L946" s="9" t="b">
        <f t="shared" si="58"/>
        <v>1</v>
      </c>
      <c r="M946" s="9" t="b">
        <f t="shared" si="59"/>
        <v>1</v>
      </c>
      <c r="N946" s="13"/>
      <c r="O946" s="9">
        <v>0</v>
      </c>
      <c r="P946" s="9">
        <v>1000</v>
      </c>
      <c r="Q946" s="13"/>
      <c r="R946" s="13"/>
      <c r="S946" s="13"/>
      <c r="T946" s="9" t="s">
        <v>3700</v>
      </c>
      <c r="U946" s="13"/>
      <c r="V946" s="9" t="s">
        <v>35</v>
      </c>
      <c r="W946" s="13"/>
      <c r="X946" s="9">
        <v>2</v>
      </c>
    </row>
    <row r="947" spans="1:24">
      <c r="A947" s="13"/>
      <c r="B947" s="9" t="s">
        <v>4115</v>
      </c>
      <c r="C947" s="9" t="str">
        <f>VLOOKUP(B947,[1]RXNS!$B:$C,1,)</f>
        <v>YUMPS</v>
      </c>
      <c r="D947" s="9" t="b">
        <f t="shared" si="56"/>
        <v>1</v>
      </c>
      <c r="E947" s="9" t="s">
        <v>4116</v>
      </c>
      <c r="F947" s="9" t="s">
        <v>4116</v>
      </c>
      <c r="G947" s="9" t="b">
        <f t="shared" si="57"/>
        <v>1</v>
      </c>
      <c r="H947" s="9" t="str">
        <f>VLOOKUP(B947,[1]RXNS!$B:$D,3,FALSE)</f>
        <v>alpha-D-Ribose 5-phosphate[c] + Uracil[c] &lt;=&gt; H2O[c] + Pseudouridine 5'-phosphate[c]</v>
      </c>
      <c r="I947" s="9">
        <f>VLOOKUP(B947,[1]RXNS!$B:$E,4,FALSE)</f>
        <v>0</v>
      </c>
      <c r="J947" s="9" t="s">
        <v>4117</v>
      </c>
      <c r="K947" s="13"/>
      <c r="L947" s="9" t="b">
        <f t="shared" si="58"/>
        <v>1</v>
      </c>
      <c r="M947" s="9" t="b">
        <f t="shared" si="59"/>
        <v>0</v>
      </c>
      <c r="N947" s="9" t="s">
        <v>4118</v>
      </c>
      <c r="O947" s="9">
        <v>-1000</v>
      </c>
      <c r="P947" s="9">
        <v>1000</v>
      </c>
      <c r="Q947" s="13"/>
      <c r="R947" s="13"/>
      <c r="S947" s="9" t="s">
        <v>4119</v>
      </c>
      <c r="T947" s="9" t="s">
        <v>648</v>
      </c>
      <c r="U947" s="13"/>
      <c r="V947" s="9" t="s">
        <v>30</v>
      </c>
      <c r="W947" s="13"/>
      <c r="X947" s="9">
        <v>2</v>
      </c>
    </row>
    <row r="948" spans="1:24">
      <c r="A948" s="13"/>
      <c r="B948" s="9" t="s">
        <v>4120</v>
      </c>
      <c r="C948" s="9" t="str">
        <f>VLOOKUP(B948,[1]RXNS!$B:$C,1,)</f>
        <v>araphe2</v>
      </c>
      <c r="D948" s="9" t="b">
        <f t="shared" si="56"/>
        <v>1</v>
      </c>
      <c r="E948" s="9" t="s">
        <v>4121</v>
      </c>
      <c r="F948" s="9" t="s">
        <v>4121</v>
      </c>
      <c r="G948" s="9" t="b">
        <f t="shared" si="57"/>
        <v>1</v>
      </c>
      <c r="H948" s="9" t="str">
        <f>VLOOKUP(B948,[1]RXNS!$B:$D,3,FALSE)</f>
        <v>(S)-3-Methyl-2-oxopentanoate[c] + L-Phenylalanine[c] &lt;=&gt; L-Isoleucine[c] + Phenylpyruvate[c]</v>
      </c>
      <c r="I948" s="9">
        <f>VLOOKUP(B948,[1]RXNS!$B:$E,4,FALSE)</f>
        <v>0</v>
      </c>
      <c r="J948" s="9" t="s">
        <v>4122</v>
      </c>
      <c r="K948" s="13"/>
      <c r="L948" s="9" t="b">
        <f t="shared" si="58"/>
        <v>1</v>
      </c>
      <c r="M948" s="9" t="b">
        <f t="shared" si="59"/>
        <v>0</v>
      </c>
      <c r="N948" s="9" t="s">
        <v>205</v>
      </c>
      <c r="O948" s="9">
        <v>-1000</v>
      </c>
      <c r="P948" s="9">
        <v>1000</v>
      </c>
      <c r="Q948" s="13"/>
      <c r="R948" s="13"/>
      <c r="S948" s="9" t="s">
        <v>4123</v>
      </c>
      <c r="T948" s="9" t="s">
        <v>3325</v>
      </c>
      <c r="U948" s="13"/>
      <c r="V948" s="9" t="s">
        <v>30</v>
      </c>
      <c r="W948" s="13"/>
      <c r="X948" s="9">
        <v>2</v>
      </c>
    </row>
    <row r="949" spans="1:24">
      <c r="A949" s="13"/>
      <c r="B949" s="9" t="s">
        <v>4124</v>
      </c>
      <c r="C949" s="9" t="str">
        <f>VLOOKUP(B949,[1]RXNS!$B:$C,1,)</f>
        <v>aratry2</v>
      </c>
      <c r="D949" s="9" t="b">
        <f t="shared" si="56"/>
        <v>1</v>
      </c>
      <c r="E949" s="9" t="s">
        <v>4125</v>
      </c>
      <c r="F949" s="9" t="s">
        <v>4125</v>
      </c>
      <c r="G949" s="9" t="b">
        <f t="shared" si="57"/>
        <v>1</v>
      </c>
      <c r="H949" s="9" t="str">
        <f>VLOOKUP(B949,[1]RXNS!$B:$D,3,FALSE)</f>
        <v>(S)-3-Methyl-2-oxopentanoate[c] + L-Tryptophan[c] &lt;=&gt; L-Isoleucine[c] + Indolepyruvate[c]</v>
      </c>
      <c r="I949" s="9" t="s">
        <v>4126</v>
      </c>
      <c r="J949" s="9" t="s">
        <v>4127</v>
      </c>
      <c r="K949" s="9" t="s">
        <v>4126</v>
      </c>
      <c r="L949" s="9" t="b">
        <f t="shared" si="58"/>
        <v>1</v>
      </c>
      <c r="M949" s="9" t="b">
        <f t="shared" si="59"/>
        <v>1</v>
      </c>
      <c r="N949" s="9" t="s">
        <v>4128</v>
      </c>
      <c r="O949" s="9">
        <v>-1000</v>
      </c>
      <c r="P949" s="9">
        <v>1000</v>
      </c>
      <c r="Q949" s="13"/>
      <c r="R949" s="13"/>
      <c r="S949" s="9" t="s">
        <v>4129</v>
      </c>
      <c r="T949" s="9" t="s">
        <v>3325</v>
      </c>
      <c r="U949" s="13"/>
      <c r="V949" s="9" t="s">
        <v>30</v>
      </c>
      <c r="W949" s="13"/>
      <c r="X949" s="9">
        <v>2</v>
      </c>
    </row>
    <row r="950" spans="1:24">
      <c r="A950" s="13"/>
      <c r="B950" s="9" t="s">
        <v>4130</v>
      </c>
      <c r="C950" s="9" t="str">
        <f>VLOOKUP(B950,[1]RXNS!$B:$C,1,)</f>
        <v>aratyr2</v>
      </c>
      <c r="D950" s="9" t="b">
        <f t="shared" si="56"/>
        <v>1</v>
      </c>
      <c r="E950" s="9" t="s">
        <v>4131</v>
      </c>
      <c r="F950" s="9" t="s">
        <v>4131</v>
      </c>
      <c r="G950" s="9" t="b">
        <f t="shared" si="57"/>
        <v>1</v>
      </c>
      <c r="H950" s="9" t="str">
        <f>VLOOKUP(B950,[1]RXNS!$B:$D,3,FALSE)</f>
        <v>(S)-3-Methyl-2-oxopentanoate[c] + L-Tyrosine[c] &lt;=&gt; 3-(4-Hydroxyphenyl)pyruvate[c] + L-Isoleucine[c]</v>
      </c>
      <c r="I950" s="9">
        <f>VLOOKUP(B950,[1]RXNS!$B:$E,4,FALSE)</f>
        <v>0</v>
      </c>
      <c r="J950" s="9" t="s">
        <v>4132</v>
      </c>
      <c r="K950" s="13"/>
      <c r="L950" s="9" t="b">
        <f t="shared" si="58"/>
        <v>1</v>
      </c>
      <c r="M950" s="9" t="b">
        <f t="shared" si="59"/>
        <v>0</v>
      </c>
      <c r="N950" s="9" t="s">
        <v>205</v>
      </c>
      <c r="O950" s="9">
        <v>-1000</v>
      </c>
      <c r="P950" s="9">
        <v>1000</v>
      </c>
      <c r="Q950" s="13"/>
      <c r="R950" s="13"/>
      <c r="S950" s="9" t="s">
        <v>4133</v>
      </c>
      <c r="T950" s="9" t="s">
        <v>3325</v>
      </c>
      <c r="U950" s="13"/>
      <c r="V950" s="9" t="s">
        <v>30</v>
      </c>
      <c r="W950" s="13"/>
      <c r="X950" s="9">
        <v>2</v>
      </c>
    </row>
    <row r="951" spans="1:24">
      <c r="A951" s="13"/>
      <c r="B951" s="9" t="s">
        <v>4134</v>
      </c>
      <c r="C951" s="9" t="str">
        <f>VLOOKUP(B951,[1]RXNS!$B:$C,1,)</f>
        <v>aratyr4</v>
      </c>
      <c r="D951" s="9" t="b">
        <f t="shared" si="56"/>
        <v>1</v>
      </c>
      <c r="E951" s="9" t="s">
        <v>4131</v>
      </c>
      <c r="F951" s="9" t="s">
        <v>4131</v>
      </c>
      <c r="G951" s="9" t="b">
        <f t="shared" si="57"/>
        <v>1</v>
      </c>
      <c r="H951" s="9" t="str">
        <f>VLOOKUP(B951,[1]RXNS!$B:$D,3,FALSE)</f>
        <v>Indolepyruvate[c] + L-Tyrosine[c] &lt;=&gt; 3-(4-Hydroxyphenyl)pyruvate[c] + L-Tryptophan[c]</v>
      </c>
      <c r="I951" s="9">
        <f>VLOOKUP(B951,[1]RXNS!$B:$E,4,FALSE)</f>
        <v>0</v>
      </c>
      <c r="J951" s="9" t="s">
        <v>4135</v>
      </c>
      <c r="K951" s="13"/>
      <c r="L951" s="9" t="b">
        <f t="shared" si="58"/>
        <v>1</v>
      </c>
      <c r="M951" s="9" t="b">
        <f t="shared" si="59"/>
        <v>0</v>
      </c>
      <c r="N951" s="9" t="s">
        <v>205</v>
      </c>
      <c r="O951" s="9">
        <v>-1000</v>
      </c>
      <c r="P951" s="9">
        <v>1000</v>
      </c>
      <c r="Q951" s="13"/>
      <c r="R951" s="13"/>
      <c r="S951" s="9" t="s">
        <v>4136</v>
      </c>
      <c r="T951" s="9" t="s">
        <v>3325</v>
      </c>
      <c r="U951" s="13"/>
      <c r="V951" s="9" t="s">
        <v>30</v>
      </c>
      <c r="W951" s="13"/>
      <c r="X951" s="9">
        <v>2</v>
      </c>
    </row>
    <row r="952" spans="1:24">
      <c r="A952" s="13"/>
      <c r="B952" s="9" t="s">
        <v>4137</v>
      </c>
      <c r="C952" s="9" t="str">
        <f>VLOOKUP(B952,[1]RXNS!$B:$C,1,)</f>
        <v>kaasIII</v>
      </c>
      <c r="D952" s="9" t="b">
        <f t="shared" si="56"/>
        <v>1</v>
      </c>
      <c r="E952" s="9" t="s">
        <v>4138</v>
      </c>
      <c r="F952" s="9" t="s">
        <v>4138</v>
      </c>
      <c r="G952" s="9" t="b">
        <f t="shared" si="57"/>
        <v>1</v>
      </c>
      <c r="H952" s="9" t="str">
        <f>VLOOKUP(B952,[1]RXNS!$B:$D,3,FALSE)</f>
        <v>Acetyl-CoA[c] + H+[c] + Malonyl-[acyl-carrier protein][c] =&gt; Acetoacetyl-[acyl-carrier protein][c] + CO2[c] + Coenzyme A[c]</v>
      </c>
      <c r="I952" s="9" t="s">
        <v>4139</v>
      </c>
      <c r="J952" s="9" t="s">
        <v>4140</v>
      </c>
      <c r="K952" s="9" t="s">
        <v>4139</v>
      </c>
      <c r="L952" s="9" t="b">
        <f t="shared" si="58"/>
        <v>1</v>
      </c>
      <c r="M952" s="9" t="b">
        <f t="shared" si="59"/>
        <v>1</v>
      </c>
      <c r="N952" s="9" t="s">
        <v>4141</v>
      </c>
      <c r="O952" s="9">
        <v>0</v>
      </c>
      <c r="P952" s="9">
        <v>1000</v>
      </c>
      <c r="Q952" s="13"/>
      <c r="R952" s="13"/>
      <c r="S952" s="9" t="s">
        <v>4142</v>
      </c>
      <c r="T952" s="9" t="s">
        <v>34</v>
      </c>
      <c r="U952" s="13"/>
      <c r="V952" s="9" t="s">
        <v>30</v>
      </c>
      <c r="W952" s="13"/>
      <c r="X952" s="9">
        <v>2</v>
      </c>
    </row>
    <row r="953" spans="1:24">
      <c r="A953" s="13"/>
      <c r="B953" s="9" t="s">
        <v>4143</v>
      </c>
      <c r="C953" s="9" t="str">
        <f>VLOOKUP(B953,[1]RXNS!$B:$C,1,)</f>
        <v>tr_h2s</v>
      </c>
      <c r="D953" s="9" t="b">
        <f t="shared" si="56"/>
        <v>1</v>
      </c>
      <c r="E953" s="9" t="s">
        <v>4144</v>
      </c>
      <c r="F953" s="9" t="s">
        <v>4144</v>
      </c>
      <c r="G953" s="9" t="b">
        <f t="shared" si="57"/>
        <v>1</v>
      </c>
      <c r="H953" s="9" t="str">
        <f>VLOOKUP(B953,[1]RXNS!$B:$D,3,FALSE)</f>
        <v>Hydrogen sulfide[e] &lt;=&gt; Hydrogen sulfide[c]</v>
      </c>
      <c r="I953" s="9">
        <f>VLOOKUP(B953,[1]RXNS!$B:$E,4,FALSE)</f>
        <v>0</v>
      </c>
      <c r="J953" s="9" t="s">
        <v>4145</v>
      </c>
      <c r="K953" s="13"/>
      <c r="L953" s="9" t="b">
        <f t="shared" si="58"/>
        <v>1</v>
      </c>
      <c r="M953" s="9" t="b">
        <f t="shared" si="59"/>
        <v>0</v>
      </c>
      <c r="N953" s="13"/>
      <c r="O953" s="9">
        <v>-1000</v>
      </c>
      <c r="P953" s="9">
        <v>1000</v>
      </c>
      <c r="Q953" s="13"/>
      <c r="R953" s="13"/>
      <c r="S953" s="13"/>
      <c r="T953" s="9" t="s">
        <v>146</v>
      </c>
      <c r="U953" s="13"/>
      <c r="V953" s="9" t="s">
        <v>35</v>
      </c>
      <c r="W953" s="13"/>
      <c r="X953" s="9">
        <v>2</v>
      </c>
    </row>
    <row r="954" spans="1:24">
      <c r="A954" s="13"/>
      <c r="B954" s="9" t="s">
        <v>4146</v>
      </c>
      <c r="C954" s="9" t="str">
        <f>VLOOKUP(B954,[1]RXNS!$B:$C,1,)</f>
        <v>tr_o2</v>
      </c>
      <c r="D954" s="9" t="b">
        <f t="shared" si="56"/>
        <v>1</v>
      </c>
      <c r="E954" s="9" t="s">
        <v>4147</v>
      </c>
      <c r="F954" s="9" t="s">
        <v>4147</v>
      </c>
      <c r="G954" s="9" t="b">
        <f t="shared" si="57"/>
        <v>1</v>
      </c>
      <c r="H954" s="9" t="str">
        <f>VLOOKUP(B954,[1]RXNS!$B:$D,3,FALSE)</f>
        <v>O2 O2[e] &lt;=&gt; O2[c]</v>
      </c>
      <c r="I954" s="9">
        <f>VLOOKUP(B954,[1]RXNS!$B:$E,4,FALSE)</f>
        <v>0</v>
      </c>
      <c r="J954" s="9" t="s">
        <v>4148</v>
      </c>
      <c r="K954" s="13"/>
      <c r="L954" s="9" t="b">
        <f t="shared" si="58"/>
        <v>0</v>
      </c>
      <c r="M954" s="9" t="b">
        <f t="shared" si="59"/>
        <v>0</v>
      </c>
      <c r="N954" s="13"/>
      <c r="O954" s="9">
        <v>-1000</v>
      </c>
      <c r="P954" s="9">
        <v>1000</v>
      </c>
      <c r="Q954" s="13"/>
      <c r="R954" s="13"/>
      <c r="S954" s="13"/>
      <c r="T954" s="9" t="s">
        <v>146</v>
      </c>
      <c r="U954" s="13"/>
      <c r="V954" s="9" t="s">
        <v>35</v>
      </c>
      <c r="W954" s="13"/>
      <c r="X954" s="9">
        <v>2</v>
      </c>
    </row>
  </sheetData>
  <autoFilter xmlns:etc="http://www.wps.cn/officeDocument/2017/etCustomData" ref="A1:X954"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28"/>
  <sheetViews>
    <sheetView topLeftCell="A285" workbookViewId="0">
      <selection activeCell="B321" sqref="B321"/>
    </sheetView>
  </sheetViews>
  <sheetFormatPr defaultColWidth="9" defaultRowHeight="14" outlineLevelCol="1"/>
  <cols>
    <col min="1" max="1" width="30.2727272727273" customWidth="1"/>
    <col min="2" max="2" width="138.727272727273" customWidth="1"/>
  </cols>
  <sheetData>
    <row r="1" s="3" customFormat="1" ht="14.5" spans="1:2">
      <c r="A1" s="7" t="s">
        <v>1</v>
      </c>
      <c r="B1" s="7" t="s">
        <v>4149</v>
      </c>
    </row>
    <row r="2" spans="1:2">
      <c r="A2" s="2" t="s">
        <v>4150</v>
      </c>
      <c r="B2" s="2" t="s">
        <v>4151</v>
      </c>
    </row>
    <row r="3" spans="1:2">
      <c r="A3" s="2" t="s">
        <v>4152</v>
      </c>
      <c r="B3" s="2" t="s">
        <v>4151</v>
      </c>
    </row>
    <row r="4" spans="1:2">
      <c r="A4" s="2" t="s">
        <v>4153</v>
      </c>
      <c r="B4" s="2" t="s">
        <v>4151</v>
      </c>
    </row>
    <row r="5" spans="1:2">
      <c r="A5" s="2" t="s">
        <v>4154</v>
      </c>
      <c r="B5" s="2" t="s">
        <v>4151</v>
      </c>
    </row>
    <row r="6" spans="1:2">
      <c r="A6" s="2" t="s">
        <v>4155</v>
      </c>
      <c r="B6" s="2" t="s">
        <v>4151</v>
      </c>
    </row>
    <row r="7" spans="1:2">
      <c r="A7" s="2" t="s">
        <v>4156</v>
      </c>
      <c r="B7" s="2" t="s">
        <v>4151</v>
      </c>
    </row>
    <row r="8" spans="1:2">
      <c r="A8" s="2" t="s">
        <v>4157</v>
      </c>
      <c r="B8" s="2" t="s">
        <v>4151</v>
      </c>
    </row>
    <row r="9" spans="1:2">
      <c r="A9" s="2" t="s">
        <v>4158</v>
      </c>
      <c r="B9" s="2" t="s">
        <v>4151</v>
      </c>
    </row>
    <row r="10" spans="1:2">
      <c r="A10" s="2" t="s">
        <v>4159</v>
      </c>
      <c r="B10" s="2" t="s">
        <v>4151</v>
      </c>
    </row>
    <row r="11" spans="1:2">
      <c r="A11" s="2" t="s">
        <v>4160</v>
      </c>
      <c r="B11" s="2" t="s">
        <v>4151</v>
      </c>
    </row>
    <row r="12" spans="1:2">
      <c r="A12" s="2" t="s">
        <v>4161</v>
      </c>
      <c r="B12" s="2" t="s">
        <v>4151</v>
      </c>
    </row>
    <row r="13" spans="1:2">
      <c r="A13" s="2" t="s">
        <v>4162</v>
      </c>
      <c r="B13" s="2" t="s">
        <v>4151</v>
      </c>
    </row>
    <row r="14" spans="1:2">
      <c r="A14" s="2" t="s">
        <v>4163</v>
      </c>
      <c r="B14" s="2" t="s">
        <v>4151</v>
      </c>
    </row>
    <row r="15" spans="1:2">
      <c r="A15" s="2" t="s">
        <v>4164</v>
      </c>
      <c r="B15" s="2" t="s">
        <v>4165</v>
      </c>
    </row>
    <row r="16" spans="1:2">
      <c r="A16" s="2" t="s">
        <v>4166</v>
      </c>
      <c r="B16" s="2" t="s">
        <v>4167</v>
      </c>
    </row>
    <row r="17" spans="1:2">
      <c r="A17" s="9" t="s">
        <v>4168</v>
      </c>
      <c r="B17" s="9" t="s">
        <v>4169</v>
      </c>
    </row>
    <row r="18" spans="1:2">
      <c r="A18" s="9" t="s">
        <v>4170</v>
      </c>
      <c r="B18" s="9" t="s">
        <v>4171</v>
      </c>
    </row>
    <row r="19" spans="1:2">
      <c r="A19" s="9" t="s">
        <v>4172</v>
      </c>
      <c r="B19" s="9" t="s">
        <v>4173</v>
      </c>
    </row>
    <row r="20" spans="1:2">
      <c r="A20" s="2" t="s">
        <v>4174</v>
      </c>
      <c r="B20" s="9" t="s">
        <v>4171</v>
      </c>
    </row>
    <row r="21" spans="1:2">
      <c r="A21" s="2" t="s">
        <v>4175</v>
      </c>
      <c r="B21" s="2" t="s">
        <v>4176</v>
      </c>
    </row>
    <row r="22" spans="1:2">
      <c r="A22" s="2" t="s">
        <v>4177</v>
      </c>
      <c r="B22" s="2" t="s">
        <v>4176</v>
      </c>
    </row>
    <row r="23" spans="1:2">
      <c r="A23" s="2" t="s">
        <v>4178</v>
      </c>
      <c r="B23" s="2" t="s">
        <v>4176</v>
      </c>
    </row>
    <row r="24" spans="1:2">
      <c r="A24" s="2" t="s">
        <v>4179</v>
      </c>
      <c r="B24" s="2" t="s">
        <v>4176</v>
      </c>
    </row>
    <row r="25" spans="1:2">
      <c r="A25" s="2" t="s">
        <v>4180</v>
      </c>
      <c r="B25" s="2" t="s">
        <v>4176</v>
      </c>
    </row>
    <row r="26" spans="1:2">
      <c r="A26" s="2" t="s">
        <v>4181</v>
      </c>
      <c r="B26" s="2" t="s">
        <v>4176</v>
      </c>
    </row>
    <row r="27" spans="1:2">
      <c r="A27" s="2" t="s">
        <v>4182</v>
      </c>
      <c r="B27" s="2" t="s">
        <v>4176</v>
      </c>
    </row>
    <row r="28" spans="1:2">
      <c r="A28" s="2" t="s">
        <v>4183</v>
      </c>
      <c r="B28" s="2" t="s">
        <v>4176</v>
      </c>
    </row>
    <row r="29" spans="1:2">
      <c r="A29" s="2" t="s">
        <v>4184</v>
      </c>
      <c r="B29" s="2" t="s">
        <v>4176</v>
      </c>
    </row>
    <row r="30" spans="1:2">
      <c r="A30" s="2" t="s">
        <v>4185</v>
      </c>
      <c r="B30" s="2" t="s">
        <v>4176</v>
      </c>
    </row>
    <row r="31" spans="1:2">
      <c r="A31" s="2" t="s">
        <v>4186</v>
      </c>
      <c r="B31" s="2" t="s">
        <v>4176</v>
      </c>
    </row>
    <row r="32" spans="1:2">
      <c r="A32" s="2" t="s">
        <v>4187</v>
      </c>
      <c r="B32" s="2" t="s">
        <v>4176</v>
      </c>
    </row>
    <row r="33" spans="1:2">
      <c r="A33" s="2" t="s">
        <v>4188</v>
      </c>
      <c r="B33" s="2" t="s">
        <v>4189</v>
      </c>
    </row>
    <row r="34" spans="1:2">
      <c r="A34" s="2" t="s">
        <v>4190</v>
      </c>
      <c r="B34" s="2" t="s">
        <v>4191</v>
      </c>
    </row>
    <row r="35" spans="1:2">
      <c r="A35" s="2" t="s">
        <v>4192</v>
      </c>
      <c r="B35" s="2" t="s">
        <v>4193</v>
      </c>
    </row>
    <row r="36" spans="1:2">
      <c r="A36" s="2" t="s">
        <v>4194</v>
      </c>
      <c r="B36" s="2" t="s">
        <v>4193</v>
      </c>
    </row>
    <row r="37" spans="1:2">
      <c r="A37" s="2" t="s">
        <v>4195</v>
      </c>
      <c r="B37" s="2" t="s">
        <v>4193</v>
      </c>
    </row>
    <row r="38" spans="1:2">
      <c r="A38" s="2" t="s">
        <v>4196</v>
      </c>
      <c r="B38" s="2" t="s">
        <v>4193</v>
      </c>
    </row>
    <row r="39" spans="1:2">
      <c r="A39" s="2" t="s">
        <v>4197</v>
      </c>
      <c r="B39" s="2" t="s">
        <v>4198</v>
      </c>
    </row>
    <row r="40" spans="1:2">
      <c r="A40" s="2" t="s">
        <v>4199</v>
      </c>
      <c r="B40" s="2" t="s">
        <v>4200</v>
      </c>
    </row>
    <row r="41" spans="1:2">
      <c r="A41" s="2" t="s">
        <v>4201</v>
      </c>
      <c r="B41" s="2" t="s">
        <v>4200</v>
      </c>
    </row>
    <row r="42" spans="1:2">
      <c r="A42" s="2" t="s">
        <v>4202</v>
      </c>
      <c r="B42" s="2" t="s">
        <v>4203</v>
      </c>
    </row>
    <row r="43" spans="1:2">
      <c r="A43" s="2" t="s">
        <v>4204</v>
      </c>
      <c r="B43" s="2" t="s">
        <v>4203</v>
      </c>
    </row>
    <row r="44" spans="1:2">
      <c r="A44" s="2" t="s">
        <v>4205</v>
      </c>
      <c r="B44" s="2" t="s">
        <v>4206</v>
      </c>
    </row>
    <row r="45" spans="1:2">
      <c r="A45" s="2" t="s">
        <v>4207</v>
      </c>
      <c r="B45" s="2" t="s">
        <v>4206</v>
      </c>
    </row>
    <row r="46" spans="1:2">
      <c r="A46" s="2" t="s">
        <v>4208</v>
      </c>
      <c r="B46" s="2" t="s">
        <v>4209</v>
      </c>
    </row>
    <row r="47" spans="1:2">
      <c r="A47" s="2" t="s">
        <v>4210</v>
      </c>
      <c r="B47" s="2" t="s">
        <v>4209</v>
      </c>
    </row>
    <row r="48" spans="1:2">
      <c r="A48" s="2" t="s">
        <v>4211</v>
      </c>
      <c r="B48" s="2" t="s">
        <v>4209</v>
      </c>
    </row>
    <row r="49" spans="1:2">
      <c r="A49" s="2" t="s">
        <v>4212</v>
      </c>
      <c r="B49" s="2" t="s">
        <v>4209</v>
      </c>
    </row>
    <row r="50" spans="1:2">
      <c r="A50" s="2" t="s">
        <v>4213</v>
      </c>
      <c r="B50" s="2" t="s">
        <v>4209</v>
      </c>
    </row>
    <row r="51" spans="1:2">
      <c r="A51" s="2" t="s">
        <v>4214</v>
      </c>
      <c r="B51" s="2" t="s">
        <v>4209</v>
      </c>
    </row>
    <row r="52" spans="1:2">
      <c r="A52" s="2" t="s">
        <v>4215</v>
      </c>
      <c r="B52" s="2" t="s">
        <v>4209</v>
      </c>
    </row>
    <row r="53" spans="1:2">
      <c r="A53" s="2" t="s">
        <v>4216</v>
      </c>
      <c r="B53" s="2" t="s">
        <v>4217</v>
      </c>
    </row>
    <row r="54" spans="1:2">
      <c r="A54" s="2" t="s">
        <v>4218</v>
      </c>
      <c r="B54" s="2" t="s">
        <v>4217</v>
      </c>
    </row>
    <row r="55" spans="1:2">
      <c r="A55" s="2" t="s">
        <v>4219</v>
      </c>
      <c r="B55" s="2" t="s">
        <v>4217</v>
      </c>
    </row>
    <row r="56" spans="1:2">
      <c r="A56" s="2" t="s">
        <v>4220</v>
      </c>
      <c r="B56" s="2" t="s">
        <v>4217</v>
      </c>
    </row>
    <row r="57" spans="1:2">
      <c r="A57" s="2" t="s">
        <v>4221</v>
      </c>
      <c r="B57" s="2" t="s">
        <v>4217</v>
      </c>
    </row>
    <row r="58" spans="1:2">
      <c r="A58" s="2" t="s">
        <v>4222</v>
      </c>
      <c r="B58" s="2" t="s">
        <v>4217</v>
      </c>
    </row>
    <row r="59" spans="1:2">
      <c r="A59" s="2" t="s">
        <v>4223</v>
      </c>
      <c r="B59" s="2" t="s">
        <v>4217</v>
      </c>
    </row>
    <row r="60" spans="1:2">
      <c r="A60" s="2" t="s">
        <v>4224</v>
      </c>
      <c r="B60" s="2" t="s">
        <v>4217</v>
      </c>
    </row>
    <row r="61" spans="1:2">
      <c r="A61" s="2" t="s">
        <v>4225</v>
      </c>
      <c r="B61" s="2" t="s">
        <v>4217</v>
      </c>
    </row>
    <row r="62" spans="1:2">
      <c r="A62" s="2" t="s">
        <v>4226</v>
      </c>
      <c r="B62" s="2" t="s">
        <v>4217</v>
      </c>
    </row>
    <row r="63" spans="1:2">
      <c r="A63" s="2" t="s">
        <v>4227</v>
      </c>
      <c r="B63" s="2" t="s">
        <v>4217</v>
      </c>
    </row>
    <row r="64" spans="1:2">
      <c r="A64" s="2" t="s">
        <v>4228</v>
      </c>
      <c r="B64" s="2" t="s">
        <v>4217</v>
      </c>
    </row>
    <row r="65" spans="1:2">
      <c r="A65" s="2" t="s">
        <v>4229</v>
      </c>
      <c r="B65" s="2" t="s">
        <v>4217</v>
      </c>
    </row>
    <row r="66" spans="1:2">
      <c r="A66" s="2" t="s">
        <v>4230</v>
      </c>
      <c r="B66" s="2" t="s">
        <v>4217</v>
      </c>
    </row>
    <row r="67" spans="1:2">
      <c r="A67" s="2" t="s">
        <v>4231</v>
      </c>
      <c r="B67" s="2" t="s">
        <v>4217</v>
      </c>
    </row>
    <row r="68" spans="1:2">
      <c r="A68" s="2" t="s">
        <v>4232</v>
      </c>
      <c r="B68" s="2" t="s">
        <v>4217</v>
      </c>
    </row>
    <row r="69" spans="1:2">
      <c r="A69" s="2" t="s">
        <v>4233</v>
      </c>
      <c r="B69" s="2" t="s">
        <v>4217</v>
      </c>
    </row>
    <row r="70" spans="1:2">
      <c r="A70" s="2" t="s">
        <v>4234</v>
      </c>
      <c r="B70" s="2" t="s">
        <v>4217</v>
      </c>
    </row>
    <row r="71" spans="1:2">
      <c r="A71" s="2" t="s">
        <v>4235</v>
      </c>
      <c r="B71" s="2" t="s">
        <v>4217</v>
      </c>
    </row>
    <row r="72" spans="1:2">
      <c r="A72" s="2" t="s">
        <v>4236</v>
      </c>
      <c r="B72" s="2" t="s">
        <v>4217</v>
      </c>
    </row>
    <row r="73" spans="1:2">
      <c r="A73" s="2" t="s">
        <v>4237</v>
      </c>
      <c r="B73" s="2" t="s">
        <v>4217</v>
      </c>
    </row>
    <row r="74" spans="1:2">
      <c r="A74" s="2" t="s">
        <v>4238</v>
      </c>
      <c r="B74" s="2" t="s">
        <v>4217</v>
      </c>
    </row>
    <row r="75" spans="1:2">
      <c r="A75" s="2" t="s">
        <v>4239</v>
      </c>
      <c r="B75" s="2" t="s">
        <v>4217</v>
      </c>
    </row>
    <row r="76" spans="1:2">
      <c r="A76" s="2" t="s">
        <v>4240</v>
      </c>
      <c r="B76" s="2" t="s">
        <v>4217</v>
      </c>
    </row>
    <row r="77" spans="1:2">
      <c r="A77" s="2" t="s">
        <v>4241</v>
      </c>
      <c r="B77" s="2" t="s">
        <v>4217</v>
      </c>
    </row>
    <row r="78" spans="1:2">
      <c r="A78" s="2" t="s">
        <v>4242</v>
      </c>
      <c r="B78" s="2" t="s">
        <v>4217</v>
      </c>
    </row>
    <row r="79" spans="1:2">
      <c r="A79" s="2" t="s">
        <v>4243</v>
      </c>
      <c r="B79" s="2" t="s">
        <v>4217</v>
      </c>
    </row>
    <row r="80" spans="1:2">
      <c r="A80" s="2" t="s">
        <v>4244</v>
      </c>
      <c r="B80" s="2" t="s">
        <v>4217</v>
      </c>
    </row>
    <row r="81" spans="1:2">
      <c r="A81" s="2" t="s">
        <v>4245</v>
      </c>
      <c r="B81" s="2" t="s">
        <v>4217</v>
      </c>
    </row>
    <row r="82" spans="1:2">
      <c r="A82" s="2" t="s">
        <v>4246</v>
      </c>
      <c r="B82" s="2" t="s">
        <v>4217</v>
      </c>
    </row>
    <row r="83" spans="1:2">
      <c r="A83" s="2" t="s">
        <v>4247</v>
      </c>
      <c r="B83" s="2" t="s">
        <v>4217</v>
      </c>
    </row>
    <row r="84" spans="1:2">
      <c r="A84" s="2" t="s">
        <v>4248</v>
      </c>
      <c r="B84" s="2" t="s">
        <v>4217</v>
      </c>
    </row>
    <row r="85" spans="1:2">
      <c r="A85" s="2" t="s">
        <v>4249</v>
      </c>
      <c r="B85" s="2" t="s">
        <v>4217</v>
      </c>
    </row>
    <row r="86" spans="1:2">
      <c r="A86" s="2" t="s">
        <v>4250</v>
      </c>
      <c r="B86" s="2" t="s">
        <v>4217</v>
      </c>
    </row>
    <row r="87" spans="1:2">
      <c r="A87" s="2" t="s">
        <v>4251</v>
      </c>
      <c r="B87" s="2" t="s">
        <v>4217</v>
      </c>
    </row>
    <row r="88" spans="1:2">
      <c r="A88" s="2" t="s">
        <v>4252</v>
      </c>
      <c r="B88" s="2" t="s">
        <v>4217</v>
      </c>
    </row>
    <row r="89" spans="1:2">
      <c r="A89" s="2" t="s">
        <v>4253</v>
      </c>
      <c r="B89" s="2" t="s">
        <v>4217</v>
      </c>
    </row>
    <row r="90" spans="1:2">
      <c r="A90" s="2" t="s">
        <v>4254</v>
      </c>
      <c r="B90" s="2" t="s">
        <v>4217</v>
      </c>
    </row>
    <row r="91" spans="1:2">
      <c r="A91" s="2" t="s">
        <v>4255</v>
      </c>
      <c r="B91" s="2" t="s">
        <v>4217</v>
      </c>
    </row>
    <row r="92" spans="1:2">
      <c r="A92" s="2" t="s">
        <v>4256</v>
      </c>
      <c r="B92" s="2" t="s">
        <v>4217</v>
      </c>
    </row>
    <row r="93" spans="1:2">
      <c r="A93" s="2" t="s">
        <v>4257</v>
      </c>
      <c r="B93" s="2" t="s">
        <v>4217</v>
      </c>
    </row>
    <row r="94" spans="1:2">
      <c r="A94" s="2" t="s">
        <v>4258</v>
      </c>
      <c r="B94" s="2" t="s">
        <v>4217</v>
      </c>
    </row>
    <row r="95" spans="1:2">
      <c r="A95" s="2" t="s">
        <v>4259</v>
      </c>
      <c r="B95" s="2" t="s">
        <v>4260</v>
      </c>
    </row>
    <row r="96" spans="1:2">
      <c r="A96" s="2" t="s">
        <v>4261</v>
      </c>
      <c r="B96" s="2" t="s">
        <v>4260</v>
      </c>
    </row>
    <row r="97" spans="1:2">
      <c r="A97" s="2" t="s">
        <v>4262</v>
      </c>
      <c r="B97" s="2" t="s">
        <v>4263</v>
      </c>
    </row>
    <row r="98" spans="1:2">
      <c r="A98" s="2" t="s">
        <v>4264</v>
      </c>
      <c r="B98" s="2" t="s">
        <v>4265</v>
      </c>
    </row>
    <row r="99" spans="1:2">
      <c r="A99" s="2" t="s">
        <v>4266</v>
      </c>
      <c r="B99" s="2" t="s">
        <v>4265</v>
      </c>
    </row>
    <row r="100" spans="1:2">
      <c r="A100" s="2" t="s">
        <v>4267</v>
      </c>
      <c r="B100" s="2" t="s">
        <v>4268</v>
      </c>
    </row>
    <row r="101" spans="1:2">
      <c r="A101" s="2" t="s">
        <v>4269</v>
      </c>
      <c r="B101" s="2" t="s">
        <v>4270</v>
      </c>
    </row>
    <row r="102" spans="1:2">
      <c r="A102" s="2" t="s">
        <v>4271</v>
      </c>
      <c r="B102" s="2" t="s">
        <v>4265</v>
      </c>
    </row>
    <row r="103" spans="1:2">
      <c r="A103" s="2" t="s">
        <v>4272</v>
      </c>
      <c r="B103" s="2" t="s">
        <v>4273</v>
      </c>
    </row>
    <row r="104" spans="1:2">
      <c r="A104" s="2" t="s">
        <v>4274</v>
      </c>
      <c r="B104" s="2" t="s">
        <v>4273</v>
      </c>
    </row>
    <row r="105" spans="1:2">
      <c r="A105" s="9" t="s">
        <v>4275</v>
      </c>
      <c r="B105" s="2" t="s">
        <v>4276</v>
      </c>
    </row>
    <row r="106" spans="1:2">
      <c r="A106" s="9" t="s">
        <v>4277</v>
      </c>
      <c r="B106" s="9" t="s">
        <v>4278</v>
      </c>
    </row>
    <row r="107" spans="1:2">
      <c r="A107" s="9" t="s">
        <v>4279</v>
      </c>
      <c r="B107" s="9" t="s">
        <v>4280</v>
      </c>
    </row>
    <row r="108" spans="1:2">
      <c r="A108" s="2" t="s">
        <v>4281</v>
      </c>
      <c r="B108" s="2" t="s">
        <v>4282</v>
      </c>
    </row>
    <row r="109" spans="1:2">
      <c r="A109" s="2" t="s">
        <v>4283</v>
      </c>
      <c r="B109" s="2" t="s">
        <v>4282</v>
      </c>
    </row>
    <row r="110" spans="1:2">
      <c r="A110" s="2" t="s">
        <v>4284</v>
      </c>
      <c r="B110" s="9" t="s">
        <v>4285</v>
      </c>
    </row>
    <row r="111" spans="1:2">
      <c r="A111" s="2" t="s">
        <v>4286</v>
      </c>
      <c r="B111" s="9" t="s">
        <v>4285</v>
      </c>
    </row>
    <row r="112" spans="1:2">
      <c r="A112" s="9" t="s">
        <v>4287</v>
      </c>
      <c r="B112" s="9" t="s">
        <v>4288</v>
      </c>
    </row>
    <row r="113" spans="1:2">
      <c r="A113" s="9" t="s">
        <v>4289</v>
      </c>
      <c r="B113" s="9" t="s">
        <v>4290</v>
      </c>
    </row>
    <row r="114" spans="1:2">
      <c r="A114" s="2" t="s">
        <v>4291</v>
      </c>
      <c r="B114" s="9" t="s">
        <v>4189</v>
      </c>
    </row>
    <row r="115" spans="1:2">
      <c r="A115" s="2" t="s">
        <v>4292</v>
      </c>
      <c r="B115" s="2" t="s">
        <v>4293</v>
      </c>
    </row>
    <row r="116" spans="1:2">
      <c r="A116" s="2" t="s">
        <v>4294</v>
      </c>
      <c r="B116" s="2" t="s">
        <v>4295</v>
      </c>
    </row>
    <row r="117" spans="1:2">
      <c r="A117" s="2" t="s">
        <v>4296</v>
      </c>
      <c r="B117" s="2" t="s">
        <v>4191</v>
      </c>
    </row>
    <row r="118" spans="1:2">
      <c r="A118" s="2" t="s">
        <v>4297</v>
      </c>
      <c r="B118" s="2" t="s">
        <v>4298</v>
      </c>
    </row>
    <row r="119" spans="1:2">
      <c r="A119" s="2" t="s">
        <v>4299</v>
      </c>
      <c r="B119" s="9" t="s">
        <v>4300</v>
      </c>
    </row>
    <row r="120" spans="1:2">
      <c r="A120" s="2" t="s">
        <v>4301</v>
      </c>
      <c r="B120" s="9" t="s">
        <v>4300</v>
      </c>
    </row>
    <row r="121" spans="1:2">
      <c r="A121" s="2" t="s">
        <v>4302</v>
      </c>
      <c r="B121" s="9" t="s">
        <v>4303</v>
      </c>
    </row>
    <row r="122" spans="1:2">
      <c r="A122" s="2" t="s">
        <v>4304</v>
      </c>
      <c r="B122" s="9" t="s">
        <v>4305</v>
      </c>
    </row>
    <row r="123" spans="1:2">
      <c r="A123" s="2" t="s">
        <v>4306</v>
      </c>
      <c r="B123" s="2" t="s">
        <v>4307</v>
      </c>
    </row>
    <row r="124" spans="1:2">
      <c r="A124" s="2" t="s">
        <v>4308</v>
      </c>
      <c r="B124" s="9" t="s">
        <v>4309</v>
      </c>
    </row>
    <row r="125" spans="1:2">
      <c r="A125" s="2" t="s">
        <v>4310</v>
      </c>
      <c r="B125" s="9" t="s">
        <v>4309</v>
      </c>
    </row>
    <row r="126" spans="1:2">
      <c r="A126" s="2" t="s">
        <v>4311</v>
      </c>
      <c r="B126" s="2" t="s">
        <v>4312</v>
      </c>
    </row>
    <row r="127" spans="1:2">
      <c r="A127" s="2" t="s">
        <v>4313</v>
      </c>
      <c r="B127" s="2" t="s">
        <v>4314</v>
      </c>
    </row>
    <row r="128" spans="1:2">
      <c r="A128" s="2" t="s">
        <v>4315</v>
      </c>
      <c r="B128" s="2" t="s">
        <v>4206</v>
      </c>
    </row>
    <row r="129" spans="1:2">
      <c r="A129" s="2" t="s">
        <v>4316</v>
      </c>
      <c r="B129" s="9" t="s">
        <v>4206</v>
      </c>
    </row>
    <row r="130" spans="1:2">
      <c r="A130" s="2" t="s">
        <v>4317</v>
      </c>
      <c r="B130" s="2" t="s">
        <v>4318</v>
      </c>
    </row>
    <row r="131" spans="1:2">
      <c r="A131" s="2" t="s">
        <v>402</v>
      </c>
      <c r="B131" s="2" t="s">
        <v>4319</v>
      </c>
    </row>
    <row r="132" spans="1:2">
      <c r="A132" s="2" t="s">
        <v>4320</v>
      </c>
      <c r="B132" s="2" t="s">
        <v>4321</v>
      </c>
    </row>
    <row r="133" spans="1:2">
      <c r="A133" s="2" t="s">
        <v>4322</v>
      </c>
      <c r="B133" s="9" t="s">
        <v>4323</v>
      </c>
    </row>
    <row r="134" spans="1:2">
      <c r="A134" s="2" t="s">
        <v>4324</v>
      </c>
      <c r="B134" s="2" t="s">
        <v>4193</v>
      </c>
    </row>
    <row r="135" spans="1:2">
      <c r="A135" s="2" t="s">
        <v>4325</v>
      </c>
      <c r="B135" s="2" t="s">
        <v>4193</v>
      </c>
    </row>
    <row r="136" spans="1:2">
      <c r="A136" s="2" t="s">
        <v>4326</v>
      </c>
      <c r="B136" s="2" t="s">
        <v>4193</v>
      </c>
    </row>
    <row r="137" spans="1:2">
      <c r="A137" s="9" t="s">
        <v>475</v>
      </c>
      <c r="B137" s="9" t="s">
        <v>4327</v>
      </c>
    </row>
    <row r="138" spans="1:2">
      <c r="A138" s="2" t="s">
        <v>4328</v>
      </c>
      <c r="B138" s="2" t="s">
        <v>4329</v>
      </c>
    </row>
    <row r="139" spans="1:2">
      <c r="A139" s="2" t="s">
        <v>4330</v>
      </c>
      <c r="B139" s="9" t="s">
        <v>4329</v>
      </c>
    </row>
    <row r="140" spans="1:2">
      <c r="A140" s="9" t="s">
        <v>4331</v>
      </c>
      <c r="B140" s="9" t="s">
        <v>4332</v>
      </c>
    </row>
    <row r="141" spans="1:2">
      <c r="A141" s="2" t="s">
        <v>4333</v>
      </c>
      <c r="B141" s="2" t="s">
        <v>4334</v>
      </c>
    </row>
    <row r="142" spans="1:2">
      <c r="A142" s="2" t="s">
        <v>4335</v>
      </c>
      <c r="B142" s="9" t="s">
        <v>4336</v>
      </c>
    </row>
    <row r="143" spans="1:2">
      <c r="A143" s="2" t="s">
        <v>4337</v>
      </c>
      <c r="B143" s="9" t="s">
        <v>4338</v>
      </c>
    </row>
    <row r="144" spans="1:2">
      <c r="A144" s="2" t="s">
        <v>4339</v>
      </c>
      <c r="B144" s="9" t="s">
        <v>4336</v>
      </c>
    </row>
    <row r="145" spans="1:2">
      <c r="A145" s="2" t="s">
        <v>4340</v>
      </c>
      <c r="B145" s="9" t="s">
        <v>4336</v>
      </c>
    </row>
    <row r="146" spans="1:2">
      <c r="A146" s="2" t="s">
        <v>4341</v>
      </c>
      <c r="B146" s="9" t="s">
        <v>4342</v>
      </c>
    </row>
    <row r="147" spans="1:2">
      <c r="A147" s="2" t="s">
        <v>4343</v>
      </c>
      <c r="B147" s="2" t="s">
        <v>4336</v>
      </c>
    </row>
    <row r="148" spans="1:2">
      <c r="A148" s="2" t="s">
        <v>4344</v>
      </c>
      <c r="B148" s="2" t="s">
        <v>4336</v>
      </c>
    </row>
    <row r="149" spans="1:2">
      <c r="A149" s="2" t="s">
        <v>4345</v>
      </c>
      <c r="B149" s="2" t="s">
        <v>4336</v>
      </c>
    </row>
    <row r="150" spans="1:2">
      <c r="A150" s="2" t="s">
        <v>4346</v>
      </c>
      <c r="B150" s="2" t="s">
        <v>4336</v>
      </c>
    </row>
    <row r="151" spans="1:2">
      <c r="A151" s="2" t="s">
        <v>4347</v>
      </c>
      <c r="B151" s="2" t="s">
        <v>4348</v>
      </c>
    </row>
    <row r="152" spans="1:2">
      <c r="A152" s="2" t="s">
        <v>4349</v>
      </c>
      <c r="B152" s="9" t="s">
        <v>4350</v>
      </c>
    </row>
    <row r="153" spans="1:2">
      <c r="A153" s="2" t="s">
        <v>4351</v>
      </c>
      <c r="B153" s="9" t="s">
        <v>4352</v>
      </c>
    </row>
    <row r="154" spans="1:2">
      <c r="A154" s="2" t="s">
        <v>4353</v>
      </c>
      <c r="B154" s="9" t="s">
        <v>4354</v>
      </c>
    </row>
    <row r="155" spans="1:2">
      <c r="A155" s="2" t="s">
        <v>4355</v>
      </c>
      <c r="B155" s="2" t="s">
        <v>4356</v>
      </c>
    </row>
    <row r="156" spans="1:2">
      <c r="A156" s="2" t="s">
        <v>4357</v>
      </c>
      <c r="B156" s="2" t="s">
        <v>4336</v>
      </c>
    </row>
    <row r="157" spans="1:2">
      <c r="A157" s="2" t="s">
        <v>4358</v>
      </c>
      <c r="B157" s="9" t="s">
        <v>4359</v>
      </c>
    </row>
    <row r="158" spans="1:2">
      <c r="A158" s="2" t="s">
        <v>4360</v>
      </c>
      <c r="B158" s="9" t="s">
        <v>4361</v>
      </c>
    </row>
    <row r="159" spans="1:2">
      <c r="A159" s="2" t="s">
        <v>4362</v>
      </c>
      <c r="B159" s="2" t="s">
        <v>4363</v>
      </c>
    </row>
    <row r="160" spans="1:2">
      <c r="A160" s="2" t="s">
        <v>4364</v>
      </c>
      <c r="B160" s="9" t="s">
        <v>4365</v>
      </c>
    </row>
    <row r="161" spans="1:2">
      <c r="A161" s="2" t="s">
        <v>4366</v>
      </c>
      <c r="B161" s="2" t="s">
        <v>4367</v>
      </c>
    </row>
    <row r="162" spans="1:2">
      <c r="A162" s="2" t="s">
        <v>4368</v>
      </c>
      <c r="B162" s="9" t="s">
        <v>4369</v>
      </c>
    </row>
    <row r="163" spans="1:2">
      <c r="A163" s="2" t="s">
        <v>4370</v>
      </c>
      <c r="B163" s="9" t="s">
        <v>4371</v>
      </c>
    </row>
    <row r="164" spans="1:2">
      <c r="A164" s="2" t="s">
        <v>4372</v>
      </c>
      <c r="B164" s="9" t="s">
        <v>4373</v>
      </c>
    </row>
    <row r="165" spans="1:2">
      <c r="A165" s="2" t="s">
        <v>4374</v>
      </c>
      <c r="B165" s="9" t="s">
        <v>4375</v>
      </c>
    </row>
    <row r="166" spans="1:2">
      <c r="A166" s="2" t="s">
        <v>4376</v>
      </c>
      <c r="B166" s="9" t="s">
        <v>4377</v>
      </c>
    </row>
    <row r="167" spans="1:2">
      <c r="A167" s="2" t="s">
        <v>4378</v>
      </c>
      <c r="B167" s="9" t="s">
        <v>4379</v>
      </c>
    </row>
    <row r="168" spans="1:2">
      <c r="A168" s="2" t="s">
        <v>4380</v>
      </c>
      <c r="B168" s="9" t="s">
        <v>4381</v>
      </c>
    </row>
    <row r="169" spans="1:2">
      <c r="A169" s="2" t="s">
        <v>4382</v>
      </c>
      <c r="B169" s="9" t="s">
        <v>4381</v>
      </c>
    </row>
    <row r="170" spans="1:2">
      <c r="A170" s="2" t="s">
        <v>4383</v>
      </c>
      <c r="B170" s="9" t="s">
        <v>4384</v>
      </c>
    </row>
    <row r="171" spans="1:2">
      <c r="A171" s="9" t="s">
        <v>4385</v>
      </c>
      <c r="B171" s="9" t="s">
        <v>4386</v>
      </c>
    </row>
    <row r="172" spans="1:2">
      <c r="A172" s="2" t="s">
        <v>4387</v>
      </c>
      <c r="B172" s="9" t="s">
        <v>4388</v>
      </c>
    </row>
    <row r="173" spans="1:2">
      <c r="A173" s="2" t="s">
        <v>4389</v>
      </c>
      <c r="B173" s="9" t="s">
        <v>4388</v>
      </c>
    </row>
    <row r="174" spans="1:2">
      <c r="A174" s="2" t="s">
        <v>4390</v>
      </c>
      <c r="B174" s="9" t="s">
        <v>4391</v>
      </c>
    </row>
    <row r="175" spans="1:2">
      <c r="A175" s="2" t="s">
        <v>4392</v>
      </c>
      <c r="B175" s="9" t="s">
        <v>4393</v>
      </c>
    </row>
    <row r="176" spans="1:2">
      <c r="A176" s="2" t="s">
        <v>4394</v>
      </c>
      <c r="B176" s="9" t="s">
        <v>4395</v>
      </c>
    </row>
    <row r="177" spans="1:2">
      <c r="A177" s="2" t="s">
        <v>4396</v>
      </c>
      <c r="B177" s="9" t="s">
        <v>4217</v>
      </c>
    </row>
    <row r="178" spans="1:2">
      <c r="A178" s="2" t="s">
        <v>4397</v>
      </c>
      <c r="B178" s="2" t="s">
        <v>4200</v>
      </c>
    </row>
    <row r="179" spans="1:2">
      <c r="A179" s="2" t="s">
        <v>4398</v>
      </c>
      <c r="B179" s="9" t="s">
        <v>4200</v>
      </c>
    </row>
    <row r="180" spans="1:2">
      <c r="A180" s="2" t="s">
        <v>4399</v>
      </c>
      <c r="B180" s="2" t="s">
        <v>4375</v>
      </c>
    </row>
    <row r="181" spans="1:2">
      <c r="A181" s="2" t="s">
        <v>4400</v>
      </c>
      <c r="B181" s="9" t="s">
        <v>4401</v>
      </c>
    </row>
    <row r="182" spans="1:2">
      <c r="A182" s="2" t="s">
        <v>4402</v>
      </c>
      <c r="B182" s="9" t="s">
        <v>4403</v>
      </c>
    </row>
    <row r="183" spans="1:2">
      <c r="A183" s="2" t="s">
        <v>4404</v>
      </c>
      <c r="B183" s="2" t="s">
        <v>4280</v>
      </c>
    </row>
    <row r="184" spans="1:2">
      <c r="A184" s="2" t="s">
        <v>4405</v>
      </c>
      <c r="B184" s="9" t="s">
        <v>4406</v>
      </c>
    </row>
    <row r="185" spans="1:2">
      <c r="A185" s="2" t="s">
        <v>4407</v>
      </c>
      <c r="B185" s="9" t="s">
        <v>4406</v>
      </c>
    </row>
    <row r="186" spans="1:2">
      <c r="A186" s="2" t="s">
        <v>4408</v>
      </c>
      <c r="B186" s="2" t="s">
        <v>4409</v>
      </c>
    </row>
    <row r="187" spans="1:2">
      <c r="A187" s="2" t="s">
        <v>663</v>
      </c>
      <c r="B187" s="9" t="s">
        <v>4263</v>
      </c>
    </row>
    <row r="188" spans="1:2">
      <c r="A188" s="2" t="s">
        <v>4410</v>
      </c>
      <c r="B188" s="9" t="s">
        <v>4411</v>
      </c>
    </row>
    <row r="189" spans="1:2">
      <c r="A189" s="2" t="s">
        <v>4412</v>
      </c>
      <c r="B189" s="9" t="s">
        <v>4193</v>
      </c>
    </row>
    <row r="190" spans="1:2">
      <c r="A190" s="2" t="s">
        <v>4413</v>
      </c>
      <c r="B190" s="9" t="s">
        <v>4414</v>
      </c>
    </row>
    <row r="191" spans="1:2">
      <c r="A191" s="2" t="s">
        <v>4415</v>
      </c>
      <c r="B191" s="9" t="s">
        <v>4416</v>
      </c>
    </row>
    <row r="192" spans="1:2">
      <c r="A192" s="2" t="s">
        <v>4417</v>
      </c>
      <c r="B192" s="9" t="s">
        <v>4416</v>
      </c>
    </row>
    <row r="193" spans="1:2">
      <c r="A193" s="2" t="s">
        <v>4418</v>
      </c>
      <c r="B193" s="9" t="s">
        <v>4416</v>
      </c>
    </row>
    <row r="194" spans="1:2">
      <c r="A194" s="2" t="s">
        <v>4419</v>
      </c>
      <c r="B194" s="9" t="s">
        <v>4416</v>
      </c>
    </row>
    <row r="195" spans="1:2">
      <c r="A195" s="2" t="s">
        <v>4420</v>
      </c>
      <c r="B195" s="9" t="s">
        <v>4416</v>
      </c>
    </row>
    <row r="196" spans="1:2">
      <c r="A196" s="2" t="s">
        <v>4421</v>
      </c>
      <c r="B196" s="9" t="s">
        <v>4416</v>
      </c>
    </row>
    <row r="197" spans="1:2">
      <c r="A197" s="2" t="s">
        <v>4422</v>
      </c>
      <c r="B197" s="9" t="s">
        <v>4416</v>
      </c>
    </row>
    <row r="198" spans="1:2">
      <c r="A198" s="2" t="s">
        <v>4423</v>
      </c>
      <c r="B198" s="9" t="s">
        <v>4424</v>
      </c>
    </row>
    <row r="199" spans="1:2">
      <c r="A199" s="2" t="s">
        <v>4425</v>
      </c>
      <c r="B199" s="9" t="s">
        <v>4285</v>
      </c>
    </row>
    <row r="200" spans="1:2">
      <c r="A200" s="2" t="s">
        <v>4426</v>
      </c>
      <c r="B200" s="9" t="s">
        <v>4359</v>
      </c>
    </row>
    <row r="201" spans="1:2">
      <c r="A201" s="2" t="s">
        <v>4427</v>
      </c>
      <c r="B201" s="9" t="s">
        <v>4359</v>
      </c>
    </row>
    <row r="202" spans="1:2">
      <c r="A202" s="2" t="s">
        <v>4428</v>
      </c>
      <c r="B202" s="2" t="s">
        <v>4424</v>
      </c>
    </row>
    <row r="203" spans="1:2">
      <c r="A203" s="2" t="s">
        <v>4429</v>
      </c>
      <c r="B203" s="2" t="s">
        <v>4359</v>
      </c>
    </row>
    <row r="204" spans="1:2">
      <c r="A204" s="2" t="s">
        <v>4430</v>
      </c>
      <c r="B204" s="2" t="s">
        <v>4359</v>
      </c>
    </row>
    <row r="205" spans="1:2">
      <c r="A205" s="2" t="s">
        <v>4431</v>
      </c>
      <c r="B205" s="2" t="s">
        <v>4432</v>
      </c>
    </row>
    <row r="206" spans="1:2">
      <c r="A206" s="2" t="s">
        <v>4433</v>
      </c>
      <c r="B206" s="2" t="s">
        <v>4432</v>
      </c>
    </row>
    <row r="207" spans="1:2">
      <c r="A207" s="2" t="s">
        <v>4434</v>
      </c>
      <c r="B207" s="2" t="s">
        <v>4432</v>
      </c>
    </row>
    <row r="208" spans="1:2">
      <c r="A208" s="2" t="s">
        <v>4435</v>
      </c>
      <c r="B208" s="2" t="s">
        <v>4432</v>
      </c>
    </row>
    <row r="209" spans="1:2">
      <c r="A209" s="2" t="s">
        <v>4436</v>
      </c>
      <c r="B209" s="2" t="s">
        <v>4437</v>
      </c>
    </row>
    <row r="210" spans="1:2">
      <c r="A210" s="2" t="s">
        <v>4438</v>
      </c>
      <c r="B210" s="2" t="s">
        <v>4437</v>
      </c>
    </row>
    <row r="211" spans="1:2">
      <c r="A211" s="2" t="s">
        <v>4439</v>
      </c>
      <c r="B211" s="2" t="s">
        <v>4440</v>
      </c>
    </row>
    <row r="212" spans="1:2">
      <c r="A212" s="2" t="s">
        <v>4441</v>
      </c>
      <c r="B212" s="2" t="s">
        <v>4440</v>
      </c>
    </row>
    <row r="213" spans="1:2">
      <c r="A213" s="2" t="s">
        <v>4442</v>
      </c>
      <c r="B213" s="2" t="s">
        <v>4440</v>
      </c>
    </row>
    <row r="214" spans="1:2">
      <c r="A214" s="2" t="s">
        <v>4443</v>
      </c>
      <c r="B214" s="2" t="s">
        <v>4440</v>
      </c>
    </row>
    <row r="215" spans="1:2">
      <c r="A215" s="2" t="s">
        <v>4444</v>
      </c>
      <c r="B215" s="2" t="s">
        <v>4440</v>
      </c>
    </row>
    <row r="216" spans="1:2">
      <c r="A216" s="2" t="s">
        <v>4445</v>
      </c>
      <c r="B216" s="2" t="s">
        <v>4440</v>
      </c>
    </row>
    <row r="217" spans="1:2">
      <c r="A217" s="2" t="s">
        <v>4446</v>
      </c>
      <c r="B217" s="2" t="s">
        <v>4440</v>
      </c>
    </row>
    <row r="218" spans="1:2">
      <c r="A218" s="2" t="s">
        <v>4447</v>
      </c>
      <c r="B218" s="2" t="s">
        <v>4440</v>
      </c>
    </row>
    <row r="219" spans="1:2">
      <c r="A219" s="2" t="s">
        <v>4448</v>
      </c>
      <c r="B219" t="s">
        <v>4449</v>
      </c>
    </row>
    <row r="220" spans="1:2">
      <c r="A220" s="2" t="s">
        <v>4450</v>
      </c>
      <c r="B220" t="s">
        <v>4449</v>
      </c>
    </row>
    <row r="221" spans="1:2">
      <c r="A221" s="2" t="s">
        <v>4451</v>
      </c>
      <c r="B221" t="s">
        <v>4449</v>
      </c>
    </row>
    <row r="222" spans="1:2">
      <c r="A222" s="2" t="s">
        <v>4452</v>
      </c>
      <c r="B222" t="s">
        <v>4449</v>
      </c>
    </row>
    <row r="223" spans="1:2">
      <c r="A223" s="2" t="s">
        <v>4453</v>
      </c>
      <c r="B223" t="s">
        <v>4449</v>
      </c>
    </row>
    <row r="224" spans="1:2">
      <c r="A224" s="2" t="s">
        <v>4454</v>
      </c>
      <c r="B224" t="s">
        <v>4449</v>
      </c>
    </row>
    <row r="225" spans="1:2">
      <c r="A225" s="2" t="s">
        <v>4455</v>
      </c>
      <c r="B225" t="s">
        <v>4449</v>
      </c>
    </row>
    <row r="226" spans="1:2">
      <c r="A226" s="2" t="s">
        <v>4456</v>
      </c>
      <c r="B226" t="s">
        <v>4449</v>
      </c>
    </row>
    <row r="227" spans="1:2">
      <c r="A227" s="2" t="s">
        <v>4457</v>
      </c>
      <c r="B227" t="s">
        <v>4424</v>
      </c>
    </row>
    <row r="228" spans="1:2">
      <c r="A228" s="2" t="s">
        <v>4458</v>
      </c>
      <c r="B228" t="s">
        <v>4359</v>
      </c>
    </row>
    <row r="229" spans="1:2">
      <c r="A229" s="2" t="s">
        <v>4459</v>
      </c>
      <c r="B229" s="2" t="s">
        <v>4460</v>
      </c>
    </row>
    <row r="230" spans="1:2">
      <c r="A230" s="2" t="s">
        <v>4461</v>
      </c>
      <c r="B230" s="2" t="s">
        <v>4460</v>
      </c>
    </row>
    <row r="231" spans="1:2">
      <c r="A231" s="2" t="s">
        <v>4462</v>
      </c>
      <c r="B231" s="2" t="s">
        <v>4460</v>
      </c>
    </row>
    <row r="232" spans="1:2">
      <c r="A232" s="2" t="s">
        <v>4463</v>
      </c>
      <c r="B232" s="2" t="s">
        <v>4460</v>
      </c>
    </row>
    <row r="233" spans="1:2">
      <c r="A233" s="2" t="s">
        <v>4464</v>
      </c>
      <c r="B233" t="s">
        <v>4359</v>
      </c>
    </row>
    <row r="234" spans="1:2">
      <c r="A234" s="2" t="s">
        <v>4465</v>
      </c>
      <c r="B234" t="s">
        <v>4169</v>
      </c>
    </row>
    <row r="235" spans="1:2">
      <c r="A235" s="2" t="s">
        <v>4466</v>
      </c>
      <c r="B235" s="2" t="s">
        <v>4467</v>
      </c>
    </row>
    <row r="236" spans="1:2">
      <c r="A236" s="2" t="s">
        <v>4468</v>
      </c>
      <c r="B236" t="s">
        <v>4388</v>
      </c>
    </row>
    <row r="237" spans="1:2">
      <c r="A237" s="2" t="s">
        <v>4469</v>
      </c>
      <c r="B237" t="s">
        <v>4318</v>
      </c>
    </row>
    <row r="238" spans="1:2">
      <c r="A238" s="2" t="s">
        <v>4470</v>
      </c>
      <c r="B238" t="s">
        <v>4471</v>
      </c>
    </row>
    <row r="239" spans="1:2">
      <c r="A239" s="2" t="s">
        <v>934</v>
      </c>
      <c r="B239" s="2" t="s">
        <v>4472</v>
      </c>
    </row>
    <row r="240" spans="1:2">
      <c r="A240" s="2" t="s">
        <v>4473</v>
      </c>
      <c r="B240" s="2" t="s">
        <v>4375</v>
      </c>
    </row>
    <row r="241" spans="1:2">
      <c r="A241" s="2" t="s">
        <v>4474</v>
      </c>
      <c r="B241" s="2" t="s">
        <v>4375</v>
      </c>
    </row>
    <row r="242" spans="1:2">
      <c r="A242" s="2" t="s">
        <v>4475</v>
      </c>
      <c r="B242" t="s">
        <v>4359</v>
      </c>
    </row>
    <row r="243" spans="1:2">
      <c r="A243" s="2" t="s">
        <v>4476</v>
      </c>
      <c r="B243" t="s">
        <v>4359</v>
      </c>
    </row>
    <row r="244" spans="1:2">
      <c r="A244" s="2" t="s">
        <v>4477</v>
      </c>
      <c r="B244" t="s">
        <v>4424</v>
      </c>
    </row>
    <row r="245" spans="1:2">
      <c r="A245" s="2" t="s">
        <v>4478</v>
      </c>
      <c r="B245" t="s">
        <v>4359</v>
      </c>
    </row>
    <row r="246" spans="1:2">
      <c r="A246" s="2" t="s">
        <v>4479</v>
      </c>
      <c r="B246" t="s">
        <v>4359</v>
      </c>
    </row>
    <row r="247" spans="1:2">
      <c r="A247" s="2" t="s">
        <v>4480</v>
      </c>
      <c r="B247" s="2" t="s">
        <v>4481</v>
      </c>
    </row>
    <row r="248" spans="1:2">
      <c r="A248" s="2" t="s">
        <v>4482</v>
      </c>
      <c r="B248" s="2" t="s">
        <v>4483</v>
      </c>
    </row>
    <row r="249" spans="1:2">
      <c r="A249" s="2" t="s">
        <v>4484</v>
      </c>
      <c r="B249" t="s">
        <v>4485</v>
      </c>
    </row>
    <row r="250" spans="1:2">
      <c r="A250" s="2" t="s">
        <v>4486</v>
      </c>
      <c r="B250" s="2" t="s">
        <v>4487</v>
      </c>
    </row>
    <row r="251" spans="1:2">
      <c r="A251" s="2" t="s">
        <v>4488</v>
      </c>
      <c r="B251" s="2" t="s">
        <v>4487</v>
      </c>
    </row>
    <row r="252" spans="1:2">
      <c r="A252" s="2" t="s">
        <v>4489</v>
      </c>
      <c r="B252" s="2" t="s">
        <v>4487</v>
      </c>
    </row>
    <row r="253" spans="1:2">
      <c r="A253" s="2" t="s">
        <v>4490</v>
      </c>
      <c r="B253" s="2" t="s">
        <v>4487</v>
      </c>
    </row>
    <row r="254" spans="1:2">
      <c r="A254" s="2" t="s">
        <v>4491</v>
      </c>
      <c r="B254" s="2" t="s">
        <v>4487</v>
      </c>
    </row>
    <row r="255" spans="1:2">
      <c r="A255" s="2" t="s">
        <v>4492</v>
      </c>
      <c r="B255" s="2" t="s">
        <v>4487</v>
      </c>
    </row>
    <row r="256" spans="1:2">
      <c r="A256" s="2" t="s">
        <v>4493</v>
      </c>
      <c r="B256" t="s">
        <v>4365</v>
      </c>
    </row>
    <row r="257" spans="1:2">
      <c r="A257" s="2" t="s">
        <v>4494</v>
      </c>
      <c r="B257" t="s">
        <v>4365</v>
      </c>
    </row>
    <row r="258" spans="1:2">
      <c r="A258" s="2" t="s">
        <v>4495</v>
      </c>
      <c r="B258" t="s">
        <v>4365</v>
      </c>
    </row>
    <row r="259" spans="1:2">
      <c r="A259" s="2" t="s">
        <v>4496</v>
      </c>
      <c r="B259" t="s">
        <v>4365</v>
      </c>
    </row>
    <row r="260" spans="1:2">
      <c r="A260" s="2" t="s">
        <v>4497</v>
      </c>
      <c r="B260" s="2" t="s">
        <v>4498</v>
      </c>
    </row>
    <row r="261" spans="1:2">
      <c r="A261" s="2" t="s">
        <v>4499</v>
      </c>
      <c r="B261" s="2" t="s">
        <v>4498</v>
      </c>
    </row>
    <row r="262" spans="1:2">
      <c r="A262" s="2" t="s">
        <v>4500</v>
      </c>
      <c r="B262" s="2" t="s">
        <v>4498</v>
      </c>
    </row>
    <row r="263" spans="1:2">
      <c r="A263" s="2" t="s">
        <v>4501</v>
      </c>
      <c r="B263" s="2" t="s">
        <v>4498</v>
      </c>
    </row>
    <row r="264" spans="1:2">
      <c r="A264" s="2" t="s">
        <v>4502</v>
      </c>
      <c r="B264" s="2" t="s">
        <v>4498</v>
      </c>
    </row>
    <row r="265" spans="1:2">
      <c r="A265" s="2" t="s">
        <v>4503</v>
      </c>
      <c r="B265" s="2" t="s">
        <v>4504</v>
      </c>
    </row>
    <row r="266" spans="1:2">
      <c r="A266" s="2" t="s">
        <v>4505</v>
      </c>
      <c r="B266" s="2" t="s">
        <v>4504</v>
      </c>
    </row>
    <row r="267" spans="1:2">
      <c r="A267" s="2" t="s">
        <v>4506</v>
      </c>
      <c r="B267" s="2" t="s">
        <v>4504</v>
      </c>
    </row>
    <row r="268" spans="1:2">
      <c r="A268" s="2" t="s">
        <v>4507</v>
      </c>
      <c r="B268" s="2" t="s">
        <v>4504</v>
      </c>
    </row>
    <row r="269" spans="1:2">
      <c r="A269" s="2" t="s">
        <v>1225</v>
      </c>
      <c r="B269" s="2" t="s">
        <v>4508</v>
      </c>
    </row>
    <row r="270" spans="1:2">
      <c r="A270" s="2" t="s">
        <v>4509</v>
      </c>
      <c r="B270" s="2" t="s">
        <v>4312</v>
      </c>
    </row>
    <row r="271" spans="1:2">
      <c r="A271" s="2" t="s">
        <v>4510</v>
      </c>
      <c r="B271" t="s">
        <v>4511</v>
      </c>
    </row>
    <row r="272" spans="1:2">
      <c r="A272" s="2" t="s">
        <v>4512</v>
      </c>
      <c r="B272" t="s">
        <v>4513</v>
      </c>
    </row>
    <row r="273" spans="1:2">
      <c r="A273" s="2" t="s">
        <v>4514</v>
      </c>
      <c r="B273" t="s">
        <v>4515</v>
      </c>
    </row>
    <row r="274" spans="1:2">
      <c r="A274" s="2" t="s">
        <v>4516</v>
      </c>
      <c r="B274" t="s">
        <v>4517</v>
      </c>
    </row>
    <row r="275" spans="1:2">
      <c r="A275" s="2" t="s">
        <v>4518</v>
      </c>
      <c r="B275" s="2" t="s">
        <v>4519</v>
      </c>
    </row>
    <row r="276" spans="1:2">
      <c r="A276" s="2" t="s">
        <v>4520</v>
      </c>
      <c r="B276" s="2" t="s">
        <v>4519</v>
      </c>
    </row>
    <row r="277" spans="1:2">
      <c r="A277" s="2" t="s">
        <v>4521</v>
      </c>
      <c r="B277" s="2" t="s">
        <v>4519</v>
      </c>
    </row>
    <row r="278" spans="1:2">
      <c r="A278" s="2" t="s">
        <v>4522</v>
      </c>
      <c r="B278" t="s">
        <v>4504</v>
      </c>
    </row>
    <row r="279" spans="1:2">
      <c r="A279" s="2" t="s">
        <v>4523</v>
      </c>
      <c r="B279" t="s">
        <v>4169</v>
      </c>
    </row>
    <row r="280" spans="1:2">
      <c r="A280" s="2" t="s">
        <v>1332</v>
      </c>
      <c r="B280" t="s">
        <v>4524</v>
      </c>
    </row>
    <row r="281" spans="1:2">
      <c r="A281" s="2" t="s">
        <v>4525</v>
      </c>
      <c r="B281" t="s">
        <v>4526</v>
      </c>
    </row>
    <row r="282" spans="1:2">
      <c r="A282" s="2" t="s">
        <v>4527</v>
      </c>
      <c r="B282" t="s">
        <v>4169</v>
      </c>
    </row>
    <row r="283" spans="1:2">
      <c r="A283" s="2" t="s">
        <v>4528</v>
      </c>
      <c r="B283" t="s">
        <v>4169</v>
      </c>
    </row>
    <row r="284" spans="1:2">
      <c r="A284" s="2" t="s">
        <v>1358</v>
      </c>
      <c r="B284" s="2" t="s">
        <v>4529</v>
      </c>
    </row>
    <row r="285" spans="1:2">
      <c r="A285" s="2" t="s">
        <v>4530</v>
      </c>
      <c r="B285" t="s">
        <v>4529</v>
      </c>
    </row>
    <row r="286" spans="1:2">
      <c r="A286" s="2" t="s">
        <v>4531</v>
      </c>
      <c r="B286" t="s">
        <v>4532</v>
      </c>
    </row>
    <row r="287" spans="1:2">
      <c r="A287" s="2" t="s">
        <v>4533</v>
      </c>
      <c r="B287" t="s">
        <v>4534</v>
      </c>
    </row>
    <row r="288" spans="1:2">
      <c r="A288" s="2" t="s">
        <v>4535</v>
      </c>
      <c r="B288" t="s">
        <v>4536</v>
      </c>
    </row>
    <row r="289" spans="1:2">
      <c r="A289" s="2" t="s">
        <v>4537</v>
      </c>
      <c r="B289" t="s">
        <v>4536</v>
      </c>
    </row>
    <row r="290" spans="1:2">
      <c r="A290" s="2" t="s">
        <v>4538</v>
      </c>
      <c r="B290" s="2" t="s">
        <v>4539</v>
      </c>
    </row>
    <row r="291" spans="1:2">
      <c r="A291" s="2" t="s">
        <v>4540</v>
      </c>
      <c r="B291" s="2" t="s">
        <v>4276</v>
      </c>
    </row>
    <row r="292" spans="1:2">
      <c r="A292" s="2" t="s">
        <v>4541</v>
      </c>
      <c r="B292" t="s">
        <v>4542</v>
      </c>
    </row>
    <row r="293" spans="1:2">
      <c r="A293" s="2" t="s">
        <v>4543</v>
      </c>
      <c r="B293" t="s">
        <v>4542</v>
      </c>
    </row>
    <row r="294" spans="1:2">
      <c r="A294" s="2" t="s">
        <v>4544</v>
      </c>
      <c r="B294" t="s">
        <v>4542</v>
      </c>
    </row>
    <row r="295" spans="1:2">
      <c r="A295" s="2" t="s">
        <v>4545</v>
      </c>
      <c r="B295" t="s">
        <v>4542</v>
      </c>
    </row>
    <row r="296" spans="1:2">
      <c r="A296" s="2" t="s">
        <v>4546</v>
      </c>
      <c r="B296" t="s">
        <v>4542</v>
      </c>
    </row>
    <row r="297" spans="1:2">
      <c r="A297" s="2" t="s">
        <v>4547</v>
      </c>
      <c r="B297" t="s">
        <v>4542</v>
      </c>
    </row>
    <row r="298" spans="1:2">
      <c r="A298" s="2" t="s">
        <v>4548</v>
      </c>
      <c r="B298" s="2" t="s">
        <v>4549</v>
      </c>
    </row>
    <row r="299" spans="1:2">
      <c r="A299" s="2" t="s">
        <v>4550</v>
      </c>
      <c r="B299" t="s">
        <v>4551</v>
      </c>
    </row>
    <row r="300" spans="1:2">
      <c r="A300" s="2" t="s">
        <v>4552</v>
      </c>
      <c r="B300" s="2" t="s">
        <v>4553</v>
      </c>
    </row>
    <row r="301" spans="1:2">
      <c r="A301" s="2" t="s">
        <v>4554</v>
      </c>
      <c r="B301" t="s">
        <v>4555</v>
      </c>
    </row>
    <row r="302" spans="1:2">
      <c r="A302" s="2" t="s">
        <v>4556</v>
      </c>
      <c r="B302" t="s">
        <v>4329</v>
      </c>
    </row>
    <row r="303" spans="1:2">
      <c r="A303" s="2" t="s">
        <v>4557</v>
      </c>
      <c r="B303" t="s">
        <v>4329</v>
      </c>
    </row>
    <row r="304" spans="1:2">
      <c r="A304" s="2" t="s">
        <v>4558</v>
      </c>
      <c r="B304" t="s">
        <v>4559</v>
      </c>
    </row>
    <row r="305" spans="1:2">
      <c r="A305" s="2" t="s">
        <v>4560</v>
      </c>
      <c r="B305" t="s">
        <v>4561</v>
      </c>
    </row>
    <row r="306" spans="1:2">
      <c r="A306" s="2" t="s">
        <v>4562</v>
      </c>
      <c r="B306" s="2" t="s">
        <v>4563</v>
      </c>
    </row>
    <row r="307" spans="1:2">
      <c r="A307" s="2" t="s">
        <v>4564</v>
      </c>
      <c r="B307" s="2" t="s">
        <v>4565</v>
      </c>
    </row>
    <row r="308" spans="1:2">
      <c r="A308" s="2" t="s">
        <v>4566</v>
      </c>
      <c r="B308" s="2" t="s">
        <v>4565</v>
      </c>
    </row>
    <row r="309" spans="1:2">
      <c r="A309" s="2" t="s">
        <v>4567</v>
      </c>
      <c r="B309" s="2" t="s">
        <v>4565</v>
      </c>
    </row>
    <row r="310" spans="1:2">
      <c r="A310" s="2" t="s">
        <v>4568</v>
      </c>
      <c r="B310" s="2" t="s">
        <v>4314</v>
      </c>
    </row>
    <row r="311" spans="1:2">
      <c r="A311" s="2" t="s">
        <v>1586</v>
      </c>
      <c r="B311" t="s">
        <v>4569</v>
      </c>
    </row>
    <row r="312" spans="1:2">
      <c r="A312" s="2" t="s">
        <v>4570</v>
      </c>
      <c r="B312" s="2" t="s">
        <v>4176</v>
      </c>
    </row>
    <row r="313" spans="1:2">
      <c r="A313" s="2" t="s">
        <v>4571</v>
      </c>
      <c r="B313" s="2" t="s">
        <v>4359</v>
      </c>
    </row>
    <row r="314" spans="1:2">
      <c r="A314" s="2" t="s">
        <v>4572</v>
      </c>
      <c r="B314" t="s">
        <v>4573</v>
      </c>
    </row>
    <row r="315" spans="1:2">
      <c r="A315" s="2" t="s">
        <v>4574</v>
      </c>
      <c r="B315" s="2" t="s">
        <v>4375</v>
      </c>
    </row>
    <row r="316" spans="1:2">
      <c r="A316" s="2" t="s">
        <v>4575</v>
      </c>
      <c r="B316" s="2" t="s">
        <v>4576</v>
      </c>
    </row>
    <row r="317" spans="1:2">
      <c r="A317" s="2" t="s">
        <v>4577</v>
      </c>
      <c r="B317" t="s">
        <v>4285</v>
      </c>
    </row>
    <row r="318" spans="1:2">
      <c r="A318" s="2" t="s">
        <v>4578</v>
      </c>
      <c r="B318" t="s">
        <v>4285</v>
      </c>
    </row>
    <row r="319" spans="1:2">
      <c r="A319" s="2" t="s">
        <v>4579</v>
      </c>
      <c r="B319" s="2" t="s">
        <v>4359</v>
      </c>
    </row>
    <row r="320" spans="1:2">
      <c r="A320" s="2" t="s">
        <v>4580</v>
      </c>
      <c r="B320" t="s">
        <v>4581</v>
      </c>
    </row>
    <row r="321" spans="1:2">
      <c r="A321" s="2" t="s">
        <v>4582</v>
      </c>
      <c r="B321" t="s">
        <v>4581</v>
      </c>
    </row>
    <row r="322" spans="1:2">
      <c r="A322" s="2" t="s">
        <v>4583</v>
      </c>
      <c r="B322" t="s">
        <v>4584</v>
      </c>
    </row>
    <row r="323" spans="1:2">
      <c r="A323" s="2" t="s">
        <v>4585</v>
      </c>
      <c r="B323" t="s">
        <v>4586</v>
      </c>
    </row>
    <row r="324" spans="1:2">
      <c r="A324" s="2" t="s">
        <v>1665</v>
      </c>
      <c r="B324" t="s">
        <v>4587</v>
      </c>
    </row>
    <row r="325" spans="1:2">
      <c r="A325" s="2" t="s">
        <v>4588</v>
      </c>
      <c r="B325" t="s">
        <v>4589</v>
      </c>
    </row>
    <row r="326" spans="1:2">
      <c r="A326" s="2" t="s">
        <v>4590</v>
      </c>
      <c r="B326" s="2" t="s">
        <v>4591</v>
      </c>
    </row>
    <row r="327" spans="1:2">
      <c r="A327" s="2" t="s">
        <v>4592</v>
      </c>
      <c r="B327" s="2" t="s">
        <v>4591</v>
      </c>
    </row>
    <row r="328" spans="1:2">
      <c r="A328" s="2" t="s">
        <v>4593</v>
      </c>
      <c r="B328" s="2" t="s">
        <v>4565</v>
      </c>
    </row>
    <row r="329" spans="1:2">
      <c r="A329" s="2" t="s">
        <v>4594</v>
      </c>
      <c r="B329" s="2" t="s">
        <v>4565</v>
      </c>
    </row>
    <row r="330" spans="1:2">
      <c r="A330" s="2" t="s">
        <v>4595</v>
      </c>
      <c r="B330" t="s">
        <v>4596</v>
      </c>
    </row>
    <row r="331" spans="1:2">
      <c r="A331" s="2" t="s">
        <v>4597</v>
      </c>
      <c r="B331" s="2" t="s">
        <v>4173</v>
      </c>
    </row>
    <row r="332" spans="1:2">
      <c r="A332" s="2" t="s">
        <v>4598</v>
      </c>
      <c r="B332" t="s">
        <v>4599</v>
      </c>
    </row>
    <row r="333" spans="1:2">
      <c r="A333" s="2" t="s">
        <v>4600</v>
      </c>
      <c r="B333" t="s">
        <v>4601</v>
      </c>
    </row>
    <row r="334" spans="1:2">
      <c r="A334" s="2" t="s">
        <v>4602</v>
      </c>
      <c r="B334" t="s">
        <v>4603</v>
      </c>
    </row>
    <row r="335" spans="1:2">
      <c r="A335" s="2" t="s">
        <v>4604</v>
      </c>
      <c r="B335" t="s">
        <v>4605</v>
      </c>
    </row>
    <row r="336" spans="1:2">
      <c r="A336" s="2" t="s">
        <v>4606</v>
      </c>
      <c r="B336" s="2" t="s">
        <v>4607</v>
      </c>
    </row>
    <row r="337" spans="1:2">
      <c r="A337" s="2" t="s">
        <v>4608</v>
      </c>
      <c r="B337" s="2" t="s">
        <v>4607</v>
      </c>
    </row>
    <row r="338" spans="1:2">
      <c r="A338" s="2" t="s">
        <v>4609</v>
      </c>
      <c r="B338" t="s">
        <v>4610</v>
      </c>
    </row>
    <row r="339" spans="1:2">
      <c r="A339" s="2" t="s">
        <v>4611</v>
      </c>
      <c r="B339" s="2" t="s">
        <v>4612</v>
      </c>
    </row>
    <row r="340" spans="1:2">
      <c r="A340" s="2" t="s">
        <v>4613</v>
      </c>
      <c r="B340" s="2" t="s">
        <v>4612</v>
      </c>
    </row>
    <row r="341" spans="1:2">
      <c r="A341" s="2" t="s">
        <v>4614</v>
      </c>
      <c r="B341" t="s">
        <v>4359</v>
      </c>
    </row>
    <row r="342" spans="1:2">
      <c r="A342" s="2" t="s">
        <v>4615</v>
      </c>
      <c r="B342" s="2" t="s">
        <v>4375</v>
      </c>
    </row>
    <row r="343" spans="1:2">
      <c r="A343" s="2" t="s">
        <v>4616</v>
      </c>
      <c r="B343" s="2" t="s">
        <v>4617</v>
      </c>
    </row>
    <row r="344" spans="1:2">
      <c r="A344" s="2" t="s">
        <v>4618</v>
      </c>
      <c r="B344" t="s">
        <v>4359</v>
      </c>
    </row>
    <row r="345" spans="1:2">
      <c r="A345" s="2" t="s">
        <v>4619</v>
      </c>
      <c r="B345" t="s">
        <v>4620</v>
      </c>
    </row>
    <row r="346" spans="1:2">
      <c r="A346" s="2" t="s">
        <v>4621</v>
      </c>
      <c r="B346" s="2" t="s">
        <v>4622</v>
      </c>
    </row>
    <row r="347" spans="1:2">
      <c r="A347" s="2" t="s">
        <v>4623</v>
      </c>
      <c r="B347" t="s">
        <v>4624</v>
      </c>
    </row>
    <row r="348" spans="1:2">
      <c r="A348" s="2" t="s">
        <v>4625</v>
      </c>
      <c r="B348" s="2" t="s">
        <v>4626</v>
      </c>
    </row>
    <row r="349" spans="1:2">
      <c r="A349" s="2" t="s">
        <v>4627</v>
      </c>
      <c r="B349" t="s">
        <v>4626</v>
      </c>
    </row>
    <row r="350" spans="1:2">
      <c r="A350" s="2" t="s">
        <v>4628</v>
      </c>
      <c r="B350" s="2" t="s">
        <v>4629</v>
      </c>
    </row>
    <row r="351" spans="1:2">
      <c r="A351" s="2" t="s">
        <v>4630</v>
      </c>
      <c r="B351" t="s">
        <v>4388</v>
      </c>
    </row>
    <row r="352" spans="1:2">
      <c r="A352" s="2" t="s">
        <v>4631</v>
      </c>
      <c r="B352" t="s">
        <v>4388</v>
      </c>
    </row>
    <row r="353" spans="1:2">
      <c r="A353" s="2" t="s">
        <v>4632</v>
      </c>
      <c r="B353" s="2" t="s">
        <v>4633</v>
      </c>
    </row>
    <row r="354" spans="1:2">
      <c r="A354" s="2" t="s">
        <v>4634</v>
      </c>
      <c r="B354" t="s">
        <v>4365</v>
      </c>
    </row>
    <row r="355" spans="1:2">
      <c r="A355" s="2" t="s">
        <v>4635</v>
      </c>
      <c r="B355" s="2" t="s">
        <v>4487</v>
      </c>
    </row>
    <row r="356" spans="1:2">
      <c r="A356" s="2" t="s">
        <v>4636</v>
      </c>
      <c r="B356" t="s">
        <v>4365</v>
      </c>
    </row>
    <row r="357" spans="1:2">
      <c r="A357" s="2" t="s">
        <v>4637</v>
      </c>
      <c r="B357" t="s">
        <v>4365</v>
      </c>
    </row>
    <row r="358" spans="1:2">
      <c r="A358" s="2" t="s">
        <v>4638</v>
      </c>
      <c r="B358" t="s">
        <v>4361</v>
      </c>
    </row>
    <row r="359" spans="1:2">
      <c r="A359" s="2" t="s">
        <v>4639</v>
      </c>
      <c r="B359" t="s">
        <v>4640</v>
      </c>
    </row>
    <row r="360" spans="1:2">
      <c r="A360" s="2" t="s">
        <v>4641</v>
      </c>
      <c r="B360" s="2" t="s">
        <v>4642</v>
      </c>
    </row>
    <row r="361" spans="1:2">
      <c r="A361" s="2" t="s">
        <v>4643</v>
      </c>
      <c r="B361" s="2" t="s">
        <v>4642</v>
      </c>
    </row>
    <row r="362" spans="1:2">
      <c r="A362" s="2" t="s">
        <v>4644</v>
      </c>
      <c r="B362" s="2" t="s">
        <v>4642</v>
      </c>
    </row>
    <row r="363" spans="1:2">
      <c r="A363" s="2" t="s">
        <v>4645</v>
      </c>
      <c r="B363" s="2" t="s">
        <v>4642</v>
      </c>
    </row>
    <row r="364" spans="1:2">
      <c r="A364" s="2" t="s">
        <v>4646</v>
      </c>
      <c r="B364" t="s">
        <v>4647</v>
      </c>
    </row>
    <row r="365" spans="1:2">
      <c r="A365" s="2" t="s">
        <v>2668</v>
      </c>
      <c r="B365" t="s">
        <v>4648</v>
      </c>
    </row>
    <row r="366" spans="1:2">
      <c r="A366" s="2" t="s">
        <v>4649</v>
      </c>
      <c r="B366" t="s">
        <v>4648</v>
      </c>
    </row>
    <row r="367" spans="1:2">
      <c r="A367" s="2" t="s">
        <v>4650</v>
      </c>
      <c r="B367" t="s">
        <v>4651</v>
      </c>
    </row>
    <row r="368" spans="1:2">
      <c r="A368" s="2" t="s">
        <v>4652</v>
      </c>
      <c r="B368" t="s">
        <v>4361</v>
      </c>
    </row>
    <row r="369" spans="1:2">
      <c r="A369" s="2" t="s">
        <v>4653</v>
      </c>
      <c r="B369" t="s">
        <v>4654</v>
      </c>
    </row>
    <row r="370" spans="1:2">
      <c r="A370" s="2" t="s">
        <v>4655</v>
      </c>
      <c r="B370" s="2" t="s">
        <v>4656</v>
      </c>
    </row>
    <row r="371" spans="1:2">
      <c r="A371" s="2" t="s">
        <v>4657</v>
      </c>
      <c r="B371" s="2" t="s">
        <v>4565</v>
      </c>
    </row>
    <row r="372" spans="1:2">
      <c r="A372" s="2" t="s">
        <v>4658</v>
      </c>
      <c r="B372" t="s">
        <v>4432</v>
      </c>
    </row>
    <row r="373" spans="1:2">
      <c r="A373" s="2" t="s">
        <v>4659</v>
      </c>
      <c r="B373" t="s">
        <v>4432</v>
      </c>
    </row>
    <row r="374" spans="1:2">
      <c r="A374" s="2" t="s">
        <v>4660</v>
      </c>
      <c r="B374" t="s">
        <v>4432</v>
      </c>
    </row>
    <row r="375" spans="1:2">
      <c r="A375" s="2" t="s">
        <v>4661</v>
      </c>
      <c r="B375" t="s">
        <v>4432</v>
      </c>
    </row>
    <row r="376" spans="1:2">
      <c r="A376" s="2" t="s">
        <v>4662</v>
      </c>
      <c r="B376" t="s">
        <v>4432</v>
      </c>
    </row>
    <row r="377" spans="1:2">
      <c r="A377" s="2" t="s">
        <v>4663</v>
      </c>
      <c r="B377" t="s">
        <v>4664</v>
      </c>
    </row>
    <row r="378" spans="1:2">
      <c r="A378" s="2" t="s">
        <v>4665</v>
      </c>
      <c r="B378" t="s">
        <v>4664</v>
      </c>
    </row>
    <row r="379" spans="1:2">
      <c r="A379" s="2" t="s">
        <v>4666</v>
      </c>
      <c r="B379" s="2" t="s">
        <v>4549</v>
      </c>
    </row>
    <row r="380" spans="1:2">
      <c r="A380" s="2" t="s">
        <v>4667</v>
      </c>
      <c r="B380" s="2" t="s">
        <v>4549</v>
      </c>
    </row>
    <row r="381" spans="1:2">
      <c r="A381" s="2" t="s">
        <v>2729</v>
      </c>
      <c r="B381" s="2" t="s">
        <v>4668</v>
      </c>
    </row>
    <row r="382" spans="1:2">
      <c r="A382" s="2" t="s">
        <v>4669</v>
      </c>
      <c r="B382" s="2" t="s">
        <v>4668</v>
      </c>
    </row>
    <row r="383" spans="1:2">
      <c r="A383" s="2" t="s">
        <v>4670</v>
      </c>
      <c r="B383" s="2" t="s">
        <v>4668</v>
      </c>
    </row>
    <row r="384" spans="1:2">
      <c r="A384" s="2" t="s">
        <v>4671</v>
      </c>
      <c r="B384" s="2" t="s">
        <v>4672</v>
      </c>
    </row>
    <row r="385" spans="1:2">
      <c r="A385" s="2" t="s">
        <v>4673</v>
      </c>
      <c r="B385" s="2" t="s">
        <v>4672</v>
      </c>
    </row>
    <row r="386" spans="1:2">
      <c r="A386" s="2" t="s">
        <v>4674</v>
      </c>
      <c r="B386" s="2" t="s">
        <v>4549</v>
      </c>
    </row>
    <row r="387" spans="1:2">
      <c r="A387" s="2" t="s">
        <v>4675</v>
      </c>
      <c r="B387" t="s">
        <v>4676</v>
      </c>
    </row>
    <row r="388" spans="1:2">
      <c r="A388" s="2" t="s">
        <v>4677</v>
      </c>
      <c r="B388" t="s">
        <v>4676</v>
      </c>
    </row>
    <row r="389" spans="1:2">
      <c r="A389" s="2" t="s">
        <v>4678</v>
      </c>
      <c r="B389" t="s">
        <v>4679</v>
      </c>
    </row>
    <row r="390" spans="1:2">
      <c r="A390" s="2" t="s">
        <v>4680</v>
      </c>
      <c r="B390" t="s">
        <v>4681</v>
      </c>
    </row>
    <row r="391" spans="1:2">
      <c r="A391" s="2" t="s">
        <v>4682</v>
      </c>
      <c r="B391" t="s">
        <v>4681</v>
      </c>
    </row>
    <row r="392" spans="1:2">
      <c r="A392" s="2" t="s">
        <v>4683</v>
      </c>
      <c r="B392" t="s">
        <v>4681</v>
      </c>
    </row>
    <row r="393" spans="1:2">
      <c r="A393" s="2" t="s">
        <v>4684</v>
      </c>
      <c r="B393" t="s">
        <v>4685</v>
      </c>
    </row>
    <row r="394" spans="1:2">
      <c r="A394" s="2" t="s">
        <v>4686</v>
      </c>
      <c r="B394" s="2" t="s">
        <v>4687</v>
      </c>
    </row>
    <row r="395" spans="1:2">
      <c r="A395" s="2" t="s">
        <v>4688</v>
      </c>
      <c r="B395" s="2" t="s">
        <v>4687</v>
      </c>
    </row>
    <row r="396" spans="1:2">
      <c r="A396" s="2" t="s">
        <v>4689</v>
      </c>
      <c r="B396" t="s">
        <v>4549</v>
      </c>
    </row>
    <row r="397" spans="1:2">
      <c r="A397" s="2" t="s">
        <v>4690</v>
      </c>
      <c r="B397" t="s">
        <v>4691</v>
      </c>
    </row>
    <row r="398" spans="1:2">
      <c r="A398" s="2" t="s">
        <v>4692</v>
      </c>
      <c r="B398" t="s">
        <v>4693</v>
      </c>
    </row>
    <row r="399" spans="1:2">
      <c r="A399" s="2" t="s">
        <v>4694</v>
      </c>
      <c r="B399" t="s">
        <v>4695</v>
      </c>
    </row>
    <row r="400" spans="1:2">
      <c r="A400" s="2" t="s">
        <v>4696</v>
      </c>
      <c r="B400" t="s">
        <v>4697</v>
      </c>
    </row>
    <row r="401" spans="1:2">
      <c r="A401" s="2" t="s">
        <v>4698</v>
      </c>
      <c r="B401" t="s">
        <v>4699</v>
      </c>
    </row>
    <row r="402" spans="1:2">
      <c r="A402" s="2" t="s">
        <v>4700</v>
      </c>
      <c r="B402" t="s">
        <v>4336</v>
      </c>
    </row>
    <row r="403" spans="1:2">
      <c r="A403" s="2" t="s">
        <v>4701</v>
      </c>
      <c r="B403" t="s">
        <v>4702</v>
      </c>
    </row>
    <row r="404" spans="1:2">
      <c r="A404" s="2" t="s">
        <v>4703</v>
      </c>
      <c r="B404" t="s">
        <v>4702</v>
      </c>
    </row>
    <row r="405" spans="1:2">
      <c r="A405" s="2" t="s">
        <v>4704</v>
      </c>
      <c r="B405" t="s">
        <v>4702</v>
      </c>
    </row>
    <row r="406" spans="1:2">
      <c r="A406" s="2" t="s">
        <v>4705</v>
      </c>
      <c r="B406" t="s">
        <v>4702</v>
      </c>
    </row>
    <row r="407" spans="1:2">
      <c r="A407" s="2" t="s">
        <v>4706</v>
      </c>
      <c r="B407" t="s">
        <v>4702</v>
      </c>
    </row>
    <row r="408" spans="1:2">
      <c r="A408" s="2" t="s">
        <v>4707</v>
      </c>
      <c r="B408" t="s">
        <v>4708</v>
      </c>
    </row>
    <row r="409" spans="1:2">
      <c r="A409" s="2" t="s">
        <v>4709</v>
      </c>
      <c r="B409" t="s">
        <v>4710</v>
      </c>
    </row>
    <row r="410" spans="1:2">
      <c r="A410" s="2" t="s">
        <v>4711</v>
      </c>
      <c r="B410" t="s">
        <v>4710</v>
      </c>
    </row>
    <row r="411" spans="1:2">
      <c r="A411" s="2" t="s">
        <v>4712</v>
      </c>
      <c r="B411" t="s">
        <v>4710</v>
      </c>
    </row>
    <row r="412" spans="1:2">
      <c r="A412" s="2" t="s">
        <v>4713</v>
      </c>
      <c r="B412" t="s">
        <v>4699</v>
      </c>
    </row>
    <row r="413" spans="1:2">
      <c r="A413" s="2" t="s">
        <v>4714</v>
      </c>
      <c r="B413" t="s">
        <v>4549</v>
      </c>
    </row>
    <row r="414" spans="1:2">
      <c r="A414" s="2" t="s">
        <v>4715</v>
      </c>
      <c r="B414" t="s">
        <v>4716</v>
      </c>
    </row>
    <row r="415" spans="1:2">
      <c r="A415" s="2" t="s">
        <v>4717</v>
      </c>
      <c r="B415" t="s">
        <v>4716</v>
      </c>
    </row>
    <row r="416" spans="1:2">
      <c r="A416" s="2" t="s">
        <v>4718</v>
      </c>
      <c r="B416" t="s">
        <v>4719</v>
      </c>
    </row>
    <row r="417" spans="1:2">
      <c r="A417" s="2" t="s">
        <v>4720</v>
      </c>
      <c r="B417" t="s">
        <v>4719</v>
      </c>
    </row>
    <row r="418" spans="1:2">
      <c r="A418" s="2" t="s">
        <v>4721</v>
      </c>
      <c r="B418" s="2" t="s">
        <v>4722</v>
      </c>
    </row>
    <row r="419" spans="1:2">
      <c r="A419" s="2" t="s">
        <v>4723</v>
      </c>
      <c r="B419" t="s">
        <v>4365</v>
      </c>
    </row>
    <row r="420" spans="1:2">
      <c r="A420" s="2" t="s">
        <v>4724</v>
      </c>
      <c r="B420" t="s">
        <v>4725</v>
      </c>
    </row>
    <row r="421" spans="1:2">
      <c r="A421" s="2" t="s">
        <v>4726</v>
      </c>
      <c r="B421" t="s">
        <v>4725</v>
      </c>
    </row>
    <row r="422" spans="1:2">
      <c r="A422" s="2" t="s">
        <v>4727</v>
      </c>
      <c r="B422" t="s">
        <v>4679</v>
      </c>
    </row>
    <row r="423" spans="1:2">
      <c r="A423" s="2" t="s">
        <v>4728</v>
      </c>
      <c r="B423" t="s">
        <v>4729</v>
      </c>
    </row>
    <row r="424" spans="1:2">
      <c r="A424" s="2" t="s">
        <v>4730</v>
      </c>
      <c r="B424" t="s">
        <v>4731</v>
      </c>
    </row>
    <row r="425" spans="1:2">
      <c r="A425" s="2" t="s">
        <v>4732</v>
      </c>
      <c r="B425" t="s">
        <v>4731</v>
      </c>
    </row>
    <row r="426" spans="1:2">
      <c r="A426" s="2" t="s">
        <v>4733</v>
      </c>
      <c r="B426" t="s">
        <v>4734</v>
      </c>
    </row>
    <row r="427" spans="1:2">
      <c r="A427" s="2" t="s">
        <v>4735</v>
      </c>
      <c r="B427" s="2" t="s">
        <v>4467</v>
      </c>
    </row>
    <row r="428" spans="1:2">
      <c r="A428" s="2" t="s">
        <v>4736</v>
      </c>
      <c r="B428" t="s">
        <v>4737</v>
      </c>
    </row>
    <row r="429" spans="1:2">
      <c r="A429" s="2" t="s">
        <v>4738</v>
      </c>
      <c r="B429" t="s">
        <v>4725</v>
      </c>
    </row>
    <row r="430" spans="1:2">
      <c r="A430" s="2" t="s">
        <v>4739</v>
      </c>
      <c r="B430" t="s">
        <v>4725</v>
      </c>
    </row>
    <row r="431" spans="1:2">
      <c r="A431" s="2" t="s">
        <v>4740</v>
      </c>
      <c r="B431" t="s">
        <v>4725</v>
      </c>
    </row>
    <row r="432" spans="1:2">
      <c r="A432" s="2" t="s">
        <v>4741</v>
      </c>
      <c r="B432" t="s">
        <v>4725</v>
      </c>
    </row>
    <row r="433" spans="1:2">
      <c r="A433" s="2" t="s">
        <v>4742</v>
      </c>
      <c r="B433" t="s">
        <v>4725</v>
      </c>
    </row>
    <row r="434" spans="1:2">
      <c r="A434" s="2" t="s">
        <v>4743</v>
      </c>
      <c r="B434" t="s">
        <v>4725</v>
      </c>
    </row>
    <row r="435" spans="1:2">
      <c r="A435" s="2" t="s">
        <v>4744</v>
      </c>
      <c r="B435" t="s">
        <v>4725</v>
      </c>
    </row>
    <row r="436" spans="1:2">
      <c r="A436" s="2" t="s">
        <v>4745</v>
      </c>
      <c r="B436" t="s">
        <v>4725</v>
      </c>
    </row>
    <row r="437" spans="1:2">
      <c r="A437" s="2" t="s">
        <v>4746</v>
      </c>
      <c r="B437" t="s">
        <v>4725</v>
      </c>
    </row>
    <row r="438" spans="1:2">
      <c r="A438" s="2" t="s">
        <v>4747</v>
      </c>
      <c r="B438" t="s">
        <v>4725</v>
      </c>
    </row>
    <row r="439" spans="1:2">
      <c r="A439" s="2" t="s">
        <v>4748</v>
      </c>
      <c r="B439" t="s">
        <v>4725</v>
      </c>
    </row>
    <row r="440" spans="1:2">
      <c r="A440" s="2" t="s">
        <v>4749</v>
      </c>
      <c r="B440" t="s">
        <v>4725</v>
      </c>
    </row>
    <row r="441" spans="1:2">
      <c r="A441" s="2" t="s">
        <v>4750</v>
      </c>
      <c r="B441" t="s">
        <v>4725</v>
      </c>
    </row>
    <row r="442" spans="1:2">
      <c r="A442" s="2" t="s">
        <v>4751</v>
      </c>
      <c r="B442" s="2" t="s">
        <v>4752</v>
      </c>
    </row>
    <row r="443" spans="1:2">
      <c r="A443" s="2" t="s">
        <v>4753</v>
      </c>
      <c r="B443" s="2" t="s">
        <v>4752</v>
      </c>
    </row>
    <row r="444" spans="1:2">
      <c r="A444" s="2" t="s">
        <v>4754</v>
      </c>
      <c r="B444" s="2" t="s">
        <v>4752</v>
      </c>
    </row>
    <row r="445" spans="1:2">
      <c r="A445" s="2" t="s">
        <v>4755</v>
      </c>
      <c r="B445" t="s">
        <v>4756</v>
      </c>
    </row>
    <row r="446" spans="1:2">
      <c r="A446" s="2" t="s">
        <v>4757</v>
      </c>
      <c r="B446" t="s">
        <v>4758</v>
      </c>
    </row>
    <row r="447" spans="1:2">
      <c r="A447" s="2" t="s">
        <v>4759</v>
      </c>
      <c r="B447" t="s">
        <v>4760</v>
      </c>
    </row>
    <row r="448" spans="1:2">
      <c r="A448" s="2" t="s">
        <v>4761</v>
      </c>
      <c r="B448" t="s">
        <v>4725</v>
      </c>
    </row>
    <row r="449" spans="1:2">
      <c r="A449" s="2" t="s">
        <v>4762</v>
      </c>
      <c r="B449" t="s">
        <v>4725</v>
      </c>
    </row>
    <row r="450" spans="1:2">
      <c r="A450" s="2" t="s">
        <v>4763</v>
      </c>
      <c r="B450" t="s">
        <v>4432</v>
      </c>
    </row>
    <row r="451" spans="1:2">
      <c r="A451" s="2" t="s">
        <v>4764</v>
      </c>
      <c r="B451" t="s">
        <v>4432</v>
      </c>
    </row>
    <row r="452" spans="1:2">
      <c r="A452" s="2" t="s">
        <v>4765</v>
      </c>
      <c r="B452" t="s">
        <v>4432</v>
      </c>
    </row>
    <row r="453" spans="1:2">
      <c r="A453" s="2" t="s">
        <v>4766</v>
      </c>
      <c r="B453" t="s">
        <v>4432</v>
      </c>
    </row>
    <row r="454" spans="1:2">
      <c r="A454" s="2" t="s">
        <v>4767</v>
      </c>
      <c r="B454" s="2" t="s">
        <v>4768</v>
      </c>
    </row>
    <row r="455" spans="1:2">
      <c r="A455" s="2" t="s">
        <v>4769</v>
      </c>
      <c r="B455" s="2" t="s">
        <v>4768</v>
      </c>
    </row>
    <row r="456" spans="1:2">
      <c r="A456" s="2" t="s">
        <v>4770</v>
      </c>
      <c r="B456" s="2" t="s">
        <v>4768</v>
      </c>
    </row>
    <row r="457" spans="1:2">
      <c r="A457" s="2" t="s">
        <v>4771</v>
      </c>
      <c r="B457" s="2" t="s">
        <v>4768</v>
      </c>
    </row>
    <row r="458" spans="1:2">
      <c r="A458" s="2" t="s">
        <v>4772</v>
      </c>
      <c r="B458" t="s">
        <v>4165</v>
      </c>
    </row>
    <row r="459" spans="1:2">
      <c r="A459" s="2" t="s">
        <v>4773</v>
      </c>
      <c r="B459" t="s">
        <v>4725</v>
      </c>
    </row>
    <row r="460" spans="1:2">
      <c r="A460" s="2" t="s">
        <v>4774</v>
      </c>
      <c r="B460" t="s">
        <v>4725</v>
      </c>
    </row>
    <row r="461" spans="1:2">
      <c r="A461" s="2" t="s">
        <v>4775</v>
      </c>
      <c r="B461" s="2" t="s">
        <v>4776</v>
      </c>
    </row>
    <row r="462" spans="1:2">
      <c r="A462" s="2" t="s">
        <v>4777</v>
      </c>
      <c r="B462" s="2" t="s">
        <v>4776</v>
      </c>
    </row>
    <row r="463" spans="1:2">
      <c r="A463" s="2" t="s">
        <v>4778</v>
      </c>
      <c r="B463" s="2" t="s">
        <v>4776</v>
      </c>
    </row>
    <row r="464" spans="1:2">
      <c r="A464" s="2" t="s">
        <v>4779</v>
      </c>
      <c r="B464" s="2" t="s">
        <v>4776</v>
      </c>
    </row>
    <row r="465" spans="1:2">
      <c r="A465" s="2" t="s">
        <v>4780</v>
      </c>
      <c r="B465" t="s">
        <v>4440</v>
      </c>
    </row>
    <row r="466" spans="1:2">
      <c r="A466" s="2" t="s">
        <v>4781</v>
      </c>
      <c r="B466" t="s">
        <v>4782</v>
      </c>
    </row>
    <row r="467" spans="1:2">
      <c r="A467" s="2" t="s">
        <v>4783</v>
      </c>
      <c r="B467" t="s">
        <v>4784</v>
      </c>
    </row>
    <row r="468" spans="1:2">
      <c r="A468" s="2" t="s">
        <v>4785</v>
      </c>
      <c r="B468" t="s">
        <v>4786</v>
      </c>
    </row>
    <row r="469" spans="1:2">
      <c r="A469" s="2" t="s">
        <v>4787</v>
      </c>
      <c r="B469" t="s">
        <v>4786</v>
      </c>
    </row>
    <row r="470" spans="1:2">
      <c r="A470" s="2" t="s">
        <v>4788</v>
      </c>
      <c r="B470" t="s">
        <v>4789</v>
      </c>
    </row>
    <row r="471" spans="1:2">
      <c r="A471" s="2" t="s">
        <v>4790</v>
      </c>
      <c r="B471" t="s">
        <v>4789</v>
      </c>
    </row>
    <row r="472" spans="1:2">
      <c r="A472" s="2" t="s">
        <v>4791</v>
      </c>
      <c r="B472" t="s">
        <v>4789</v>
      </c>
    </row>
    <row r="473" spans="1:2">
      <c r="A473" s="2" t="s">
        <v>4792</v>
      </c>
      <c r="B473" t="s">
        <v>4789</v>
      </c>
    </row>
    <row r="474" spans="1:2">
      <c r="A474" s="2" t="s">
        <v>4793</v>
      </c>
      <c r="B474" s="2" t="s">
        <v>4794</v>
      </c>
    </row>
    <row r="475" spans="1:2">
      <c r="A475" s="2" t="s">
        <v>4795</v>
      </c>
      <c r="B475" s="2" t="s">
        <v>4794</v>
      </c>
    </row>
    <row r="476" spans="1:2">
      <c r="A476" s="2" t="s">
        <v>4796</v>
      </c>
      <c r="B476" s="2" t="s">
        <v>4794</v>
      </c>
    </row>
    <row r="477" spans="1:2">
      <c r="A477" s="2" t="s">
        <v>4797</v>
      </c>
      <c r="B477" s="2" t="s">
        <v>4794</v>
      </c>
    </row>
    <row r="478" spans="1:2">
      <c r="A478" s="2" t="s">
        <v>4798</v>
      </c>
      <c r="B478" s="2" t="s">
        <v>4794</v>
      </c>
    </row>
    <row r="479" spans="1:2">
      <c r="A479" s="2" t="s">
        <v>4799</v>
      </c>
      <c r="B479" s="2" t="s">
        <v>4794</v>
      </c>
    </row>
    <row r="480" spans="1:2">
      <c r="A480" s="2" t="s">
        <v>4800</v>
      </c>
      <c r="B480" s="2" t="s">
        <v>4794</v>
      </c>
    </row>
    <row r="481" spans="1:2">
      <c r="A481" s="2" t="s">
        <v>4801</v>
      </c>
      <c r="B481" s="2" t="s">
        <v>4794</v>
      </c>
    </row>
    <row r="482" spans="1:2">
      <c r="A482" s="2" t="s">
        <v>4802</v>
      </c>
      <c r="B482" s="2" t="s">
        <v>4794</v>
      </c>
    </row>
    <row r="483" spans="1:2">
      <c r="A483" s="2" t="s">
        <v>4803</v>
      </c>
      <c r="B483" s="2" t="s">
        <v>4794</v>
      </c>
    </row>
    <row r="484" spans="1:2">
      <c r="A484" s="2" t="s">
        <v>4804</v>
      </c>
      <c r="B484" s="2" t="s">
        <v>4794</v>
      </c>
    </row>
    <row r="485" spans="1:2">
      <c r="A485" s="2" t="s">
        <v>4805</v>
      </c>
      <c r="B485" s="2" t="s">
        <v>4794</v>
      </c>
    </row>
    <row r="486" spans="1:2">
      <c r="A486" s="2" t="s">
        <v>4806</v>
      </c>
      <c r="B486" s="2" t="s">
        <v>4794</v>
      </c>
    </row>
    <row r="487" spans="1:2">
      <c r="A487" s="2" t="s">
        <v>4807</v>
      </c>
      <c r="B487" t="s">
        <v>4808</v>
      </c>
    </row>
    <row r="488" spans="1:2">
      <c r="A488" s="2" t="s">
        <v>4809</v>
      </c>
      <c r="B488" t="s">
        <v>4808</v>
      </c>
    </row>
    <row r="489" spans="1:2">
      <c r="A489" s="2" t="s">
        <v>4810</v>
      </c>
      <c r="B489" t="s">
        <v>4808</v>
      </c>
    </row>
    <row r="490" spans="1:2">
      <c r="A490" s="2" t="s">
        <v>4811</v>
      </c>
      <c r="B490" t="s">
        <v>4812</v>
      </c>
    </row>
    <row r="491" spans="1:2">
      <c r="A491" s="2" t="s">
        <v>4813</v>
      </c>
      <c r="B491" t="s">
        <v>4814</v>
      </c>
    </row>
    <row r="492" spans="1:2">
      <c r="A492" s="2" t="s">
        <v>4815</v>
      </c>
      <c r="B492" s="2" t="s">
        <v>4816</v>
      </c>
    </row>
    <row r="493" spans="1:2">
      <c r="A493" s="2" t="s">
        <v>4817</v>
      </c>
      <c r="B493" s="2" t="s">
        <v>4816</v>
      </c>
    </row>
    <row r="494" spans="1:2">
      <c r="A494" s="2" t="s">
        <v>4818</v>
      </c>
      <c r="B494" t="s">
        <v>4819</v>
      </c>
    </row>
    <row r="495" spans="1:2">
      <c r="A495" s="2" t="s">
        <v>4820</v>
      </c>
      <c r="B495" t="s">
        <v>4821</v>
      </c>
    </row>
    <row r="496" spans="1:2">
      <c r="A496" s="2" t="s">
        <v>4822</v>
      </c>
      <c r="B496" t="s">
        <v>4823</v>
      </c>
    </row>
    <row r="497" spans="1:2">
      <c r="A497" s="2" t="s">
        <v>4824</v>
      </c>
      <c r="B497" t="s">
        <v>4825</v>
      </c>
    </row>
    <row r="498" spans="1:2">
      <c r="A498" s="2" t="s">
        <v>4826</v>
      </c>
      <c r="B498" t="s">
        <v>4825</v>
      </c>
    </row>
    <row r="499" spans="1:2">
      <c r="A499" s="2" t="s">
        <v>4827</v>
      </c>
      <c r="B499" t="s">
        <v>4828</v>
      </c>
    </row>
    <row r="500" spans="1:2">
      <c r="A500" s="2" t="s">
        <v>4829</v>
      </c>
      <c r="B500" t="s">
        <v>4828</v>
      </c>
    </row>
    <row r="501" spans="1:2">
      <c r="A501" s="2" t="s">
        <v>4830</v>
      </c>
      <c r="B501" t="s">
        <v>4831</v>
      </c>
    </row>
    <row r="502" spans="1:2">
      <c r="A502" s="2" t="s">
        <v>4832</v>
      </c>
      <c r="B502" s="2" t="s">
        <v>4833</v>
      </c>
    </row>
    <row r="503" spans="1:2">
      <c r="A503" s="2" t="s">
        <v>4834</v>
      </c>
      <c r="B503" t="s">
        <v>4731</v>
      </c>
    </row>
    <row r="504" spans="1:2">
      <c r="A504" s="2" t="s">
        <v>4835</v>
      </c>
      <c r="B504" t="s">
        <v>4731</v>
      </c>
    </row>
    <row r="505" spans="1:2">
      <c r="A505" s="2" t="s">
        <v>4836</v>
      </c>
      <c r="B505" s="2" t="s">
        <v>4307</v>
      </c>
    </row>
    <row r="506" spans="1:2">
      <c r="A506" s="2" t="s">
        <v>4837</v>
      </c>
      <c r="B506" t="s">
        <v>4737</v>
      </c>
    </row>
    <row r="507" spans="1:2">
      <c r="A507" s="2" t="s">
        <v>3284</v>
      </c>
      <c r="B507" s="2" t="s">
        <v>4838</v>
      </c>
    </row>
    <row r="508" spans="1:2">
      <c r="A508" s="2" t="s">
        <v>4839</v>
      </c>
      <c r="B508" t="s">
        <v>4386</v>
      </c>
    </row>
    <row r="509" spans="1:2">
      <c r="A509" s="2" t="s">
        <v>3293</v>
      </c>
      <c r="B509" s="2" t="s">
        <v>4838</v>
      </c>
    </row>
    <row r="510" spans="1:2">
      <c r="A510" s="2" t="s">
        <v>4840</v>
      </c>
      <c r="B510" s="2" t="s">
        <v>4838</v>
      </c>
    </row>
    <row r="511" spans="1:2">
      <c r="A511" s="2" t="s">
        <v>4841</v>
      </c>
      <c r="B511" t="s">
        <v>4737</v>
      </c>
    </row>
    <row r="512" spans="1:2">
      <c r="A512" s="2" t="s">
        <v>3297</v>
      </c>
      <c r="B512" t="s">
        <v>4285</v>
      </c>
    </row>
    <row r="513" spans="1:2">
      <c r="A513" s="2" t="s">
        <v>4842</v>
      </c>
      <c r="B513" t="s">
        <v>4285</v>
      </c>
    </row>
    <row r="514" spans="1:2">
      <c r="A514" s="2" t="s">
        <v>4843</v>
      </c>
      <c r="B514" t="s">
        <v>4285</v>
      </c>
    </row>
    <row r="515" spans="1:2">
      <c r="A515" s="2" t="s">
        <v>4844</v>
      </c>
      <c r="B515" t="s">
        <v>4845</v>
      </c>
    </row>
    <row r="516" spans="1:2">
      <c r="A516" s="2" t="s">
        <v>4846</v>
      </c>
      <c r="B516" t="s">
        <v>4847</v>
      </c>
    </row>
    <row r="517" spans="1:2">
      <c r="A517" s="2" t="s">
        <v>4848</v>
      </c>
      <c r="B517" t="s">
        <v>4847</v>
      </c>
    </row>
    <row r="518" spans="1:2">
      <c r="A518" s="2" t="s">
        <v>4849</v>
      </c>
      <c r="B518" t="s">
        <v>4217</v>
      </c>
    </row>
    <row r="519" spans="1:2">
      <c r="A519" s="2" t="s">
        <v>4850</v>
      </c>
      <c r="B519" t="s">
        <v>4851</v>
      </c>
    </row>
    <row r="520" spans="1:2">
      <c r="A520" s="2" t="s">
        <v>4852</v>
      </c>
      <c r="B520" s="2" t="s">
        <v>4363</v>
      </c>
    </row>
    <row r="521" spans="1:2">
      <c r="A521" s="2" t="s">
        <v>4853</v>
      </c>
      <c r="B521" t="s">
        <v>4361</v>
      </c>
    </row>
    <row r="522" spans="1:2">
      <c r="A522" s="2" t="s">
        <v>4854</v>
      </c>
      <c r="B522" t="s">
        <v>4361</v>
      </c>
    </row>
    <row r="523" spans="1:2">
      <c r="A523" s="2" t="s">
        <v>4855</v>
      </c>
      <c r="B523" s="2" t="s">
        <v>4280</v>
      </c>
    </row>
    <row r="524" spans="1:2">
      <c r="A524" s="2" t="s">
        <v>4856</v>
      </c>
      <c r="B524" s="2" t="s">
        <v>4363</v>
      </c>
    </row>
    <row r="525" spans="1:2">
      <c r="A525" s="2" t="s">
        <v>4857</v>
      </c>
      <c r="B525" s="2" t="s">
        <v>4858</v>
      </c>
    </row>
    <row r="526" spans="1:2">
      <c r="A526" s="2" t="s">
        <v>4859</v>
      </c>
      <c r="B526" s="2" t="s">
        <v>4858</v>
      </c>
    </row>
    <row r="527" spans="1:2">
      <c r="A527" s="2" t="s">
        <v>4860</v>
      </c>
      <c r="B527" s="2" t="s">
        <v>4861</v>
      </c>
    </row>
    <row r="528" spans="1:2">
      <c r="A528" s="2" t="s">
        <v>4862</v>
      </c>
      <c r="B528" t="s">
        <v>4863</v>
      </c>
    </row>
    <row r="529" spans="1:2">
      <c r="A529" s="2" t="s">
        <v>4864</v>
      </c>
      <c r="B529" t="s">
        <v>4861</v>
      </c>
    </row>
    <row r="530" spans="1:2">
      <c r="A530" s="2" t="s">
        <v>4865</v>
      </c>
      <c r="B530" s="2" t="s">
        <v>4565</v>
      </c>
    </row>
    <row r="531" spans="1:2">
      <c r="A531" s="2" t="s">
        <v>4866</v>
      </c>
      <c r="B531" t="s">
        <v>4565</v>
      </c>
    </row>
    <row r="532" spans="1:2">
      <c r="A532" s="2" t="s">
        <v>4867</v>
      </c>
      <c r="B532" s="2" t="s">
        <v>4363</v>
      </c>
    </row>
    <row r="533" spans="1:2">
      <c r="A533" s="2" t="s">
        <v>4868</v>
      </c>
      <c r="B533" t="s">
        <v>4869</v>
      </c>
    </row>
    <row r="534" spans="1:2">
      <c r="A534" s="2" t="s">
        <v>4870</v>
      </c>
      <c r="B534" t="s">
        <v>4871</v>
      </c>
    </row>
    <row r="535" spans="1:2">
      <c r="A535" s="2" t="s">
        <v>4872</v>
      </c>
      <c r="B535" t="s">
        <v>4871</v>
      </c>
    </row>
    <row r="536" spans="1:2">
      <c r="A536" s="2" t="s">
        <v>4873</v>
      </c>
      <c r="B536" s="2" t="s">
        <v>4874</v>
      </c>
    </row>
    <row r="537" spans="1:2">
      <c r="A537" s="2" t="s">
        <v>4875</v>
      </c>
      <c r="B537" t="s">
        <v>4440</v>
      </c>
    </row>
    <row r="538" spans="1:2">
      <c r="A538" s="2" t="s">
        <v>4876</v>
      </c>
      <c r="B538" t="s">
        <v>4782</v>
      </c>
    </row>
    <row r="539" spans="1:2">
      <c r="A539" s="2" t="s">
        <v>4877</v>
      </c>
      <c r="B539" s="2" t="s">
        <v>4833</v>
      </c>
    </row>
    <row r="540" spans="1:2">
      <c r="A540" s="2" t="s">
        <v>4878</v>
      </c>
      <c r="B540" t="s">
        <v>4879</v>
      </c>
    </row>
    <row r="541" spans="1:2">
      <c r="A541" s="2" t="s">
        <v>4880</v>
      </c>
      <c r="B541" t="s">
        <v>4879</v>
      </c>
    </row>
    <row r="542" spans="1:2">
      <c r="A542" s="2" t="s">
        <v>4881</v>
      </c>
      <c r="B542" t="s">
        <v>4879</v>
      </c>
    </row>
    <row r="543" spans="1:2">
      <c r="A543" s="2" t="s">
        <v>4882</v>
      </c>
      <c r="B543" t="s">
        <v>4879</v>
      </c>
    </row>
    <row r="544" spans="1:2">
      <c r="A544" s="2" t="s">
        <v>4883</v>
      </c>
      <c r="B544" t="s">
        <v>4884</v>
      </c>
    </row>
    <row r="545" spans="1:2">
      <c r="A545" s="2" t="s">
        <v>4885</v>
      </c>
      <c r="B545" s="2" t="s">
        <v>4886</v>
      </c>
    </row>
    <row r="546" spans="1:2">
      <c r="A546" s="2" t="s">
        <v>4887</v>
      </c>
      <c r="B546" t="s">
        <v>4888</v>
      </c>
    </row>
    <row r="547" spans="1:2">
      <c r="A547" s="2" t="s">
        <v>4889</v>
      </c>
      <c r="B547" s="2" t="s">
        <v>4549</v>
      </c>
    </row>
    <row r="548" spans="1:2">
      <c r="A548" s="2" t="s">
        <v>4890</v>
      </c>
      <c r="B548" t="s">
        <v>4416</v>
      </c>
    </row>
    <row r="549" spans="1:2">
      <c r="A549" s="2" t="s">
        <v>4891</v>
      </c>
      <c r="B549" t="s">
        <v>4416</v>
      </c>
    </row>
    <row r="550" spans="1:2">
      <c r="A550" s="2" t="s">
        <v>4892</v>
      </c>
      <c r="B550" t="s">
        <v>4416</v>
      </c>
    </row>
    <row r="551" spans="1:2">
      <c r="A551" s="2" t="s">
        <v>4893</v>
      </c>
      <c r="B551" t="s">
        <v>4416</v>
      </c>
    </row>
    <row r="552" spans="1:2">
      <c r="A552" s="2" t="s">
        <v>4894</v>
      </c>
      <c r="B552" t="s">
        <v>4416</v>
      </c>
    </row>
    <row r="553" spans="1:2">
      <c r="A553" s="2" t="s">
        <v>4895</v>
      </c>
      <c r="B553" t="s">
        <v>4416</v>
      </c>
    </row>
    <row r="554" spans="1:2">
      <c r="A554" s="2" t="s">
        <v>4896</v>
      </c>
      <c r="B554" t="s">
        <v>4416</v>
      </c>
    </row>
    <row r="555" spans="1:2">
      <c r="A555" s="2" t="s">
        <v>4897</v>
      </c>
      <c r="B555" t="s">
        <v>4416</v>
      </c>
    </row>
    <row r="556" spans="1:2">
      <c r="A556" s="2" t="s">
        <v>4898</v>
      </c>
      <c r="B556" t="s">
        <v>4416</v>
      </c>
    </row>
    <row r="557" spans="1:2">
      <c r="A557" s="2" t="s">
        <v>4899</v>
      </c>
      <c r="B557" t="s">
        <v>4416</v>
      </c>
    </row>
    <row r="558" spans="1:2">
      <c r="A558" s="2" t="s">
        <v>4900</v>
      </c>
      <c r="B558" t="s">
        <v>4416</v>
      </c>
    </row>
    <row r="559" spans="1:2">
      <c r="A559" s="2" t="s">
        <v>4901</v>
      </c>
      <c r="B559" t="s">
        <v>4416</v>
      </c>
    </row>
    <row r="560" spans="1:2">
      <c r="A560" s="2" t="s">
        <v>4902</v>
      </c>
      <c r="B560" t="s">
        <v>4416</v>
      </c>
    </row>
    <row r="561" spans="1:2">
      <c r="A561" s="2" t="s">
        <v>4903</v>
      </c>
      <c r="B561" t="s">
        <v>4416</v>
      </c>
    </row>
    <row r="562" spans="1:2">
      <c r="A562" s="2" t="s">
        <v>4904</v>
      </c>
      <c r="B562" t="s">
        <v>4416</v>
      </c>
    </row>
    <row r="563" spans="1:2">
      <c r="A563" s="2" t="s">
        <v>4905</v>
      </c>
      <c r="B563" t="s">
        <v>4416</v>
      </c>
    </row>
    <row r="564" spans="1:2">
      <c r="A564" s="2" t="s">
        <v>4906</v>
      </c>
      <c r="B564" t="s">
        <v>4416</v>
      </c>
    </row>
    <row r="565" spans="1:2">
      <c r="A565" s="2" t="s">
        <v>4907</v>
      </c>
      <c r="B565" t="s">
        <v>4416</v>
      </c>
    </row>
    <row r="566" spans="1:2">
      <c r="A566" s="2" t="s">
        <v>4908</v>
      </c>
      <c r="B566" t="s">
        <v>4416</v>
      </c>
    </row>
    <row r="567" spans="1:2">
      <c r="A567" s="2" t="s">
        <v>4909</v>
      </c>
      <c r="B567" t="s">
        <v>4416</v>
      </c>
    </row>
    <row r="568" spans="1:2">
      <c r="A568" s="2" t="s">
        <v>4910</v>
      </c>
      <c r="B568" t="s">
        <v>4416</v>
      </c>
    </row>
    <row r="569" spans="1:2">
      <c r="A569" s="2" t="s">
        <v>4911</v>
      </c>
      <c r="B569" t="s">
        <v>4416</v>
      </c>
    </row>
    <row r="570" spans="1:2">
      <c r="A570" s="2" t="s">
        <v>4912</v>
      </c>
      <c r="B570" t="s">
        <v>4416</v>
      </c>
    </row>
    <row r="571" spans="1:2">
      <c r="A571" s="2" t="s">
        <v>4913</v>
      </c>
      <c r="B571" t="s">
        <v>4416</v>
      </c>
    </row>
    <row r="572" spans="1:2">
      <c r="A572" s="2" t="s">
        <v>4914</v>
      </c>
      <c r="B572" t="s">
        <v>4416</v>
      </c>
    </row>
    <row r="573" spans="1:2">
      <c r="A573" s="2" t="s">
        <v>4915</v>
      </c>
      <c r="B573" t="s">
        <v>4416</v>
      </c>
    </row>
    <row r="574" spans="1:2">
      <c r="A574" s="2" t="s">
        <v>4916</v>
      </c>
      <c r="B574" t="s">
        <v>4416</v>
      </c>
    </row>
    <row r="575" spans="1:2">
      <c r="A575" s="2" t="s">
        <v>4917</v>
      </c>
      <c r="B575" t="s">
        <v>4416</v>
      </c>
    </row>
    <row r="576" spans="1:2">
      <c r="A576" s="2" t="s">
        <v>4918</v>
      </c>
      <c r="B576" t="s">
        <v>4416</v>
      </c>
    </row>
    <row r="577" spans="1:2">
      <c r="A577" s="2" t="s">
        <v>4919</v>
      </c>
      <c r="B577" t="s">
        <v>4416</v>
      </c>
    </row>
    <row r="578" spans="1:2">
      <c r="A578" s="2" t="s">
        <v>4920</v>
      </c>
      <c r="B578" t="s">
        <v>4416</v>
      </c>
    </row>
    <row r="579" spans="1:2">
      <c r="A579" s="2" t="s">
        <v>4921</v>
      </c>
      <c r="B579" t="s">
        <v>4416</v>
      </c>
    </row>
    <row r="580" spans="1:2">
      <c r="A580" s="2" t="s">
        <v>4922</v>
      </c>
      <c r="B580" t="s">
        <v>4416</v>
      </c>
    </row>
    <row r="581" spans="1:2">
      <c r="A581" s="2" t="s">
        <v>4923</v>
      </c>
      <c r="B581" t="s">
        <v>4416</v>
      </c>
    </row>
    <row r="582" spans="1:2">
      <c r="A582" s="2" t="s">
        <v>4924</v>
      </c>
      <c r="B582" t="s">
        <v>4416</v>
      </c>
    </row>
    <row r="583" spans="1:2">
      <c r="A583" s="2" t="s">
        <v>4925</v>
      </c>
      <c r="B583" t="s">
        <v>4416</v>
      </c>
    </row>
    <row r="584" spans="1:2">
      <c r="A584" s="2" t="s">
        <v>4926</v>
      </c>
      <c r="B584" t="s">
        <v>4416</v>
      </c>
    </row>
    <row r="585" spans="1:2">
      <c r="A585" s="2" t="s">
        <v>4927</v>
      </c>
      <c r="B585" t="s">
        <v>4416</v>
      </c>
    </row>
    <row r="586" spans="1:2">
      <c r="A586" s="2" t="s">
        <v>4928</v>
      </c>
      <c r="B586" t="s">
        <v>4416</v>
      </c>
    </row>
    <row r="587" spans="1:2">
      <c r="A587" s="2" t="s">
        <v>4929</v>
      </c>
      <c r="B587" t="s">
        <v>4416</v>
      </c>
    </row>
    <row r="588" spans="1:2">
      <c r="A588" s="2" t="s">
        <v>4930</v>
      </c>
      <c r="B588" t="s">
        <v>4416</v>
      </c>
    </row>
    <row r="589" spans="1:2">
      <c r="A589" s="2" t="s">
        <v>4931</v>
      </c>
      <c r="B589" t="s">
        <v>4416</v>
      </c>
    </row>
    <row r="590" spans="1:2">
      <c r="A590" s="2" t="s">
        <v>4932</v>
      </c>
      <c r="B590" s="2" t="s">
        <v>4933</v>
      </c>
    </row>
    <row r="591" spans="1:2">
      <c r="A591" s="2" t="s">
        <v>4934</v>
      </c>
      <c r="B591" t="s">
        <v>4935</v>
      </c>
    </row>
    <row r="592" spans="1:2">
      <c r="A592" s="2" t="s">
        <v>4936</v>
      </c>
      <c r="B592" t="s">
        <v>4937</v>
      </c>
    </row>
    <row r="593" spans="1:2">
      <c r="A593" s="2" t="s">
        <v>4938</v>
      </c>
      <c r="B593" t="s">
        <v>4388</v>
      </c>
    </row>
    <row r="594" spans="1:2">
      <c r="A594" s="2" t="s">
        <v>4939</v>
      </c>
      <c r="B594" t="s">
        <v>4171</v>
      </c>
    </row>
    <row r="595" spans="1:2">
      <c r="A595" s="2" t="s">
        <v>4940</v>
      </c>
      <c r="B595" s="2" t="s">
        <v>4173</v>
      </c>
    </row>
    <row r="596" spans="1:2">
      <c r="A596" s="2" t="s">
        <v>4941</v>
      </c>
      <c r="B596" t="s">
        <v>4171</v>
      </c>
    </row>
    <row r="597" spans="1:2">
      <c r="A597" s="2" t="s">
        <v>4942</v>
      </c>
      <c r="B597" t="s">
        <v>4943</v>
      </c>
    </row>
    <row r="598" spans="1:2">
      <c r="A598" s="2" t="s">
        <v>4944</v>
      </c>
      <c r="B598" s="2" t="s">
        <v>4945</v>
      </c>
    </row>
    <row r="599" spans="1:2">
      <c r="A599" s="2" t="s">
        <v>4946</v>
      </c>
      <c r="B599" s="2" t="s">
        <v>4565</v>
      </c>
    </row>
    <row r="600" spans="1:2">
      <c r="A600" s="2" t="s">
        <v>4947</v>
      </c>
      <c r="B600" t="s">
        <v>4565</v>
      </c>
    </row>
    <row r="601" spans="1:2">
      <c r="A601" s="2" t="s">
        <v>4948</v>
      </c>
      <c r="B601" t="s">
        <v>4217</v>
      </c>
    </row>
    <row r="602" spans="1:2">
      <c r="A602" s="2" t="s">
        <v>4949</v>
      </c>
      <c r="B602" t="s">
        <v>4950</v>
      </c>
    </row>
    <row r="603" spans="1:2">
      <c r="A603" s="2" t="s">
        <v>4951</v>
      </c>
      <c r="B603" t="s">
        <v>4952</v>
      </c>
    </row>
    <row r="604" spans="1:2">
      <c r="A604" s="2" t="s">
        <v>4953</v>
      </c>
      <c r="B604" t="s">
        <v>4952</v>
      </c>
    </row>
    <row r="605" spans="1:2">
      <c r="A605" s="2" t="s">
        <v>4954</v>
      </c>
      <c r="B605" s="2" t="s">
        <v>4955</v>
      </c>
    </row>
    <row r="606" spans="1:2">
      <c r="A606" s="2" t="s">
        <v>4956</v>
      </c>
      <c r="B606" t="s">
        <v>4957</v>
      </c>
    </row>
    <row r="607" spans="1:2">
      <c r="A607" s="2" t="s">
        <v>4958</v>
      </c>
      <c r="B607" t="s">
        <v>4957</v>
      </c>
    </row>
    <row r="608" spans="1:2">
      <c r="A608" s="2" t="s">
        <v>4959</v>
      </c>
      <c r="B608" t="s">
        <v>4960</v>
      </c>
    </row>
    <row r="609" spans="1:2">
      <c r="A609" s="2" t="s">
        <v>4961</v>
      </c>
      <c r="B609" s="2" t="s">
        <v>4375</v>
      </c>
    </row>
    <row r="610" spans="1:2">
      <c r="A610" s="2" t="s">
        <v>4962</v>
      </c>
      <c r="B610" t="s">
        <v>4963</v>
      </c>
    </row>
    <row r="611" spans="1:2">
      <c r="A611" s="2" t="s">
        <v>4964</v>
      </c>
      <c r="B611" t="s">
        <v>4963</v>
      </c>
    </row>
    <row r="612" spans="1:2">
      <c r="A612" s="2" t="s">
        <v>4965</v>
      </c>
      <c r="B612" t="s">
        <v>4966</v>
      </c>
    </row>
    <row r="613" spans="1:2">
      <c r="A613" s="2" t="s">
        <v>4967</v>
      </c>
      <c r="B613" t="s">
        <v>4966</v>
      </c>
    </row>
    <row r="614" spans="1:2">
      <c r="A614" s="2" t="s">
        <v>4968</v>
      </c>
      <c r="B614" t="s">
        <v>4969</v>
      </c>
    </row>
    <row r="615" spans="1:2">
      <c r="A615" s="2" t="s">
        <v>4970</v>
      </c>
      <c r="B615" t="s">
        <v>4969</v>
      </c>
    </row>
    <row r="616" spans="1:2">
      <c r="A616" s="2" t="s">
        <v>4971</v>
      </c>
      <c r="B616" t="s">
        <v>4972</v>
      </c>
    </row>
    <row r="617" spans="1:2">
      <c r="A617" s="2" t="s">
        <v>4973</v>
      </c>
      <c r="B617" t="s">
        <v>4972</v>
      </c>
    </row>
    <row r="618" spans="1:2">
      <c r="A618" s="2" t="s">
        <v>4974</v>
      </c>
      <c r="B618" s="2" t="s">
        <v>4975</v>
      </c>
    </row>
    <row r="619" spans="1:2">
      <c r="A619" s="2" t="s">
        <v>4976</v>
      </c>
      <c r="B619" t="s">
        <v>4359</v>
      </c>
    </row>
    <row r="620" spans="1:2">
      <c r="A620" s="2" t="s">
        <v>4977</v>
      </c>
      <c r="B620" s="2" t="s">
        <v>4375</v>
      </c>
    </row>
    <row r="621" spans="1:2">
      <c r="A621" s="2" t="s">
        <v>4978</v>
      </c>
      <c r="B621" t="s">
        <v>4359</v>
      </c>
    </row>
    <row r="622" spans="1:2">
      <c r="A622" s="2" t="s">
        <v>4979</v>
      </c>
      <c r="B622" t="s">
        <v>4980</v>
      </c>
    </row>
    <row r="623" spans="1:2">
      <c r="A623" s="2" t="s">
        <v>4981</v>
      </c>
      <c r="B623" t="s">
        <v>4980</v>
      </c>
    </row>
    <row r="624" spans="1:2">
      <c r="A624" s="2" t="s">
        <v>4982</v>
      </c>
      <c r="B624" s="2" t="s">
        <v>4565</v>
      </c>
    </row>
    <row r="625" spans="1:2">
      <c r="A625" s="2" t="s">
        <v>4983</v>
      </c>
      <c r="B625" t="s">
        <v>4565</v>
      </c>
    </row>
    <row r="626" spans="1:2">
      <c r="A626" s="2" t="s">
        <v>4984</v>
      </c>
      <c r="B626" s="2" t="s">
        <v>4173</v>
      </c>
    </row>
    <row r="627" spans="1:2">
      <c r="A627" s="2" t="s">
        <v>4985</v>
      </c>
      <c r="B627" s="2" t="s">
        <v>4280</v>
      </c>
    </row>
    <row r="628" spans="1:2">
      <c r="A628" s="2" t="s">
        <v>4986</v>
      </c>
      <c r="B628" t="s">
        <v>4384</v>
      </c>
    </row>
  </sheetData>
  <conditionalFormatting sqref="A209">
    <cfRule type="duplicateValues" dxfId="0" priority="2"/>
  </conditionalFormatting>
  <conditionalFormatting sqref="A202:A204">
    <cfRule type="duplicateValues" dxfId="0" priority="4"/>
  </conditionalFormatting>
  <conditionalFormatting sqref="A205 A206 A207 A208">
    <cfRule type="duplicateValues" dxfId="0" priority="3"/>
  </conditionalFormatting>
  <conditionalFormatting sqref="A210 A211">
    <cfRule type="duplicateValues" dxfId="0" priority="1"/>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3" sqref="B3"/>
    </sheetView>
  </sheetViews>
  <sheetFormatPr defaultColWidth="9" defaultRowHeight="14" outlineLevelCol="1"/>
  <cols>
    <col min="1" max="1" width="57.8909090909091" customWidth="1"/>
    <col min="2" max="2" width="34.6363636363636" customWidth="1"/>
  </cols>
  <sheetData>
    <row r="1" spans="1:2">
      <c r="A1" s="3" t="s">
        <v>4987</v>
      </c>
      <c r="B1" s="3" t="s">
        <v>4988</v>
      </c>
    </row>
    <row r="2" spans="1:2">
      <c r="A2" t="s">
        <v>4989</v>
      </c>
      <c r="B2" t="s">
        <v>4990</v>
      </c>
    </row>
    <row r="17" spans="1:2">
      <c r="A17" s="2"/>
      <c r="B17" s="2"/>
    </row>
    <row r="18" spans="1:2">
      <c r="A18" s="2"/>
      <c r="B18" s="2"/>
    </row>
    <row r="19" spans="1:2">
      <c r="A19" s="2"/>
      <c r="B19" s="2"/>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31"/>
  <sheetViews>
    <sheetView topLeftCell="A181" workbookViewId="0">
      <selection activeCell="E191" sqref="E191"/>
    </sheetView>
  </sheetViews>
  <sheetFormatPr defaultColWidth="8.72727272727273" defaultRowHeight="14" outlineLevelCol="1"/>
  <cols>
    <col min="1" max="1" width="40.2727272727273" customWidth="1"/>
    <col min="2" max="2" width="20.4545454545455" customWidth="1"/>
  </cols>
  <sheetData>
    <row r="1" ht="14.5" spans="1:2">
      <c r="A1" s="7" t="s">
        <v>4991</v>
      </c>
      <c r="B1" s="7" t="s">
        <v>4992</v>
      </c>
    </row>
    <row r="2" spans="1:2">
      <c r="A2" s="8" t="s">
        <v>4993</v>
      </c>
      <c r="B2" t="s">
        <v>3876</v>
      </c>
    </row>
    <row r="3" spans="1:2">
      <c r="A3" s="8" t="s">
        <v>4994</v>
      </c>
      <c r="B3" t="s">
        <v>3876</v>
      </c>
    </row>
    <row r="4" spans="1:2">
      <c r="A4" s="8" t="s">
        <v>4995</v>
      </c>
      <c r="B4" t="s">
        <v>333</v>
      </c>
    </row>
    <row r="5" spans="1:2">
      <c r="A5" s="8" t="s">
        <v>4996</v>
      </c>
      <c r="B5" t="s">
        <v>4997</v>
      </c>
    </row>
    <row r="6" spans="1:2">
      <c r="A6" s="8" t="s">
        <v>4998</v>
      </c>
      <c r="B6" t="s">
        <v>4999</v>
      </c>
    </row>
    <row r="7" spans="1:2">
      <c r="A7" s="8" t="s">
        <v>5000</v>
      </c>
      <c r="B7" t="s">
        <v>5001</v>
      </c>
    </row>
    <row r="8" spans="1:2">
      <c r="A8" s="8" t="s">
        <v>5002</v>
      </c>
      <c r="B8" t="s">
        <v>5003</v>
      </c>
    </row>
    <row r="9" spans="1:2">
      <c r="A9" s="8" t="s">
        <v>5004</v>
      </c>
      <c r="B9" t="s">
        <v>5003</v>
      </c>
    </row>
    <row r="10" spans="1:2">
      <c r="A10" s="8" t="s">
        <v>5005</v>
      </c>
      <c r="B10" t="s">
        <v>5006</v>
      </c>
    </row>
    <row r="11" spans="1:2">
      <c r="A11" s="8" t="s">
        <v>5007</v>
      </c>
      <c r="B11" t="s">
        <v>5006</v>
      </c>
    </row>
    <row r="12" spans="1:2">
      <c r="A12" s="8" t="s">
        <v>5008</v>
      </c>
      <c r="B12" t="s">
        <v>5009</v>
      </c>
    </row>
    <row r="13" spans="1:2">
      <c r="A13" s="8" t="s">
        <v>5010</v>
      </c>
      <c r="B13" t="s">
        <v>1750</v>
      </c>
    </row>
    <row r="14" spans="1:2">
      <c r="A14" s="8" t="s">
        <v>5011</v>
      </c>
      <c r="B14" t="s">
        <v>1774</v>
      </c>
    </row>
    <row r="15" spans="1:2">
      <c r="A15" s="8" t="s">
        <v>5012</v>
      </c>
      <c r="B15" t="s">
        <v>5013</v>
      </c>
    </row>
    <row r="16" spans="1:2">
      <c r="A16" s="8" t="s">
        <v>5014</v>
      </c>
      <c r="B16" t="s">
        <v>5015</v>
      </c>
    </row>
    <row r="17" spans="1:2">
      <c r="A17" s="8" t="s">
        <v>5016</v>
      </c>
      <c r="B17" t="s">
        <v>5017</v>
      </c>
    </row>
    <row r="18" spans="1:2">
      <c r="A18" s="8" t="s">
        <v>4166</v>
      </c>
      <c r="B18" t="s">
        <v>5018</v>
      </c>
    </row>
    <row r="19" spans="1:2">
      <c r="A19" s="8" t="s">
        <v>5019</v>
      </c>
      <c r="B19" t="s">
        <v>5020</v>
      </c>
    </row>
    <row r="20" spans="1:2">
      <c r="A20" s="8" t="s">
        <v>5021</v>
      </c>
      <c r="B20" t="s">
        <v>5020</v>
      </c>
    </row>
    <row r="21" spans="1:2">
      <c r="A21" s="8" t="s">
        <v>5022</v>
      </c>
      <c r="B21" t="s">
        <v>5020</v>
      </c>
    </row>
    <row r="22" spans="1:2">
      <c r="A22" s="8" t="s">
        <v>5023</v>
      </c>
      <c r="B22" t="s">
        <v>5020</v>
      </c>
    </row>
    <row r="23" spans="1:2">
      <c r="A23" s="8" t="s">
        <v>5024</v>
      </c>
      <c r="B23" t="s">
        <v>1661</v>
      </c>
    </row>
    <row r="24" spans="1:2">
      <c r="A24" s="8" t="s">
        <v>5025</v>
      </c>
      <c r="B24" t="s">
        <v>1661</v>
      </c>
    </row>
    <row r="25" spans="1:2">
      <c r="A25" s="8" t="s">
        <v>5026</v>
      </c>
      <c r="B25" t="s">
        <v>1661</v>
      </c>
    </row>
    <row r="26" spans="1:2">
      <c r="A26" s="8" t="s">
        <v>5027</v>
      </c>
      <c r="B26" t="s">
        <v>5020</v>
      </c>
    </row>
    <row r="27" spans="1:2">
      <c r="A27" s="8" t="s">
        <v>5028</v>
      </c>
      <c r="B27" t="s">
        <v>5020</v>
      </c>
    </row>
    <row r="28" spans="1:2">
      <c r="A28" s="8" t="s">
        <v>5029</v>
      </c>
      <c r="B28" t="s">
        <v>1815</v>
      </c>
    </row>
    <row r="29" spans="1:2">
      <c r="A29" s="8" t="s">
        <v>5030</v>
      </c>
      <c r="B29" t="s">
        <v>1815</v>
      </c>
    </row>
    <row r="30" spans="1:2">
      <c r="A30" s="8" t="s">
        <v>5031</v>
      </c>
      <c r="B30" t="s">
        <v>1815</v>
      </c>
    </row>
    <row r="31" spans="1:2">
      <c r="A31" s="8" t="s">
        <v>5032</v>
      </c>
      <c r="B31" t="s">
        <v>1815</v>
      </c>
    </row>
    <row r="32" spans="1:2">
      <c r="A32" s="8" t="s">
        <v>5033</v>
      </c>
      <c r="B32" t="s">
        <v>1826</v>
      </c>
    </row>
    <row r="33" spans="1:2">
      <c r="A33" s="8" t="s">
        <v>5034</v>
      </c>
      <c r="B33" t="s">
        <v>1830</v>
      </c>
    </row>
    <row r="34" spans="1:2">
      <c r="A34" s="8" t="s">
        <v>5035</v>
      </c>
      <c r="B34" t="s">
        <v>1815</v>
      </c>
    </row>
    <row r="35" spans="1:2">
      <c r="A35" s="8" t="s">
        <v>5036</v>
      </c>
      <c r="B35" t="s">
        <v>1815</v>
      </c>
    </row>
    <row r="36" spans="1:2">
      <c r="A36" s="8" t="s">
        <v>5037</v>
      </c>
      <c r="B36" t="s">
        <v>5038</v>
      </c>
    </row>
    <row r="37" spans="1:2">
      <c r="A37" s="8" t="s">
        <v>5039</v>
      </c>
      <c r="B37" t="s">
        <v>5038</v>
      </c>
    </row>
    <row r="38" spans="1:2">
      <c r="A38" s="8" t="s">
        <v>5040</v>
      </c>
      <c r="B38" t="s">
        <v>5041</v>
      </c>
    </row>
    <row r="39" spans="1:2">
      <c r="A39" s="8" t="s">
        <v>5042</v>
      </c>
      <c r="B39" t="s">
        <v>5043</v>
      </c>
    </row>
    <row r="40" spans="1:2">
      <c r="A40" s="8" t="s">
        <v>5044</v>
      </c>
      <c r="B40" t="s">
        <v>2972</v>
      </c>
    </row>
    <row r="41" spans="1:2">
      <c r="A41" s="8" t="s">
        <v>4172</v>
      </c>
      <c r="B41" t="s">
        <v>2510</v>
      </c>
    </row>
    <row r="42" spans="1:2">
      <c r="A42" s="8" t="s">
        <v>5045</v>
      </c>
      <c r="B42" t="s">
        <v>2128</v>
      </c>
    </row>
    <row r="43" spans="1:2">
      <c r="A43" s="8" t="s">
        <v>5046</v>
      </c>
      <c r="B43" t="s">
        <v>1567</v>
      </c>
    </row>
    <row r="44" spans="1:2">
      <c r="A44" s="8" t="s">
        <v>5047</v>
      </c>
      <c r="B44" t="s">
        <v>1373</v>
      </c>
    </row>
    <row r="45" spans="1:2">
      <c r="A45" s="8" t="s">
        <v>5048</v>
      </c>
      <c r="B45" t="s">
        <v>5049</v>
      </c>
    </row>
    <row r="46" spans="1:2">
      <c r="A46" s="8" t="s">
        <v>5050</v>
      </c>
      <c r="B46" t="s">
        <v>5051</v>
      </c>
    </row>
    <row r="47" spans="1:2">
      <c r="A47" s="8" t="s">
        <v>5052</v>
      </c>
      <c r="B47" t="s">
        <v>5053</v>
      </c>
    </row>
    <row r="48" spans="1:2">
      <c r="A48" s="8" t="s">
        <v>5054</v>
      </c>
      <c r="B48" t="s">
        <v>5053</v>
      </c>
    </row>
    <row r="49" spans="1:2">
      <c r="A49" s="8" t="s">
        <v>5055</v>
      </c>
      <c r="B49" t="s">
        <v>5053</v>
      </c>
    </row>
    <row r="50" spans="1:2">
      <c r="A50" s="8" t="s">
        <v>4188</v>
      </c>
      <c r="B50" t="s">
        <v>209</v>
      </c>
    </row>
    <row r="51" spans="1:2">
      <c r="A51" s="8" t="s">
        <v>5056</v>
      </c>
      <c r="B51" t="s">
        <v>5057</v>
      </c>
    </row>
    <row r="52" spans="1:2">
      <c r="A52" s="8" t="s">
        <v>5058</v>
      </c>
      <c r="B52" t="s">
        <v>1857</v>
      </c>
    </row>
    <row r="53" spans="1:2">
      <c r="A53" s="8" t="s">
        <v>5059</v>
      </c>
      <c r="B53" t="s">
        <v>1857</v>
      </c>
    </row>
    <row r="54" spans="1:2">
      <c r="A54" s="8" t="s">
        <v>5060</v>
      </c>
      <c r="B54" t="s">
        <v>1857</v>
      </c>
    </row>
    <row r="55" spans="1:2">
      <c r="A55" s="8" t="s">
        <v>4190</v>
      </c>
      <c r="B55" t="s">
        <v>5061</v>
      </c>
    </row>
    <row r="56" spans="1:2">
      <c r="A56" s="8" t="s">
        <v>4192</v>
      </c>
      <c r="B56" t="s">
        <v>489</v>
      </c>
    </row>
    <row r="57" spans="1:2">
      <c r="A57" s="8" t="s">
        <v>4194</v>
      </c>
      <c r="B57" t="s">
        <v>489</v>
      </c>
    </row>
    <row r="58" spans="1:2">
      <c r="A58" s="8" t="s">
        <v>4195</v>
      </c>
      <c r="B58" t="s">
        <v>489</v>
      </c>
    </row>
    <row r="59" spans="1:2">
      <c r="A59" s="8" t="s">
        <v>4196</v>
      </c>
      <c r="B59" t="s">
        <v>489</v>
      </c>
    </row>
    <row r="60" spans="1:2">
      <c r="A60" s="8" t="s">
        <v>5062</v>
      </c>
      <c r="B60" t="s">
        <v>5063</v>
      </c>
    </row>
    <row r="61" spans="1:2">
      <c r="A61" s="8" t="s">
        <v>5064</v>
      </c>
      <c r="B61" t="s">
        <v>5065</v>
      </c>
    </row>
    <row r="62" spans="1:2">
      <c r="A62" s="8" t="s">
        <v>5066</v>
      </c>
      <c r="B62" t="s">
        <v>5067</v>
      </c>
    </row>
    <row r="63" spans="1:2">
      <c r="A63" s="8" t="s">
        <v>5068</v>
      </c>
      <c r="B63" t="s">
        <v>5067</v>
      </c>
    </row>
    <row r="64" spans="1:2">
      <c r="A64" s="8" t="s">
        <v>5069</v>
      </c>
      <c r="B64" t="s">
        <v>5070</v>
      </c>
    </row>
    <row r="65" spans="1:2">
      <c r="A65" s="8" t="s">
        <v>5071</v>
      </c>
      <c r="B65" t="s">
        <v>70</v>
      </c>
    </row>
    <row r="66" spans="1:2">
      <c r="A66" s="8" t="s">
        <v>5072</v>
      </c>
      <c r="B66" t="s">
        <v>70</v>
      </c>
    </row>
    <row r="67" spans="1:2">
      <c r="A67" s="8" t="s">
        <v>4197</v>
      </c>
      <c r="B67" t="s">
        <v>5073</v>
      </c>
    </row>
    <row r="68" spans="1:2">
      <c r="A68" s="8" t="s">
        <v>5074</v>
      </c>
      <c r="B68" t="s">
        <v>5073</v>
      </c>
    </row>
    <row r="69" spans="1:2">
      <c r="A69" s="8" t="s">
        <v>5075</v>
      </c>
      <c r="B69" t="s">
        <v>70</v>
      </c>
    </row>
    <row r="70" spans="1:2">
      <c r="A70" s="8" t="s">
        <v>5076</v>
      </c>
      <c r="B70" t="s">
        <v>70</v>
      </c>
    </row>
    <row r="71" spans="1:2">
      <c r="A71" s="8" t="s">
        <v>5077</v>
      </c>
      <c r="B71" t="s">
        <v>5073</v>
      </c>
    </row>
    <row r="72" spans="1:2">
      <c r="A72" s="8" t="s">
        <v>5078</v>
      </c>
      <c r="B72" t="s">
        <v>5073</v>
      </c>
    </row>
    <row r="73" spans="1:2">
      <c r="A73" s="8" t="s">
        <v>5079</v>
      </c>
      <c r="B73" t="s">
        <v>70</v>
      </c>
    </row>
    <row r="74" spans="1:2">
      <c r="A74" s="8" t="s">
        <v>5080</v>
      </c>
      <c r="B74" t="s">
        <v>70</v>
      </c>
    </row>
    <row r="75" spans="1:2">
      <c r="A75" s="8" t="s">
        <v>5081</v>
      </c>
      <c r="B75" t="s">
        <v>5073</v>
      </c>
    </row>
    <row r="76" spans="1:2">
      <c r="A76" s="8" t="s">
        <v>5082</v>
      </c>
      <c r="B76" t="s">
        <v>5073</v>
      </c>
    </row>
    <row r="77" spans="1:2">
      <c r="A77" s="8" t="s">
        <v>5083</v>
      </c>
      <c r="B77" t="s">
        <v>5084</v>
      </c>
    </row>
    <row r="78" spans="1:2">
      <c r="A78" s="8" t="s">
        <v>5085</v>
      </c>
      <c r="B78" t="s">
        <v>5084</v>
      </c>
    </row>
    <row r="79" spans="1:2">
      <c r="A79" s="8" t="s">
        <v>75</v>
      </c>
      <c r="B79" t="s">
        <v>77</v>
      </c>
    </row>
    <row r="80" spans="1:2">
      <c r="A80" s="8" t="s">
        <v>5086</v>
      </c>
      <c r="B80" t="s">
        <v>77</v>
      </c>
    </row>
    <row r="81" spans="1:2">
      <c r="A81" s="8" t="s">
        <v>5087</v>
      </c>
      <c r="B81" t="s">
        <v>99</v>
      </c>
    </row>
    <row r="82" spans="1:2">
      <c r="A82" s="8" t="s">
        <v>4199</v>
      </c>
      <c r="B82" t="s">
        <v>5088</v>
      </c>
    </row>
    <row r="83" spans="1:2">
      <c r="A83" s="8" t="s">
        <v>4201</v>
      </c>
      <c r="B83" t="s">
        <v>5088</v>
      </c>
    </row>
    <row r="84" spans="1:2">
      <c r="A84" s="8" t="s">
        <v>5089</v>
      </c>
      <c r="B84" t="s">
        <v>5073</v>
      </c>
    </row>
    <row r="85" spans="1:2">
      <c r="A85" s="8" t="s">
        <v>86</v>
      </c>
      <c r="B85" t="s">
        <v>88</v>
      </c>
    </row>
    <row r="86" spans="1:2">
      <c r="A86" s="8" t="s">
        <v>5090</v>
      </c>
      <c r="B86" t="s">
        <v>88</v>
      </c>
    </row>
    <row r="87" spans="1:2">
      <c r="A87" s="8" t="s">
        <v>5091</v>
      </c>
      <c r="B87" t="s">
        <v>88</v>
      </c>
    </row>
    <row r="88" spans="1:2">
      <c r="A88" s="8" t="s">
        <v>5092</v>
      </c>
      <c r="B88" t="s">
        <v>5093</v>
      </c>
    </row>
    <row r="89" spans="1:2">
      <c r="A89" s="8" t="s">
        <v>5094</v>
      </c>
      <c r="B89" t="s">
        <v>5095</v>
      </c>
    </row>
    <row r="90" spans="1:2">
      <c r="A90" s="8" t="s">
        <v>5096</v>
      </c>
      <c r="B90" t="s">
        <v>3417</v>
      </c>
    </row>
    <row r="91" spans="1:2">
      <c r="A91" s="8" t="s">
        <v>5097</v>
      </c>
      <c r="B91" t="s">
        <v>5098</v>
      </c>
    </row>
    <row r="92" spans="1:2">
      <c r="A92" s="8" t="s">
        <v>5099</v>
      </c>
      <c r="B92" t="s">
        <v>2372</v>
      </c>
    </row>
    <row r="93" spans="1:2">
      <c r="A93" s="8" t="s">
        <v>5100</v>
      </c>
      <c r="B93" t="s">
        <v>2372</v>
      </c>
    </row>
    <row r="94" spans="1:2">
      <c r="A94" s="8" t="s">
        <v>4205</v>
      </c>
      <c r="B94" t="s">
        <v>5101</v>
      </c>
    </row>
    <row r="95" spans="1:2">
      <c r="A95" s="8" t="s">
        <v>4207</v>
      </c>
      <c r="B95" t="s">
        <v>5101</v>
      </c>
    </row>
    <row r="96" spans="1:2">
      <c r="A96" s="8" t="s">
        <v>4208</v>
      </c>
      <c r="B96" t="s">
        <v>5102</v>
      </c>
    </row>
    <row r="97" spans="1:2">
      <c r="A97" s="8" t="s">
        <v>4210</v>
      </c>
      <c r="B97" t="s">
        <v>5103</v>
      </c>
    </row>
    <row r="98" spans="1:2">
      <c r="A98" s="8" t="s">
        <v>4211</v>
      </c>
      <c r="B98" t="s">
        <v>5104</v>
      </c>
    </row>
    <row r="99" spans="1:2">
      <c r="A99" s="8" t="s">
        <v>4212</v>
      </c>
      <c r="B99" t="s">
        <v>5104</v>
      </c>
    </row>
    <row r="100" spans="1:2">
      <c r="A100" s="8" t="s">
        <v>4213</v>
      </c>
      <c r="B100" t="s">
        <v>5105</v>
      </c>
    </row>
    <row r="101" spans="1:2">
      <c r="A101" s="8" t="s">
        <v>4214</v>
      </c>
      <c r="B101" t="s">
        <v>5102</v>
      </c>
    </row>
    <row r="102" spans="1:2">
      <c r="A102" s="8" t="s">
        <v>4215</v>
      </c>
      <c r="B102" t="s">
        <v>5103</v>
      </c>
    </row>
    <row r="103" spans="1:2">
      <c r="A103" s="8" t="s">
        <v>5106</v>
      </c>
      <c r="B103" t="s">
        <v>5107</v>
      </c>
    </row>
    <row r="104" spans="1:2">
      <c r="A104" s="8" t="s">
        <v>5108</v>
      </c>
      <c r="B104" t="s">
        <v>5109</v>
      </c>
    </row>
    <row r="105" spans="1:2">
      <c r="A105" s="8" t="s">
        <v>5110</v>
      </c>
      <c r="B105" t="s">
        <v>5107</v>
      </c>
    </row>
    <row r="106" spans="1:2">
      <c r="A106" s="8" t="s">
        <v>5111</v>
      </c>
      <c r="B106" t="s">
        <v>5109</v>
      </c>
    </row>
    <row r="107" spans="1:2">
      <c r="A107" s="8" t="s">
        <v>5112</v>
      </c>
      <c r="B107" t="s">
        <v>5109</v>
      </c>
    </row>
    <row r="108" spans="1:2">
      <c r="A108" s="8" t="s">
        <v>5113</v>
      </c>
      <c r="B108" t="s">
        <v>5109</v>
      </c>
    </row>
    <row r="109" spans="1:2">
      <c r="A109" s="8" t="s">
        <v>5114</v>
      </c>
      <c r="B109" t="s">
        <v>5115</v>
      </c>
    </row>
    <row r="110" spans="1:2">
      <c r="A110" s="8" t="s">
        <v>5116</v>
      </c>
      <c r="B110" t="s">
        <v>5117</v>
      </c>
    </row>
    <row r="111" spans="1:2">
      <c r="A111" s="8" t="s">
        <v>5118</v>
      </c>
      <c r="B111" t="s">
        <v>5117</v>
      </c>
    </row>
    <row r="112" spans="1:2">
      <c r="A112" s="8" t="s">
        <v>5119</v>
      </c>
      <c r="B112" t="s">
        <v>5117</v>
      </c>
    </row>
    <row r="113" spans="1:2">
      <c r="A113" s="8" t="s">
        <v>5120</v>
      </c>
      <c r="B113" t="s">
        <v>140</v>
      </c>
    </row>
    <row r="114" spans="1:2">
      <c r="A114" s="8" t="s">
        <v>5121</v>
      </c>
      <c r="B114" t="s">
        <v>5122</v>
      </c>
    </row>
    <row r="115" spans="1:2">
      <c r="A115" s="8" t="s">
        <v>5123</v>
      </c>
      <c r="B115" t="s">
        <v>127</v>
      </c>
    </row>
    <row r="116" spans="1:2">
      <c r="A116" s="8" t="s">
        <v>5124</v>
      </c>
      <c r="B116" t="s">
        <v>127</v>
      </c>
    </row>
    <row r="117" spans="1:2">
      <c r="A117" s="8" t="s">
        <v>5125</v>
      </c>
      <c r="B117" t="s">
        <v>127</v>
      </c>
    </row>
    <row r="118" spans="1:2">
      <c r="A118" s="8" t="s">
        <v>5126</v>
      </c>
      <c r="B118" t="s">
        <v>140</v>
      </c>
    </row>
    <row r="119" spans="1:2">
      <c r="A119" s="8" t="s">
        <v>5127</v>
      </c>
      <c r="B119" t="s">
        <v>5128</v>
      </c>
    </row>
    <row r="120" spans="1:2">
      <c r="A120" s="8" t="s">
        <v>5129</v>
      </c>
      <c r="B120" t="s">
        <v>5130</v>
      </c>
    </row>
    <row r="121" spans="1:2">
      <c r="A121" s="8" t="s">
        <v>5131</v>
      </c>
      <c r="B121" t="s">
        <v>5132</v>
      </c>
    </row>
    <row r="122" spans="1:2">
      <c r="A122" s="8" t="s">
        <v>4262</v>
      </c>
      <c r="B122" t="s">
        <v>5133</v>
      </c>
    </row>
    <row r="123" spans="1:2">
      <c r="A123" s="8" t="s">
        <v>4264</v>
      </c>
      <c r="B123" t="s">
        <v>5133</v>
      </c>
    </row>
    <row r="124" spans="1:2">
      <c r="A124" s="8" t="s">
        <v>4266</v>
      </c>
      <c r="B124" t="s">
        <v>5133</v>
      </c>
    </row>
    <row r="125" spans="1:2">
      <c r="A125" s="8" t="s">
        <v>4267</v>
      </c>
      <c r="B125" t="s">
        <v>5133</v>
      </c>
    </row>
    <row r="126" spans="1:2">
      <c r="A126" s="8" t="s">
        <v>4269</v>
      </c>
      <c r="B126" t="s">
        <v>5133</v>
      </c>
    </row>
    <row r="127" spans="1:2">
      <c r="A127" s="8" t="s">
        <v>4271</v>
      </c>
      <c r="B127" t="s">
        <v>5133</v>
      </c>
    </row>
    <row r="128" spans="1:2">
      <c r="A128" s="8" t="s">
        <v>5134</v>
      </c>
      <c r="B128" t="s">
        <v>5135</v>
      </c>
    </row>
    <row r="129" spans="1:2">
      <c r="A129" s="8" t="s">
        <v>5136</v>
      </c>
      <c r="B129" t="s">
        <v>5137</v>
      </c>
    </row>
    <row r="130" spans="1:2">
      <c r="A130" s="8" t="s">
        <v>5138</v>
      </c>
      <c r="B130" t="s">
        <v>905</v>
      </c>
    </row>
    <row r="131" spans="1:2">
      <c r="A131" s="8" t="s">
        <v>5139</v>
      </c>
      <c r="B131" t="s">
        <v>5140</v>
      </c>
    </row>
    <row r="132" spans="1:2">
      <c r="A132" s="8" t="s">
        <v>4272</v>
      </c>
      <c r="B132" t="s">
        <v>5141</v>
      </c>
    </row>
    <row r="133" spans="1:2">
      <c r="A133" s="8" t="s">
        <v>4274</v>
      </c>
      <c r="B133" t="s">
        <v>5141</v>
      </c>
    </row>
    <row r="134" spans="1:2">
      <c r="A134" s="8" t="s">
        <v>5142</v>
      </c>
      <c r="B134" t="s">
        <v>149</v>
      </c>
    </row>
    <row r="135" spans="1:2">
      <c r="A135" s="8" t="s">
        <v>5143</v>
      </c>
      <c r="B135" t="s">
        <v>149</v>
      </c>
    </row>
    <row r="136" spans="1:2">
      <c r="A136" s="8" t="s">
        <v>5144</v>
      </c>
      <c r="B136" t="s">
        <v>5145</v>
      </c>
    </row>
    <row r="137" spans="1:2">
      <c r="A137" s="8" t="s">
        <v>5146</v>
      </c>
      <c r="B137" t="s">
        <v>5145</v>
      </c>
    </row>
    <row r="138" spans="1:2">
      <c r="A138" s="8" t="s">
        <v>4275</v>
      </c>
      <c r="B138" t="s">
        <v>5147</v>
      </c>
    </row>
    <row r="139" spans="1:2">
      <c r="A139" s="8" t="s">
        <v>4277</v>
      </c>
      <c r="B139" t="s">
        <v>5148</v>
      </c>
    </row>
    <row r="140" spans="1:2">
      <c r="A140" s="8" t="s">
        <v>4279</v>
      </c>
      <c r="B140" t="s">
        <v>5149</v>
      </c>
    </row>
    <row r="141" spans="1:2">
      <c r="A141" s="8" t="s">
        <v>5150</v>
      </c>
      <c r="B141" t="s">
        <v>5151</v>
      </c>
    </row>
    <row r="142" spans="1:2">
      <c r="A142" s="8" t="s">
        <v>5152</v>
      </c>
      <c r="B142" t="s">
        <v>5151</v>
      </c>
    </row>
    <row r="143" spans="1:2">
      <c r="A143" s="8" t="s">
        <v>216</v>
      </c>
      <c r="B143" t="s">
        <v>218</v>
      </c>
    </row>
    <row r="144" spans="1:2">
      <c r="A144" s="8" t="s">
        <v>5153</v>
      </c>
      <c r="B144" t="s">
        <v>218</v>
      </c>
    </row>
    <row r="145" spans="1:2">
      <c r="A145" s="8" t="s">
        <v>5154</v>
      </c>
      <c r="B145" t="s">
        <v>5155</v>
      </c>
    </row>
    <row r="146" spans="1:2">
      <c r="A146" s="8" t="s">
        <v>5156</v>
      </c>
      <c r="B146" t="s">
        <v>1249</v>
      </c>
    </row>
    <row r="147" spans="1:2">
      <c r="A147" s="8" t="s">
        <v>5157</v>
      </c>
      <c r="B147" t="s">
        <v>5158</v>
      </c>
    </row>
    <row r="148" spans="1:2">
      <c r="A148" s="8" t="s">
        <v>5159</v>
      </c>
      <c r="B148" t="s">
        <v>5160</v>
      </c>
    </row>
    <row r="149" spans="1:2">
      <c r="A149" s="8" t="s">
        <v>5161</v>
      </c>
      <c r="B149" t="s">
        <v>5162</v>
      </c>
    </row>
    <row r="150" spans="1:2">
      <c r="A150" s="8" t="s">
        <v>5163</v>
      </c>
      <c r="B150" t="s">
        <v>5162</v>
      </c>
    </row>
    <row r="151" spans="1:2">
      <c r="A151" s="8" t="s">
        <v>4281</v>
      </c>
      <c r="B151" t="s">
        <v>5164</v>
      </c>
    </row>
    <row r="152" spans="1:2">
      <c r="A152" s="8" t="s">
        <v>4283</v>
      </c>
      <c r="B152" t="s">
        <v>5164</v>
      </c>
    </row>
    <row r="153" spans="1:2">
      <c r="A153" s="8" t="s">
        <v>5165</v>
      </c>
      <c r="B153" t="s">
        <v>231</v>
      </c>
    </row>
    <row r="154" spans="1:2">
      <c r="A154" s="8" t="s">
        <v>5166</v>
      </c>
      <c r="B154" t="s">
        <v>94</v>
      </c>
    </row>
    <row r="155" spans="1:2">
      <c r="A155" s="8" t="s">
        <v>5167</v>
      </c>
      <c r="B155" t="s">
        <v>5168</v>
      </c>
    </row>
    <row r="156" spans="1:2">
      <c r="A156" s="8" t="s">
        <v>5169</v>
      </c>
      <c r="B156" t="s">
        <v>225</v>
      </c>
    </row>
    <row r="157" spans="1:2">
      <c r="A157" s="8" t="s">
        <v>4284</v>
      </c>
      <c r="B157" t="s">
        <v>3299</v>
      </c>
    </row>
    <row r="158" spans="1:2">
      <c r="A158" s="8" t="s">
        <v>4286</v>
      </c>
      <c r="B158" t="s">
        <v>3299</v>
      </c>
    </row>
    <row r="159" spans="1:2">
      <c r="A159" s="8" t="s">
        <v>4287</v>
      </c>
      <c r="B159" t="s">
        <v>1441</v>
      </c>
    </row>
    <row r="160" spans="1:2">
      <c r="A160" s="8" t="s">
        <v>4289</v>
      </c>
      <c r="B160" t="s">
        <v>2685</v>
      </c>
    </row>
    <row r="161" spans="1:2">
      <c r="A161" s="8" t="s">
        <v>5170</v>
      </c>
      <c r="B161" t="s">
        <v>2685</v>
      </c>
    </row>
    <row r="162" spans="1:2">
      <c r="A162" s="8" t="s">
        <v>5171</v>
      </c>
      <c r="B162" t="s">
        <v>2372</v>
      </c>
    </row>
    <row r="163" spans="1:2">
      <c r="A163" s="8" t="s">
        <v>4291</v>
      </c>
      <c r="B163" t="s">
        <v>209</v>
      </c>
    </row>
    <row r="164" spans="1:2">
      <c r="A164" s="8" t="s">
        <v>4292</v>
      </c>
      <c r="B164" t="s">
        <v>5172</v>
      </c>
    </row>
    <row r="165" spans="1:2">
      <c r="A165" s="8" t="s">
        <v>5173</v>
      </c>
      <c r="B165" t="s">
        <v>5174</v>
      </c>
    </row>
    <row r="166" spans="1:2">
      <c r="A166" s="8" t="s">
        <v>4294</v>
      </c>
      <c r="B166" t="s">
        <v>3515</v>
      </c>
    </row>
    <row r="167" spans="1:2">
      <c r="A167" s="8" t="s">
        <v>4296</v>
      </c>
      <c r="B167" t="s">
        <v>5061</v>
      </c>
    </row>
    <row r="168" spans="1:2">
      <c r="A168" s="8" t="s">
        <v>5175</v>
      </c>
      <c r="B168" t="s">
        <v>275</v>
      </c>
    </row>
    <row r="169" spans="1:2">
      <c r="A169" s="8" t="s">
        <v>4297</v>
      </c>
      <c r="B169" t="s">
        <v>275</v>
      </c>
    </row>
    <row r="170" spans="1:2">
      <c r="A170" s="8" t="s">
        <v>283</v>
      </c>
      <c r="B170" t="s">
        <v>5176</v>
      </c>
    </row>
    <row r="171" spans="1:2">
      <c r="A171" s="8" t="s">
        <v>5177</v>
      </c>
      <c r="B171" t="s">
        <v>5178</v>
      </c>
    </row>
    <row r="172" spans="1:2">
      <c r="A172" s="8" t="s">
        <v>5179</v>
      </c>
      <c r="B172" t="s">
        <v>5180</v>
      </c>
    </row>
    <row r="173" spans="1:2">
      <c r="A173" s="8" t="s">
        <v>5181</v>
      </c>
      <c r="B173" t="s">
        <v>5180</v>
      </c>
    </row>
    <row r="174" spans="1:2">
      <c r="A174" s="8" t="s">
        <v>4299</v>
      </c>
      <c r="B174" t="s">
        <v>5182</v>
      </c>
    </row>
    <row r="175" spans="1:2">
      <c r="A175" s="8" t="s">
        <v>4301</v>
      </c>
      <c r="B175" t="s">
        <v>5182</v>
      </c>
    </row>
    <row r="176" spans="1:2">
      <c r="A176" s="8" t="s">
        <v>5183</v>
      </c>
      <c r="B176" t="s">
        <v>5184</v>
      </c>
    </row>
    <row r="177" spans="1:2">
      <c r="A177" s="8" t="s">
        <v>5185</v>
      </c>
      <c r="B177" t="s">
        <v>5184</v>
      </c>
    </row>
    <row r="178" spans="1:2">
      <c r="A178" s="8" t="s">
        <v>5186</v>
      </c>
      <c r="B178" t="s">
        <v>322</v>
      </c>
    </row>
    <row r="179" spans="1:2">
      <c r="A179" s="8" t="s">
        <v>5187</v>
      </c>
      <c r="B179" t="s">
        <v>322</v>
      </c>
    </row>
    <row r="180" spans="1:2">
      <c r="A180" s="8" t="s">
        <v>5188</v>
      </c>
      <c r="B180" t="s">
        <v>5189</v>
      </c>
    </row>
    <row r="181" spans="1:2">
      <c r="A181" s="8" t="s">
        <v>5190</v>
      </c>
      <c r="B181" t="s">
        <v>5189</v>
      </c>
    </row>
    <row r="182" spans="1:2">
      <c r="A182" s="8" t="s">
        <v>5191</v>
      </c>
      <c r="B182" t="s">
        <v>5192</v>
      </c>
    </row>
    <row r="183" spans="1:2">
      <c r="A183" s="8" t="s">
        <v>5193</v>
      </c>
      <c r="B183" t="s">
        <v>5192</v>
      </c>
    </row>
    <row r="184" spans="1:2">
      <c r="A184" s="8" t="s">
        <v>5194</v>
      </c>
      <c r="B184" t="s">
        <v>5195</v>
      </c>
    </row>
    <row r="185" spans="1:2">
      <c r="A185" s="8" t="s">
        <v>5196</v>
      </c>
      <c r="B185" t="s">
        <v>5197</v>
      </c>
    </row>
    <row r="186" spans="1:2">
      <c r="A186" s="8" t="s">
        <v>5198</v>
      </c>
      <c r="B186" t="s">
        <v>5199</v>
      </c>
    </row>
    <row r="187" spans="1:2">
      <c r="A187" s="8" t="s">
        <v>4302</v>
      </c>
      <c r="B187" t="s">
        <v>5200</v>
      </c>
    </row>
    <row r="188" spans="1:2">
      <c r="A188" s="8" t="s">
        <v>5201</v>
      </c>
      <c r="B188" t="s">
        <v>5202</v>
      </c>
    </row>
    <row r="189" spans="1:2">
      <c r="A189" s="8" t="s">
        <v>5203</v>
      </c>
      <c r="B189" t="s">
        <v>2899</v>
      </c>
    </row>
    <row r="190" spans="1:2">
      <c r="A190" s="8" t="s">
        <v>5204</v>
      </c>
      <c r="B190" t="s">
        <v>5205</v>
      </c>
    </row>
    <row r="191" spans="1:2">
      <c r="A191" s="8" t="s">
        <v>4304</v>
      </c>
      <c r="B191" t="s">
        <v>2790</v>
      </c>
    </row>
    <row r="192" spans="1:2">
      <c r="A192" s="8" t="s">
        <v>5206</v>
      </c>
      <c r="B192" t="s">
        <v>5207</v>
      </c>
    </row>
    <row r="193" spans="1:2">
      <c r="A193" s="8" t="s">
        <v>5208</v>
      </c>
      <c r="B193" t="s">
        <v>5207</v>
      </c>
    </row>
    <row r="194" spans="1:2">
      <c r="A194" s="8" t="s">
        <v>5209</v>
      </c>
      <c r="B194" t="s">
        <v>5207</v>
      </c>
    </row>
    <row r="195" spans="1:2">
      <c r="A195" s="8" t="s">
        <v>5210</v>
      </c>
      <c r="B195" t="s">
        <v>5207</v>
      </c>
    </row>
    <row r="196" spans="1:2">
      <c r="A196" s="8" t="s">
        <v>5211</v>
      </c>
      <c r="B196" t="s">
        <v>5212</v>
      </c>
    </row>
    <row r="197" spans="1:2">
      <c r="A197" s="8" t="s">
        <v>5213</v>
      </c>
      <c r="B197" t="s">
        <v>5214</v>
      </c>
    </row>
    <row r="198" spans="1:2">
      <c r="A198" s="8" t="s">
        <v>5215</v>
      </c>
      <c r="B198" t="s">
        <v>5216</v>
      </c>
    </row>
    <row r="199" spans="1:2">
      <c r="A199" s="8" t="s">
        <v>4306</v>
      </c>
      <c r="B199" t="s">
        <v>5217</v>
      </c>
    </row>
    <row r="200" spans="1:2">
      <c r="A200" s="8" t="s">
        <v>5218</v>
      </c>
      <c r="B200" t="s">
        <v>362</v>
      </c>
    </row>
    <row r="201" spans="1:2">
      <c r="A201" s="8" t="s">
        <v>5219</v>
      </c>
      <c r="B201" t="s">
        <v>5220</v>
      </c>
    </row>
    <row r="202" spans="1:2">
      <c r="A202" s="8" t="s">
        <v>5221</v>
      </c>
      <c r="B202" t="s">
        <v>5222</v>
      </c>
    </row>
    <row r="203" spans="1:2">
      <c r="A203" s="8" t="s">
        <v>5223</v>
      </c>
      <c r="B203" t="s">
        <v>5222</v>
      </c>
    </row>
    <row r="204" spans="1:2">
      <c r="A204" s="8" t="s">
        <v>5224</v>
      </c>
      <c r="B204" t="s">
        <v>121</v>
      </c>
    </row>
    <row r="205" spans="1:2">
      <c r="A205" s="8" t="s">
        <v>5225</v>
      </c>
      <c r="B205" t="s">
        <v>121</v>
      </c>
    </row>
    <row r="206" spans="1:2">
      <c r="A206" s="8" t="s">
        <v>5226</v>
      </c>
      <c r="B206" t="s">
        <v>5227</v>
      </c>
    </row>
    <row r="207" spans="1:2">
      <c r="A207" s="8" t="s">
        <v>5228</v>
      </c>
      <c r="B207" t="s">
        <v>5229</v>
      </c>
    </row>
    <row r="208" spans="1:2">
      <c r="A208" s="8" t="s">
        <v>5230</v>
      </c>
      <c r="B208" t="s">
        <v>5229</v>
      </c>
    </row>
    <row r="209" spans="1:2">
      <c r="A209" s="8" t="s">
        <v>5231</v>
      </c>
      <c r="B209" t="s">
        <v>5135</v>
      </c>
    </row>
    <row r="210" spans="1:2">
      <c r="A210" s="8" t="s">
        <v>5232</v>
      </c>
      <c r="B210" t="s">
        <v>3149</v>
      </c>
    </row>
    <row r="211" spans="1:2">
      <c r="A211" s="8" t="s">
        <v>5233</v>
      </c>
      <c r="B211" t="s">
        <v>99</v>
      </c>
    </row>
    <row r="212" spans="1:2">
      <c r="A212" s="8" t="s">
        <v>5234</v>
      </c>
      <c r="B212" t="s">
        <v>99</v>
      </c>
    </row>
    <row r="213" spans="1:2">
      <c r="A213" s="8" t="s">
        <v>4308</v>
      </c>
      <c r="B213" t="s">
        <v>5235</v>
      </c>
    </row>
    <row r="214" spans="1:2">
      <c r="A214" s="8" t="s">
        <v>5236</v>
      </c>
      <c r="B214" t="s">
        <v>5237</v>
      </c>
    </row>
    <row r="215" spans="1:2">
      <c r="A215" s="8" t="s">
        <v>4310</v>
      </c>
      <c r="B215" t="s">
        <v>5235</v>
      </c>
    </row>
    <row r="216" spans="1:2">
      <c r="A216" s="8" t="s">
        <v>5238</v>
      </c>
      <c r="B216" t="s">
        <v>3249</v>
      </c>
    </row>
    <row r="217" spans="1:2">
      <c r="A217" s="8" t="s">
        <v>4313</v>
      </c>
      <c r="B217" t="s">
        <v>5239</v>
      </c>
    </row>
    <row r="218" spans="1:2">
      <c r="A218" s="8" t="s">
        <v>5240</v>
      </c>
      <c r="B218" t="s">
        <v>3149</v>
      </c>
    </row>
    <row r="219" spans="1:2">
      <c r="A219" s="8" t="s">
        <v>4315</v>
      </c>
      <c r="B219" t="s">
        <v>3017</v>
      </c>
    </row>
    <row r="220" spans="1:2">
      <c r="A220" s="8" t="s">
        <v>4316</v>
      </c>
      <c r="B220" t="s">
        <v>3017</v>
      </c>
    </row>
    <row r="221" spans="1:2">
      <c r="A221" s="8" t="s">
        <v>5241</v>
      </c>
      <c r="B221" t="s">
        <v>140</v>
      </c>
    </row>
    <row r="222" spans="1:2">
      <c r="A222" s="8" t="s">
        <v>5242</v>
      </c>
      <c r="B222" t="s">
        <v>5243</v>
      </c>
    </row>
    <row r="223" spans="1:2">
      <c r="A223" s="8" t="s">
        <v>4317</v>
      </c>
      <c r="B223" t="s">
        <v>191</v>
      </c>
    </row>
    <row r="224" spans="1:2">
      <c r="A224" s="8" t="s">
        <v>5244</v>
      </c>
      <c r="B224" t="s">
        <v>3335</v>
      </c>
    </row>
    <row r="225" spans="1:2">
      <c r="A225" s="8" t="s">
        <v>402</v>
      </c>
      <c r="B225" t="s">
        <v>404</v>
      </c>
    </row>
    <row r="226" spans="1:2">
      <c r="A226" s="8" t="s">
        <v>5245</v>
      </c>
      <c r="B226" t="s">
        <v>3335</v>
      </c>
    </row>
    <row r="227" spans="1:2">
      <c r="A227" s="8" t="s">
        <v>412</v>
      </c>
      <c r="B227" t="s">
        <v>414</v>
      </c>
    </row>
    <row r="228" spans="1:2">
      <c r="A228" s="8" t="s">
        <v>418</v>
      </c>
      <c r="B228" t="s">
        <v>420</v>
      </c>
    </row>
    <row r="229" spans="1:2">
      <c r="A229" s="8" t="s">
        <v>5246</v>
      </c>
      <c r="B229" t="s">
        <v>426</v>
      </c>
    </row>
    <row r="230" spans="1:2">
      <c r="A230" s="8" t="s">
        <v>4320</v>
      </c>
      <c r="B230" t="s">
        <v>3684</v>
      </c>
    </row>
    <row r="231" spans="1:2">
      <c r="A231" s="8" t="s">
        <v>5247</v>
      </c>
      <c r="B231" t="s">
        <v>163</v>
      </c>
    </row>
    <row r="232" spans="1:2">
      <c r="A232" s="8" t="s">
        <v>5248</v>
      </c>
      <c r="B232" t="s">
        <v>440</v>
      </c>
    </row>
    <row r="233" spans="1:2">
      <c r="A233" s="8" t="s">
        <v>5249</v>
      </c>
      <c r="B233" t="s">
        <v>5250</v>
      </c>
    </row>
    <row r="234" spans="1:2">
      <c r="A234" s="8" t="s">
        <v>5251</v>
      </c>
      <c r="B234" t="s">
        <v>5252</v>
      </c>
    </row>
    <row r="235" spans="1:2">
      <c r="A235" s="8" t="s">
        <v>5253</v>
      </c>
      <c r="B235" t="s">
        <v>463</v>
      </c>
    </row>
    <row r="236" spans="1:2">
      <c r="A236" s="8" t="s">
        <v>5254</v>
      </c>
      <c r="B236" t="s">
        <v>463</v>
      </c>
    </row>
    <row r="237" spans="1:2">
      <c r="A237" s="8" t="s">
        <v>4324</v>
      </c>
      <c r="B237" t="s">
        <v>489</v>
      </c>
    </row>
    <row r="238" spans="1:2">
      <c r="A238" s="8" t="s">
        <v>4325</v>
      </c>
      <c r="B238" t="s">
        <v>489</v>
      </c>
    </row>
    <row r="239" spans="1:2">
      <c r="A239" s="8" t="s">
        <v>4326</v>
      </c>
      <c r="B239" t="s">
        <v>489</v>
      </c>
    </row>
    <row r="240" spans="1:2">
      <c r="A240" s="8" t="s">
        <v>469</v>
      </c>
      <c r="B240" t="s">
        <v>471</v>
      </c>
    </row>
    <row r="241" spans="1:2">
      <c r="A241" s="8" t="s">
        <v>5255</v>
      </c>
      <c r="B241" t="s">
        <v>471</v>
      </c>
    </row>
    <row r="242" spans="1:2">
      <c r="A242" s="8" t="s">
        <v>475</v>
      </c>
      <c r="B242" t="s">
        <v>477</v>
      </c>
    </row>
    <row r="243" spans="1:2">
      <c r="A243" s="8" t="s">
        <v>5256</v>
      </c>
      <c r="B243" t="s">
        <v>5257</v>
      </c>
    </row>
    <row r="244" spans="1:2">
      <c r="A244" s="8" t="s">
        <v>5258</v>
      </c>
      <c r="B244" t="s">
        <v>5259</v>
      </c>
    </row>
    <row r="245" spans="1:2">
      <c r="A245" s="8" t="s">
        <v>5260</v>
      </c>
      <c r="B245" t="s">
        <v>5257</v>
      </c>
    </row>
    <row r="246" spans="1:2">
      <c r="A246" s="8" t="s">
        <v>4331</v>
      </c>
      <c r="B246" t="s">
        <v>451</v>
      </c>
    </row>
    <row r="247" spans="1:2">
      <c r="A247" s="8" t="s">
        <v>4333</v>
      </c>
      <c r="B247" t="s">
        <v>5261</v>
      </c>
    </row>
    <row r="248" spans="1:2">
      <c r="A248" s="8" t="s">
        <v>5262</v>
      </c>
      <c r="B248" t="s">
        <v>5263</v>
      </c>
    </row>
    <row r="249" spans="1:2">
      <c r="A249" s="8" t="s">
        <v>5264</v>
      </c>
      <c r="B249" t="s">
        <v>5263</v>
      </c>
    </row>
    <row r="250" spans="1:2">
      <c r="A250" s="8" t="s">
        <v>5265</v>
      </c>
      <c r="B250" t="s">
        <v>5266</v>
      </c>
    </row>
    <row r="251" spans="1:2">
      <c r="A251" s="8" t="s">
        <v>5267</v>
      </c>
      <c r="B251" t="s">
        <v>5268</v>
      </c>
    </row>
    <row r="252" spans="1:2">
      <c r="A252" s="8" t="s">
        <v>5269</v>
      </c>
      <c r="B252" t="s">
        <v>174</v>
      </c>
    </row>
    <row r="253" spans="1:2">
      <c r="A253" s="8" t="s">
        <v>5270</v>
      </c>
      <c r="B253" t="s">
        <v>174</v>
      </c>
    </row>
    <row r="254" spans="1:2">
      <c r="A254" s="8" t="s">
        <v>5271</v>
      </c>
      <c r="B254" t="s">
        <v>174</v>
      </c>
    </row>
    <row r="255" spans="1:2">
      <c r="A255" s="8" t="s">
        <v>4335</v>
      </c>
      <c r="B255" t="s">
        <v>2820</v>
      </c>
    </row>
    <row r="256" spans="1:2">
      <c r="A256" s="8" t="s">
        <v>5272</v>
      </c>
      <c r="B256" t="s">
        <v>2820</v>
      </c>
    </row>
    <row r="257" spans="1:2">
      <c r="A257" s="8" t="s">
        <v>5273</v>
      </c>
      <c r="B257" t="s">
        <v>5274</v>
      </c>
    </row>
    <row r="258" spans="1:2">
      <c r="A258" s="8" t="s">
        <v>4337</v>
      </c>
      <c r="B258" t="s">
        <v>5275</v>
      </c>
    </row>
    <row r="259" spans="1:2">
      <c r="A259" s="8" t="s">
        <v>5276</v>
      </c>
      <c r="B259" t="s">
        <v>5277</v>
      </c>
    </row>
    <row r="260" spans="1:2">
      <c r="A260" s="8" t="s">
        <v>5278</v>
      </c>
      <c r="B260" t="s">
        <v>5277</v>
      </c>
    </row>
    <row r="261" spans="1:2">
      <c r="A261" s="8" t="s">
        <v>5279</v>
      </c>
      <c r="B261" t="s">
        <v>5277</v>
      </c>
    </row>
    <row r="262" spans="1:2">
      <c r="A262" s="8" t="s">
        <v>4339</v>
      </c>
      <c r="B262" t="s">
        <v>2820</v>
      </c>
    </row>
    <row r="263" spans="1:2">
      <c r="A263" s="8" t="s">
        <v>5280</v>
      </c>
      <c r="B263" t="s">
        <v>2820</v>
      </c>
    </row>
    <row r="264" spans="1:2">
      <c r="A264" s="8" t="s">
        <v>5281</v>
      </c>
      <c r="B264" t="s">
        <v>5282</v>
      </c>
    </row>
    <row r="265" spans="1:2">
      <c r="A265" s="8" t="s">
        <v>4340</v>
      </c>
      <c r="B265" t="s">
        <v>2820</v>
      </c>
    </row>
    <row r="266" spans="1:2">
      <c r="A266" s="8" t="s">
        <v>5283</v>
      </c>
      <c r="B266" t="s">
        <v>2820</v>
      </c>
    </row>
    <row r="267" spans="1:2">
      <c r="A267" s="8" t="s">
        <v>4341</v>
      </c>
      <c r="B267" t="s">
        <v>5284</v>
      </c>
    </row>
    <row r="268" spans="1:2">
      <c r="A268" s="8" t="s">
        <v>4343</v>
      </c>
      <c r="B268" t="s">
        <v>2820</v>
      </c>
    </row>
    <row r="269" spans="1:2">
      <c r="A269" s="8" t="s">
        <v>5285</v>
      </c>
      <c r="B269" t="s">
        <v>2820</v>
      </c>
    </row>
    <row r="270" spans="1:2">
      <c r="A270" s="8" t="s">
        <v>5286</v>
      </c>
      <c r="B270" t="s">
        <v>5287</v>
      </c>
    </row>
    <row r="271" spans="1:2">
      <c r="A271" s="8" t="s">
        <v>4344</v>
      </c>
      <c r="B271" t="s">
        <v>2820</v>
      </c>
    </row>
    <row r="272" spans="1:2">
      <c r="A272" s="8" t="s">
        <v>5288</v>
      </c>
      <c r="B272" t="s">
        <v>2820</v>
      </c>
    </row>
    <row r="273" spans="1:2">
      <c r="A273" s="8" t="s">
        <v>4345</v>
      </c>
      <c r="B273" t="s">
        <v>2820</v>
      </c>
    </row>
    <row r="274" spans="1:2">
      <c r="A274" s="8" t="s">
        <v>5289</v>
      </c>
      <c r="B274" t="s">
        <v>2820</v>
      </c>
    </row>
    <row r="275" spans="1:2">
      <c r="A275" s="8" t="s">
        <v>4346</v>
      </c>
      <c r="B275" t="s">
        <v>2820</v>
      </c>
    </row>
    <row r="276" spans="1:2">
      <c r="A276" s="8" t="s">
        <v>5290</v>
      </c>
      <c r="B276" t="s">
        <v>2820</v>
      </c>
    </row>
    <row r="277" spans="1:2">
      <c r="A277" s="8" t="s">
        <v>5291</v>
      </c>
      <c r="B277" t="s">
        <v>5292</v>
      </c>
    </row>
    <row r="278" spans="1:2">
      <c r="A278" s="8" t="s">
        <v>5293</v>
      </c>
      <c r="B278" t="s">
        <v>5294</v>
      </c>
    </row>
    <row r="279" spans="1:2">
      <c r="A279" s="8" t="s">
        <v>5295</v>
      </c>
      <c r="B279" t="s">
        <v>5294</v>
      </c>
    </row>
    <row r="280" spans="1:2">
      <c r="A280" s="8" t="s">
        <v>5296</v>
      </c>
      <c r="B280" t="s">
        <v>5297</v>
      </c>
    </row>
    <row r="281" spans="1:2">
      <c r="A281" s="8" t="s">
        <v>4347</v>
      </c>
      <c r="B281" t="s">
        <v>5298</v>
      </c>
    </row>
    <row r="282" spans="1:2">
      <c r="A282" s="8" t="s">
        <v>5299</v>
      </c>
      <c r="B282" t="s">
        <v>5298</v>
      </c>
    </row>
    <row r="283" spans="1:2">
      <c r="A283" s="8" t="s">
        <v>4349</v>
      </c>
      <c r="B283" t="s">
        <v>5300</v>
      </c>
    </row>
    <row r="284" spans="1:2">
      <c r="A284" s="8" t="s">
        <v>4351</v>
      </c>
      <c r="B284" t="s">
        <v>5300</v>
      </c>
    </row>
    <row r="285" spans="1:2">
      <c r="A285" s="8" t="s">
        <v>4357</v>
      </c>
      <c r="B285" t="s">
        <v>2820</v>
      </c>
    </row>
    <row r="286" spans="1:2">
      <c r="A286" s="8" t="s">
        <v>5301</v>
      </c>
      <c r="B286" t="s">
        <v>2820</v>
      </c>
    </row>
    <row r="287" spans="1:2">
      <c r="A287" s="8" t="s">
        <v>5302</v>
      </c>
      <c r="B287" t="s">
        <v>383</v>
      </c>
    </row>
    <row r="288" spans="1:2">
      <c r="A288" s="8" t="s">
        <v>4358</v>
      </c>
      <c r="B288" t="s">
        <v>5275</v>
      </c>
    </row>
    <row r="289" spans="1:2">
      <c r="A289" s="8" t="s">
        <v>5303</v>
      </c>
      <c r="B289" t="s">
        <v>5304</v>
      </c>
    </row>
    <row r="290" spans="1:2">
      <c r="A290" s="8" t="s">
        <v>5305</v>
      </c>
      <c r="B290" t="s">
        <v>5306</v>
      </c>
    </row>
    <row r="291" spans="1:2">
      <c r="A291" s="8" t="s">
        <v>5307</v>
      </c>
      <c r="B291" t="s">
        <v>5308</v>
      </c>
    </row>
    <row r="292" spans="1:2">
      <c r="A292" s="8" t="s">
        <v>5309</v>
      </c>
      <c r="B292" t="s">
        <v>5310</v>
      </c>
    </row>
    <row r="293" spans="1:2">
      <c r="A293" s="8" t="s">
        <v>5311</v>
      </c>
      <c r="B293" t="s">
        <v>5312</v>
      </c>
    </row>
    <row r="294" spans="1:2">
      <c r="A294" s="8" t="s">
        <v>5313</v>
      </c>
      <c r="B294" t="s">
        <v>5312</v>
      </c>
    </row>
    <row r="295" spans="1:2">
      <c r="A295" s="8" t="s">
        <v>5314</v>
      </c>
      <c r="B295" t="s">
        <v>5315</v>
      </c>
    </row>
    <row r="296" spans="1:2">
      <c r="A296" s="8" t="s">
        <v>5316</v>
      </c>
      <c r="B296" t="s">
        <v>5315</v>
      </c>
    </row>
    <row r="297" spans="1:2">
      <c r="A297" s="8" t="s">
        <v>5317</v>
      </c>
      <c r="B297" t="s">
        <v>5315</v>
      </c>
    </row>
    <row r="298" spans="1:2">
      <c r="A298" s="8" t="s">
        <v>5318</v>
      </c>
      <c r="B298" t="s">
        <v>5319</v>
      </c>
    </row>
    <row r="299" spans="1:2">
      <c r="A299" s="8" t="s">
        <v>5320</v>
      </c>
      <c r="B299" t="s">
        <v>2030</v>
      </c>
    </row>
    <row r="300" spans="1:2">
      <c r="A300" s="8" t="s">
        <v>5321</v>
      </c>
      <c r="B300" t="s">
        <v>2030</v>
      </c>
    </row>
    <row r="301" spans="1:2">
      <c r="A301" s="8" t="s">
        <v>4362</v>
      </c>
      <c r="B301" t="s">
        <v>5322</v>
      </c>
    </row>
    <row r="302" spans="1:2">
      <c r="A302" s="8" t="s">
        <v>5323</v>
      </c>
      <c r="B302" t="s">
        <v>5324</v>
      </c>
    </row>
    <row r="303" spans="1:2">
      <c r="A303" s="8" t="s">
        <v>5325</v>
      </c>
      <c r="B303" t="s">
        <v>5326</v>
      </c>
    </row>
    <row r="304" spans="1:2">
      <c r="A304" s="8" t="s">
        <v>5327</v>
      </c>
      <c r="B304" t="s">
        <v>5326</v>
      </c>
    </row>
    <row r="305" spans="1:2">
      <c r="A305" s="8" t="s">
        <v>5328</v>
      </c>
      <c r="B305" t="s">
        <v>5329</v>
      </c>
    </row>
    <row r="306" spans="1:2">
      <c r="A306" s="8" t="s">
        <v>5330</v>
      </c>
      <c r="B306" t="s">
        <v>3348</v>
      </c>
    </row>
    <row r="307" spans="1:2">
      <c r="A307" s="8" t="s">
        <v>5331</v>
      </c>
      <c r="B307" t="s">
        <v>5332</v>
      </c>
    </row>
    <row r="308" spans="1:2">
      <c r="A308" s="8" t="s">
        <v>5333</v>
      </c>
      <c r="B308" t="s">
        <v>5332</v>
      </c>
    </row>
    <row r="309" spans="1:2">
      <c r="A309" s="8" t="s">
        <v>5334</v>
      </c>
      <c r="B309" t="s">
        <v>5335</v>
      </c>
    </row>
    <row r="310" spans="1:2">
      <c r="A310" s="8" t="s">
        <v>5336</v>
      </c>
      <c r="B310" t="s">
        <v>367</v>
      </c>
    </row>
    <row r="311" spans="1:2">
      <c r="A311" s="8" t="s">
        <v>5337</v>
      </c>
      <c r="B311" t="s">
        <v>5338</v>
      </c>
    </row>
    <row r="312" spans="1:2">
      <c r="A312" s="8" t="s">
        <v>5339</v>
      </c>
      <c r="B312" t="s">
        <v>5340</v>
      </c>
    </row>
    <row r="313" spans="1:2">
      <c r="A313" s="8" t="s">
        <v>5341</v>
      </c>
      <c r="B313" t="s">
        <v>5158</v>
      </c>
    </row>
    <row r="314" spans="1:2">
      <c r="A314" s="8" t="s">
        <v>5342</v>
      </c>
      <c r="B314" t="s">
        <v>5343</v>
      </c>
    </row>
    <row r="315" spans="1:2">
      <c r="A315" s="8" t="s">
        <v>5344</v>
      </c>
      <c r="B315" t="s">
        <v>5345</v>
      </c>
    </row>
    <row r="316" spans="1:2">
      <c r="A316" s="8" t="s">
        <v>4370</v>
      </c>
      <c r="B316" t="s">
        <v>5346</v>
      </c>
    </row>
    <row r="317" spans="1:2">
      <c r="A317" s="8" t="s">
        <v>5347</v>
      </c>
      <c r="B317" t="s">
        <v>5348</v>
      </c>
    </row>
    <row r="318" spans="1:2">
      <c r="A318" s="8" t="s">
        <v>5349</v>
      </c>
      <c r="B318" t="s">
        <v>5350</v>
      </c>
    </row>
    <row r="319" spans="1:2">
      <c r="A319" s="8" t="s">
        <v>5351</v>
      </c>
      <c r="B319" t="s">
        <v>705</v>
      </c>
    </row>
    <row r="320" spans="1:2">
      <c r="A320" s="8" t="s">
        <v>4374</v>
      </c>
      <c r="B320" t="s">
        <v>5352</v>
      </c>
    </row>
    <row r="321" spans="1:2">
      <c r="A321" s="8" t="s">
        <v>5353</v>
      </c>
      <c r="B321" t="s">
        <v>5354</v>
      </c>
    </row>
    <row r="322" spans="1:2">
      <c r="A322" s="8" t="s">
        <v>5355</v>
      </c>
      <c r="B322" t="s">
        <v>5356</v>
      </c>
    </row>
    <row r="323" spans="1:2">
      <c r="A323" s="8" t="s">
        <v>5357</v>
      </c>
      <c r="B323" t="s">
        <v>5358</v>
      </c>
    </row>
    <row r="324" spans="1:2">
      <c r="A324" s="8" t="s">
        <v>5359</v>
      </c>
      <c r="B324" t="s">
        <v>5358</v>
      </c>
    </row>
    <row r="325" spans="1:2">
      <c r="A325" s="8" t="s">
        <v>4380</v>
      </c>
      <c r="B325" t="s">
        <v>5360</v>
      </c>
    </row>
    <row r="326" spans="1:2">
      <c r="A326" s="8" t="s">
        <v>4382</v>
      </c>
      <c r="B326" t="s">
        <v>5360</v>
      </c>
    </row>
    <row r="327" spans="1:2">
      <c r="A327" s="8" t="s">
        <v>5361</v>
      </c>
      <c r="B327" t="s">
        <v>5362</v>
      </c>
    </row>
    <row r="328" spans="1:2">
      <c r="A328" s="8" t="s">
        <v>5363</v>
      </c>
      <c r="B328" t="s">
        <v>5364</v>
      </c>
    </row>
    <row r="329" spans="1:2">
      <c r="A329" s="8" t="s">
        <v>5365</v>
      </c>
      <c r="B329" t="s">
        <v>5366</v>
      </c>
    </row>
    <row r="330" spans="1:2">
      <c r="A330" s="8" t="s">
        <v>5367</v>
      </c>
      <c r="B330" t="s">
        <v>5368</v>
      </c>
    </row>
    <row r="331" spans="1:2">
      <c r="A331" s="8" t="s">
        <v>4383</v>
      </c>
      <c r="B331" t="s">
        <v>5368</v>
      </c>
    </row>
    <row r="332" spans="1:2">
      <c r="A332" s="8" t="s">
        <v>4385</v>
      </c>
      <c r="B332" t="s">
        <v>5369</v>
      </c>
    </row>
    <row r="333" spans="1:2">
      <c r="A333" s="8" t="s">
        <v>5370</v>
      </c>
      <c r="B333" t="s">
        <v>569</v>
      </c>
    </row>
    <row r="334" spans="1:2">
      <c r="A334" s="8" t="s">
        <v>5371</v>
      </c>
      <c r="B334" t="s">
        <v>5372</v>
      </c>
    </row>
    <row r="335" spans="1:2">
      <c r="A335" s="8" t="s">
        <v>4390</v>
      </c>
      <c r="B335" t="s">
        <v>5373</v>
      </c>
    </row>
    <row r="336" spans="1:2">
      <c r="A336" s="8" t="s">
        <v>5374</v>
      </c>
      <c r="B336" t="s">
        <v>5375</v>
      </c>
    </row>
    <row r="337" spans="1:2">
      <c r="A337" s="8" t="s">
        <v>4392</v>
      </c>
      <c r="B337" t="s">
        <v>5376</v>
      </c>
    </row>
    <row r="338" spans="1:2">
      <c r="A338" s="8" t="s">
        <v>5377</v>
      </c>
      <c r="B338" t="s">
        <v>5378</v>
      </c>
    </row>
    <row r="339" spans="1:2">
      <c r="A339" s="8" t="s">
        <v>5379</v>
      </c>
      <c r="B339" t="s">
        <v>5380</v>
      </c>
    </row>
    <row r="340" spans="1:2">
      <c r="A340" s="8" t="s">
        <v>5381</v>
      </c>
      <c r="B340" t="s">
        <v>5382</v>
      </c>
    </row>
    <row r="341" spans="1:2">
      <c r="A341" s="8" t="s">
        <v>5383</v>
      </c>
      <c r="B341" t="s">
        <v>333</v>
      </c>
    </row>
    <row r="342" spans="1:2">
      <c r="A342" s="8" t="s">
        <v>4396</v>
      </c>
      <c r="B342" t="s">
        <v>5384</v>
      </c>
    </row>
    <row r="343" spans="1:2">
      <c r="A343" s="8" t="s">
        <v>5385</v>
      </c>
      <c r="B343" t="s">
        <v>5386</v>
      </c>
    </row>
    <row r="344" spans="1:2">
      <c r="A344" s="8" t="s">
        <v>5387</v>
      </c>
      <c r="B344" t="s">
        <v>644</v>
      </c>
    </row>
    <row r="345" spans="1:2">
      <c r="A345" s="8" t="s">
        <v>5388</v>
      </c>
      <c r="B345" t="s">
        <v>5386</v>
      </c>
    </row>
    <row r="346" spans="1:2">
      <c r="A346" s="8" t="s">
        <v>5389</v>
      </c>
      <c r="B346" t="s">
        <v>5386</v>
      </c>
    </row>
    <row r="347" spans="1:2">
      <c r="A347" s="8" t="s">
        <v>5390</v>
      </c>
      <c r="B347" t="s">
        <v>5391</v>
      </c>
    </row>
    <row r="348" spans="1:2">
      <c r="A348" s="8" t="s">
        <v>4399</v>
      </c>
      <c r="B348" t="s">
        <v>5392</v>
      </c>
    </row>
    <row r="349" spans="1:2">
      <c r="A349" s="8" t="s">
        <v>5393</v>
      </c>
      <c r="B349" t="s">
        <v>5394</v>
      </c>
    </row>
    <row r="350" spans="1:2">
      <c r="A350" s="8" t="s">
        <v>5395</v>
      </c>
      <c r="B350" t="s">
        <v>5396</v>
      </c>
    </row>
    <row r="351" spans="1:2">
      <c r="A351" s="8" t="s">
        <v>5397</v>
      </c>
      <c r="B351" t="s">
        <v>5398</v>
      </c>
    </row>
    <row r="352" spans="1:2">
      <c r="A352" s="8" t="s">
        <v>4404</v>
      </c>
      <c r="B352" t="s">
        <v>5399</v>
      </c>
    </row>
    <row r="353" spans="1:2">
      <c r="A353" s="8" t="s">
        <v>4405</v>
      </c>
      <c r="B353" t="s">
        <v>5400</v>
      </c>
    </row>
    <row r="354" spans="1:2">
      <c r="A354" s="8" t="s">
        <v>4407</v>
      </c>
      <c r="B354" t="s">
        <v>5400</v>
      </c>
    </row>
    <row r="355" spans="1:2">
      <c r="A355" s="8" t="s">
        <v>5401</v>
      </c>
      <c r="B355" t="s">
        <v>3168</v>
      </c>
    </row>
    <row r="356" spans="1:2">
      <c r="A356" s="8" t="s">
        <v>4408</v>
      </c>
      <c r="B356" t="s">
        <v>5402</v>
      </c>
    </row>
    <row r="357" spans="1:2">
      <c r="A357" s="8" t="s">
        <v>663</v>
      </c>
      <c r="B357" t="s">
        <v>5403</v>
      </c>
    </row>
    <row r="358" spans="1:2">
      <c r="A358" s="8" t="s">
        <v>4410</v>
      </c>
      <c r="B358" t="s">
        <v>5404</v>
      </c>
    </row>
    <row r="359" spans="1:2">
      <c r="A359" s="8" t="s">
        <v>4412</v>
      </c>
      <c r="B359" t="s">
        <v>5400</v>
      </c>
    </row>
    <row r="360" spans="1:2">
      <c r="A360" s="8" t="s">
        <v>5405</v>
      </c>
      <c r="B360" t="s">
        <v>5406</v>
      </c>
    </row>
    <row r="361" spans="1:2">
      <c r="A361" s="8" t="s">
        <v>5407</v>
      </c>
      <c r="B361" t="s">
        <v>5350</v>
      </c>
    </row>
    <row r="362" spans="1:2">
      <c r="A362" s="8" t="s">
        <v>685</v>
      </c>
      <c r="B362" t="s">
        <v>687</v>
      </c>
    </row>
    <row r="363" spans="1:2">
      <c r="A363" s="8" t="s">
        <v>5408</v>
      </c>
      <c r="B363" t="s">
        <v>5409</v>
      </c>
    </row>
    <row r="364" spans="1:2">
      <c r="A364" s="8" t="s">
        <v>5410</v>
      </c>
      <c r="B364" t="s">
        <v>5409</v>
      </c>
    </row>
    <row r="365" spans="1:2">
      <c r="A365" s="8" t="s">
        <v>5411</v>
      </c>
      <c r="B365" t="s">
        <v>760</v>
      </c>
    </row>
    <row r="366" spans="1:2">
      <c r="A366" s="8" t="s">
        <v>5412</v>
      </c>
      <c r="B366" t="s">
        <v>5413</v>
      </c>
    </row>
    <row r="367" spans="1:2">
      <c r="A367" s="8" t="s">
        <v>4423</v>
      </c>
      <c r="B367" t="s">
        <v>3721</v>
      </c>
    </row>
    <row r="368" spans="1:2">
      <c r="A368" s="8" t="s">
        <v>768</v>
      </c>
      <c r="B368" t="s">
        <v>770</v>
      </c>
    </row>
    <row r="369" spans="1:2">
      <c r="A369" s="8" t="s">
        <v>5414</v>
      </c>
      <c r="B369" t="s">
        <v>776</v>
      </c>
    </row>
    <row r="370" spans="1:2">
      <c r="A370" s="8" t="s">
        <v>4425</v>
      </c>
      <c r="B370" t="s">
        <v>3299</v>
      </c>
    </row>
    <row r="371" spans="1:2">
      <c r="A371" s="8" t="s">
        <v>4426</v>
      </c>
      <c r="B371" t="s">
        <v>4085</v>
      </c>
    </row>
    <row r="372" spans="1:2">
      <c r="A372" s="8" t="s">
        <v>4427</v>
      </c>
      <c r="B372" t="s">
        <v>4085</v>
      </c>
    </row>
    <row r="373" spans="1:2">
      <c r="A373" s="8" t="s">
        <v>5415</v>
      </c>
      <c r="B373" t="s">
        <v>5416</v>
      </c>
    </row>
    <row r="374" spans="1:2">
      <c r="A374" s="8" t="s">
        <v>5417</v>
      </c>
      <c r="B374" t="s">
        <v>705</v>
      </c>
    </row>
    <row r="375" spans="1:2">
      <c r="A375" s="8" t="s">
        <v>4428</v>
      </c>
      <c r="B375" t="s">
        <v>3721</v>
      </c>
    </row>
    <row r="376" spans="1:2">
      <c r="A376" s="8" t="s">
        <v>5418</v>
      </c>
      <c r="B376" t="s">
        <v>5419</v>
      </c>
    </row>
    <row r="377" spans="1:2">
      <c r="A377" s="8" t="s">
        <v>5420</v>
      </c>
      <c r="B377" t="s">
        <v>5413</v>
      </c>
    </row>
    <row r="378" spans="1:2">
      <c r="A378" s="8" t="s">
        <v>4429</v>
      </c>
      <c r="B378" t="s">
        <v>4085</v>
      </c>
    </row>
    <row r="379" spans="1:2">
      <c r="A379" s="8" t="s">
        <v>4430</v>
      </c>
      <c r="B379" t="s">
        <v>4085</v>
      </c>
    </row>
    <row r="380" spans="1:2">
      <c r="A380" s="8" t="s">
        <v>5421</v>
      </c>
      <c r="B380" t="s">
        <v>5422</v>
      </c>
    </row>
    <row r="381" spans="1:2">
      <c r="A381" s="8" t="s">
        <v>5423</v>
      </c>
      <c r="B381" t="s">
        <v>5362</v>
      </c>
    </row>
    <row r="382" spans="1:2">
      <c r="A382" s="8" t="s">
        <v>4457</v>
      </c>
      <c r="B382" t="s">
        <v>3721</v>
      </c>
    </row>
    <row r="383" spans="1:2">
      <c r="A383" s="8" t="s">
        <v>4458</v>
      </c>
      <c r="B383" t="s">
        <v>4085</v>
      </c>
    </row>
    <row r="384" spans="1:2">
      <c r="A384" s="8" t="s">
        <v>5424</v>
      </c>
      <c r="B384" t="s">
        <v>5425</v>
      </c>
    </row>
    <row r="385" spans="1:2">
      <c r="A385" s="8" t="s">
        <v>4464</v>
      </c>
      <c r="B385" t="s">
        <v>4085</v>
      </c>
    </row>
    <row r="386" spans="1:2">
      <c r="A386" s="8" t="s">
        <v>5426</v>
      </c>
      <c r="B386" t="s">
        <v>5427</v>
      </c>
    </row>
    <row r="387" spans="1:2">
      <c r="A387" s="8" t="s">
        <v>5428</v>
      </c>
      <c r="B387" t="s">
        <v>5427</v>
      </c>
    </row>
    <row r="388" spans="1:2">
      <c r="A388" s="8" t="s">
        <v>5429</v>
      </c>
      <c r="B388" t="s">
        <v>5427</v>
      </c>
    </row>
    <row r="389" spans="1:2">
      <c r="A389" s="8" t="s">
        <v>5430</v>
      </c>
      <c r="B389" t="s">
        <v>5427</v>
      </c>
    </row>
    <row r="390" spans="1:2">
      <c r="A390" s="8" t="s">
        <v>5431</v>
      </c>
      <c r="B390" t="s">
        <v>5432</v>
      </c>
    </row>
    <row r="391" spans="1:2">
      <c r="A391" s="8" t="s">
        <v>5433</v>
      </c>
      <c r="B391" t="s">
        <v>5043</v>
      </c>
    </row>
    <row r="392" spans="1:2">
      <c r="A392" s="8" t="s">
        <v>5434</v>
      </c>
      <c r="B392" t="s">
        <v>827</v>
      </c>
    </row>
    <row r="393" spans="1:2">
      <c r="A393" s="8" t="s">
        <v>5435</v>
      </c>
      <c r="B393" t="s">
        <v>827</v>
      </c>
    </row>
    <row r="394" spans="1:2">
      <c r="A394" s="8" t="s">
        <v>5436</v>
      </c>
      <c r="B394" t="s">
        <v>827</v>
      </c>
    </row>
    <row r="395" spans="1:2">
      <c r="A395" s="8" t="s">
        <v>834</v>
      </c>
      <c r="B395" t="s">
        <v>5437</v>
      </c>
    </row>
    <row r="396" spans="1:2">
      <c r="A396" s="8" t="s">
        <v>4466</v>
      </c>
      <c r="B396" t="s">
        <v>3611</v>
      </c>
    </row>
    <row r="397" spans="1:2">
      <c r="A397" s="8" t="s">
        <v>5438</v>
      </c>
      <c r="B397" t="s">
        <v>5041</v>
      </c>
    </row>
    <row r="398" spans="1:2">
      <c r="A398" s="8" t="s">
        <v>5439</v>
      </c>
      <c r="B398" t="s">
        <v>5440</v>
      </c>
    </row>
    <row r="399" spans="1:2">
      <c r="A399" s="8" t="s">
        <v>5441</v>
      </c>
      <c r="B399" t="s">
        <v>5442</v>
      </c>
    </row>
    <row r="400" spans="1:2">
      <c r="A400" s="8" t="s">
        <v>5443</v>
      </c>
      <c r="B400" t="s">
        <v>853</v>
      </c>
    </row>
    <row r="401" spans="1:2">
      <c r="A401" s="8" t="s">
        <v>5444</v>
      </c>
      <c r="B401" t="s">
        <v>1917</v>
      </c>
    </row>
    <row r="402" spans="1:2">
      <c r="A402" s="8" t="s">
        <v>5445</v>
      </c>
      <c r="B402" t="s">
        <v>1917</v>
      </c>
    </row>
    <row r="403" spans="1:2">
      <c r="A403" s="8" t="s">
        <v>5446</v>
      </c>
      <c r="B403" t="s">
        <v>5447</v>
      </c>
    </row>
    <row r="404" spans="1:2">
      <c r="A404" s="8" t="s">
        <v>5448</v>
      </c>
      <c r="B404" t="s">
        <v>5447</v>
      </c>
    </row>
    <row r="405" spans="1:2">
      <c r="A405" s="8" t="s">
        <v>5449</v>
      </c>
      <c r="B405" t="s">
        <v>5447</v>
      </c>
    </row>
    <row r="406" spans="1:2">
      <c r="A406" s="8" t="s">
        <v>5450</v>
      </c>
      <c r="B406" t="s">
        <v>5451</v>
      </c>
    </row>
    <row r="407" spans="1:2">
      <c r="A407" s="8" t="s">
        <v>5452</v>
      </c>
      <c r="B407" t="s">
        <v>5422</v>
      </c>
    </row>
    <row r="408" spans="1:2">
      <c r="A408" s="8" t="s">
        <v>5453</v>
      </c>
      <c r="B408" t="s">
        <v>5427</v>
      </c>
    </row>
    <row r="409" spans="1:2">
      <c r="A409" s="8" t="s">
        <v>5454</v>
      </c>
      <c r="B409" t="s">
        <v>5455</v>
      </c>
    </row>
    <row r="410" spans="1:2">
      <c r="A410" s="8" t="s">
        <v>5456</v>
      </c>
      <c r="B410" t="s">
        <v>5455</v>
      </c>
    </row>
    <row r="411" spans="1:2">
      <c r="A411" s="8" t="s">
        <v>5457</v>
      </c>
      <c r="B411" t="s">
        <v>5413</v>
      </c>
    </row>
    <row r="412" spans="1:2">
      <c r="A412" s="8" t="s">
        <v>5458</v>
      </c>
      <c r="B412" t="s">
        <v>5459</v>
      </c>
    </row>
    <row r="413" spans="1:2">
      <c r="A413" s="8" t="s">
        <v>5460</v>
      </c>
      <c r="B413" t="s">
        <v>5461</v>
      </c>
    </row>
    <row r="414" spans="1:2">
      <c r="A414" s="8" t="s">
        <v>5462</v>
      </c>
      <c r="B414" t="s">
        <v>5461</v>
      </c>
    </row>
    <row r="415" spans="1:2">
      <c r="A415" s="8" t="s">
        <v>894</v>
      </c>
      <c r="B415" t="s">
        <v>5463</v>
      </c>
    </row>
    <row r="416" spans="1:2">
      <c r="A416" s="8" t="s">
        <v>4469</v>
      </c>
      <c r="B416" t="s">
        <v>5464</v>
      </c>
    </row>
    <row r="417" spans="1:2">
      <c r="A417" s="8" t="s">
        <v>899</v>
      </c>
      <c r="B417" t="s">
        <v>5465</v>
      </c>
    </row>
    <row r="418" spans="1:2">
      <c r="A418" s="8" t="s">
        <v>5466</v>
      </c>
      <c r="B418" t="s">
        <v>5467</v>
      </c>
    </row>
    <row r="419" spans="1:2">
      <c r="A419" s="8" t="s">
        <v>5468</v>
      </c>
      <c r="B419" t="s">
        <v>5469</v>
      </c>
    </row>
    <row r="420" spans="1:2">
      <c r="A420" s="8" t="s">
        <v>5470</v>
      </c>
      <c r="B420" t="s">
        <v>5471</v>
      </c>
    </row>
    <row r="421" spans="1:2">
      <c r="A421" s="8" t="s">
        <v>921</v>
      </c>
      <c r="B421" t="s">
        <v>923</v>
      </c>
    </row>
    <row r="422" spans="1:2">
      <c r="A422" s="8" t="s">
        <v>5472</v>
      </c>
      <c r="B422" t="s">
        <v>5362</v>
      </c>
    </row>
    <row r="423" spans="1:2">
      <c r="A423" s="8" t="s">
        <v>934</v>
      </c>
      <c r="B423" t="s">
        <v>5287</v>
      </c>
    </row>
    <row r="424" spans="1:2">
      <c r="A424" s="8" t="s">
        <v>4473</v>
      </c>
      <c r="B424" t="s">
        <v>5473</v>
      </c>
    </row>
    <row r="425" spans="1:2">
      <c r="A425" s="8" t="s">
        <v>4474</v>
      </c>
      <c r="B425" t="s">
        <v>5474</v>
      </c>
    </row>
    <row r="426" spans="1:2">
      <c r="A426" s="8" t="s">
        <v>4475</v>
      </c>
      <c r="B426" t="s">
        <v>4085</v>
      </c>
    </row>
    <row r="427" spans="1:2">
      <c r="A427" s="8" t="s">
        <v>4476</v>
      </c>
      <c r="B427" t="s">
        <v>4085</v>
      </c>
    </row>
    <row r="428" spans="1:2">
      <c r="A428" s="8" t="s">
        <v>4477</v>
      </c>
      <c r="B428" t="s">
        <v>3721</v>
      </c>
    </row>
    <row r="429" spans="1:2">
      <c r="A429" s="8" t="s">
        <v>944</v>
      </c>
      <c r="B429" t="s">
        <v>5475</v>
      </c>
    </row>
    <row r="430" spans="1:2">
      <c r="A430" s="8" t="s">
        <v>4478</v>
      </c>
      <c r="B430" t="s">
        <v>4085</v>
      </c>
    </row>
    <row r="431" spans="1:2">
      <c r="A431" s="8" t="s">
        <v>5476</v>
      </c>
      <c r="B431" t="s">
        <v>5477</v>
      </c>
    </row>
    <row r="432" spans="1:2">
      <c r="A432" s="8" t="s">
        <v>4479</v>
      </c>
      <c r="B432" t="s">
        <v>4085</v>
      </c>
    </row>
    <row r="433" spans="1:2">
      <c r="A433" s="8" t="s">
        <v>5478</v>
      </c>
      <c r="B433" t="s">
        <v>5479</v>
      </c>
    </row>
    <row r="434" spans="1:2">
      <c r="A434" s="8" t="s">
        <v>5480</v>
      </c>
      <c r="B434" t="s">
        <v>5481</v>
      </c>
    </row>
    <row r="435" spans="1:2">
      <c r="A435" s="8" t="s">
        <v>5482</v>
      </c>
      <c r="B435" t="s">
        <v>962</v>
      </c>
    </row>
    <row r="436" spans="1:2">
      <c r="A436" s="8" t="s">
        <v>5483</v>
      </c>
      <c r="B436" t="s">
        <v>1939</v>
      </c>
    </row>
    <row r="437" spans="1:2">
      <c r="A437" s="8" t="s">
        <v>5484</v>
      </c>
      <c r="B437" t="s">
        <v>1815</v>
      </c>
    </row>
    <row r="438" spans="1:2">
      <c r="A438" s="8" t="s">
        <v>5485</v>
      </c>
      <c r="B438" t="s">
        <v>1939</v>
      </c>
    </row>
    <row r="439" spans="1:2">
      <c r="A439" s="8" t="s">
        <v>5486</v>
      </c>
      <c r="B439" t="s">
        <v>1815</v>
      </c>
    </row>
    <row r="440" spans="1:2">
      <c r="A440" s="8" t="s">
        <v>5487</v>
      </c>
      <c r="B440" t="s">
        <v>1939</v>
      </c>
    </row>
    <row r="441" spans="1:2">
      <c r="A441" s="8" t="s">
        <v>5488</v>
      </c>
      <c r="B441" t="s">
        <v>1815</v>
      </c>
    </row>
    <row r="442" spans="1:2">
      <c r="A442" s="8" t="s">
        <v>5489</v>
      </c>
      <c r="B442" t="s">
        <v>1952</v>
      </c>
    </row>
    <row r="443" spans="1:2">
      <c r="A443" s="8" t="s">
        <v>5490</v>
      </c>
      <c r="B443" t="s">
        <v>1956</v>
      </c>
    </row>
    <row r="444" spans="1:2">
      <c r="A444" s="8" t="s">
        <v>5491</v>
      </c>
      <c r="B444" t="s">
        <v>1952</v>
      </c>
    </row>
    <row r="445" spans="1:2">
      <c r="A445" s="8" t="s">
        <v>5492</v>
      </c>
      <c r="B445" t="s">
        <v>1952</v>
      </c>
    </row>
    <row r="446" spans="1:2">
      <c r="A446" s="8" t="s">
        <v>5493</v>
      </c>
      <c r="B446" t="s">
        <v>1956</v>
      </c>
    </row>
    <row r="447" spans="1:2">
      <c r="A447" s="8" t="s">
        <v>5494</v>
      </c>
      <c r="B447" t="s">
        <v>1939</v>
      </c>
    </row>
    <row r="448" spans="1:2">
      <c r="A448" s="8" t="s">
        <v>5495</v>
      </c>
      <c r="B448" t="s">
        <v>1815</v>
      </c>
    </row>
    <row r="449" spans="1:2">
      <c r="A449" s="8" t="s">
        <v>5496</v>
      </c>
      <c r="B449" t="s">
        <v>1939</v>
      </c>
    </row>
    <row r="450" spans="1:2">
      <c r="A450" s="8" t="s">
        <v>5497</v>
      </c>
      <c r="B450" t="s">
        <v>1815</v>
      </c>
    </row>
    <row r="451" spans="1:2">
      <c r="A451" s="8" t="s">
        <v>5498</v>
      </c>
      <c r="B451" t="s">
        <v>1939</v>
      </c>
    </row>
    <row r="452" spans="1:2">
      <c r="A452" s="8" t="s">
        <v>5499</v>
      </c>
      <c r="B452" t="s">
        <v>1815</v>
      </c>
    </row>
    <row r="453" spans="1:2">
      <c r="A453" s="8" t="s">
        <v>5500</v>
      </c>
      <c r="B453" t="s">
        <v>5501</v>
      </c>
    </row>
    <row r="454" spans="1:2">
      <c r="A454" s="8" t="s">
        <v>5502</v>
      </c>
      <c r="B454" t="s">
        <v>5501</v>
      </c>
    </row>
    <row r="455" spans="1:2">
      <c r="A455" s="8" t="s">
        <v>5503</v>
      </c>
      <c r="B455" t="s">
        <v>5501</v>
      </c>
    </row>
    <row r="456" spans="1:2">
      <c r="A456" s="8" t="s">
        <v>5504</v>
      </c>
      <c r="B456" t="s">
        <v>5505</v>
      </c>
    </row>
    <row r="457" spans="1:2">
      <c r="A457" s="8" t="s">
        <v>5506</v>
      </c>
      <c r="B457" t="s">
        <v>5507</v>
      </c>
    </row>
    <row r="458" spans="1:2">
      <c r="A458" s="8" t="s">
        <v>5508</v>
      </c>
      <c r="B458" t="s">
        <v>5507</v>
      </c>
    </row>
    <row r="459" spans="1:2">
      <c r="A459" s="8" t="s">
        <v>5509</v>
      </c>
      <c r="B459" t="s">
        <v>5507</v>
      </c>
    </row>
    <row r="460" spans="1:2">
      <c r="A460" s="8" t="s">
        <v>5510</v>
      </c>
      <c r="B460" t="s">
        <v>5507</v>
      </c>
    </row>
    <row r="461" spans="1:2">
      <c r="A461" s="8" t="s">
        <v>5511</v>
      </c>
      <c r="B461" t="s">
        <v>5507</v>
      </c>
    </row>
    <row r="462" spans="1:2">
      <c r="A462" s="8" t="s">
        <v>5512</v>
      </c>
      <c r="B462" t="s">
        <v>5507</v>
      </c>
    </row>
    <row r="463" spans="1:2">
      <c r="A463" s="8" t="s">
        <v>5513</v>
      </c>
      <c r="B463" t="s">
        <v>5507</v>
      </c>
    </row>
    <row r="464" spans="1:2">
      <c r="A464" s="8" t="s">
        <v>5514</v>
      </c>
      <c r="B464" t="s">
        <v>5507</v>
      </c>
    </row>
    <row r="465" spans="1:2">
      <c r="A465" s="8" t="s">
        <v>5515</v>
      </c>
      <c r="B465" t="s">
        <v>5507</v>
      </c>
    </row>
    <row r="466" spans="1:2">
      <c r="A466" s="8" t="s">
        <v>5516</v>
      </c>
      <c r="B466" t="s">
        <v>5507</v>
      </c>
    </row>
    <row r="467" spans="1:2">
      <c r="A467" s="8" t="s">
        <v>5517</v>
      </c>
      <c r="B467" t="s">
        <v>5507</v>
      </c>
    </row>
    <row r="468" spans="1:2">
      <c r="A468" s="8" t="s">
        <v>5518</v>
      </c>
      <c r="B468" t="s">
        <v>5507</v>
      </c>
    </row>
    <row r="469" spans="1:2">
      <c r="A469" s="8" t="s">
        <v>5519</v>
      </c>
      <c r="B469" t="s">
        <v>5520</v>
      </c>
    </row>
    <row r="470" spans="1:2">
      <c r="A470" s="8" t="s">
        <v>5521</v>
      </c>
      <c r="B470" t="s">
        <v>5522</v>
      </c>
    </row>
    <row r="471" spans="1:2">
      <c r="A471" s="8" t="s">
        <v>5523</v>
      </c>
      <c r="B471" t="s">
        <v>1956</v>
      </c>
    </row>
    <row r="472" spans="1:2">
      <c r="A472" s="8" t="s">
        <v>4480</v>
      </c>
      <c r="B472" t="s">
        <v>3680</v>
      </c>
    </row>
    <row r="473" spans="1:2">
      <c r="A473" s="8" t="s">
        <v>969</v>
      </c>
      <c r="B473" t="s">
        <v>971</v>
      </c>
    </row>
    <row r="474" spans="1:2">
      <c r="A474" s="8" t="s">
        <v>5524</v>
      </c>
      <c r="B474" t="s">
        <v>971</v>
      </c>
    </row>
    <row r="475" spans="1:2">
      <c r="A475" s="8" t="s">
        <v>5525</v>
      </c>
      <c r="B475" t="s">
        <v>971</v>
      </c>
    </row>
    <row r="476" spans="1:2">
      <c r="A476" s="8" t="s">
        <v>5526</v>
      </c>
      <c r="B476" t="s">
        <v>1956</v>
      </c>
    </row>
    <row r="477" spans="1:2">
      <c r="A477" s="8" t="s">
        <v>4482</v>
      </c>
      <c r="B477" t="s">
        <v>5527</v>
      </c>
    </row>
    <row r="478" spans="1:2">
      <c r="A478" s="8" t="s">
        <v>5528</v>
      </c>
      <c r="B478" t="s">
        <v>1195</v>
      </c>
    </row>
    <row r="479" spans="1:2">
      <c r="A479" s="8" t="s">
        <v>5529</v>
      </c>
      <c r="B479" t="s">
        <v>1195</v>
      </c>
    </row>
    <row r="480" spans="1:2">
      <c r="A480" s="8" t="s">
        <v>5530</v>
      </c>
      <c r="B480" t="s">
        <v>5531</v>
      </c>
    </row>
    <row r="481" spans="1:2">
      <c r="A481" s="8" t="s">
        <v>5532</v>
      </c>
      <c r="B481" t="s">
        <v>5531</v>
      </c>
    </row>
    <row r="482" spans="1:2">
      <c r="A482" s="8" t="s">
        <v>5533</v>
      </c>
      <c r="B482" t="s">
        <v>5531</v>
      </c>
    </row>
    <row r="483" spans="1:2">
      <c r="A483" s="8" t="s">
        <v>5534</v>
      </c>
      <c r="B483" t="s">
        <v>5531</v>
      </c>
    </row>
    <row r="484" spans="1:2">
      <c r="A484" s="8" t="s">
        <v>5535</v>
      </c>
      <c r="B484" t="s">
        <v>5531</v>
      </c>
    </row>
    <row r="485" spans="1:2">
      <c r="A485" s="8" t="s">
        <v>5536</v>
      </c>
      <c r="B485" t="s">
        <v>1195</v>
      </c>
    </row>
    <row r="486" spans="1:2">
      <c r="A486" s="8" t="s">
        <v>5537</v>
      </c>
      <c r="B486" t="s">
        <v>5538</v>
      </c>
    </row>
    <row r="487" spans="1:2">
      <c r="A487" s="8" t="s">
        <v>4486</v>
      </c>
      <c r="B487" t="s">
        <v>5539</v>
      </c>
    </row>
    <row r="488" spans="1:2">
      <c r="A488" s="8" t="s">
        <v>4488</v>
      </c>
      <c r="B488" t="s">
        <v>5540</v>
      </c>
    </row>
    <row r="489" spans="1:2">
      <c r="A489" s="8" t="s">
        <v>4490</v>
      </c>
      <c r="B489" t="s">
        <v>5541</v>
      </c>
    </row>
    <row r="490" spans="1:2">
      <c r="A490" s="8" t="s">
        <v>4491</v>
      </c>
      <c r="B490" t="s">
        <v>5540</v>
      </c>
    </row>
    <row r="491" spans="1:2">
      <c r="A491" s="8" t="s">
        <v>4492</v>
      </c>
      <c r="B491" t="s">
        <v>5540</v>
      </c>
    </row>
    <row r="492" spans="1:2">
      <c r="A492" s="8" t="s">
        <v>4493</v>
      </c>
      <c r="B492" t="s">
        <v>5542</v>
      </c>
    </row>
    <row r="493" spans="1:2">
      <c r="A493" s="8" t="s">
        <v>4494</v>
      </c>
      <c r="B493" t="s">
        <v>5542</v>
      </c>
    </row>
    <row r="494" spans="1:2">
      <c r="A494" s="8" t="s">
        <v>4503</v>
      </c>
      <c r="B494" t="s">
        <v>5543</v>
      </c>
    </row>
    <row r="495" spans="1:2">
      <c r="A495" s="8" t="s">
        <v>4505</v>
      </c>
      <c r="B495" t="s">
        <v>1223</v>
      </c>
    </row>
    <row r="496" spans="1:2">
      <c r="A496" s="8" t="s">
        <v>4506</v>
      </c>
      <c r="B496" t="s">
        <v>1223</v>
      </c>
    </row>
    <row r="497" spans="1:2">
      <c r="A497" s="8" t="s">
        <v>4507</v>
      </c>
      <c r="B497" t="s">
        <v>1223</v>
      </c>
    </row>
    <row r="498" spans="1:2">
      <c r="A498" s="8" t="s">
        <v>5544</v>
      </c>
      <c r="B498" t="s">
        <v>5545</v>
      </c>
    </row>
    <row r="499" spans="1:2">
      <c r="A499" s="8" t="s">
        <v>1225</v>
      </c>
      <c r="B499" t="s">
        <v>1227</v>
      </c>
    </row>
    <row r="500" spans="1:2">
      <c r="A500" s="8" t="s">
        <v>4512</v>
      </c>
      <c r="B500" t="s">
        <v>5546</v>
      </c>
    </row>
    <row r="501" spans="1:2">
      <c r="A501" s="8" t="s">
        <v>5547</v>
      </c>
      <c r="B501" t="s">
        <v>5546</v>
      </c>
    </row>
    <row r="502" spans="1:2">
      <c r="A502" s="8" t="s">
        <v>5548</v>
      </c>
      <c r="B502" t="s">
        <v>1411</v>
      </c>
    </row>
    <row r="503" spans="1:2">
      <c r="A503" s="8" t="s">
        <v>5549</v>
      </c>
      <c r="B503" t="s">
        <v>1411</v>
      </c>
    </row>
    <row r="504" spans="1:2">
      <c r="A504" s="8" t="s">
        <v>4514</v>
      </c>
      <c r="B504" t="s">
        <v>5550</v>
      </c>
    </row>
    <row r="505" spans="1:2">
      <c r="A505" s="8" t="s">
        <v>5551</v>
      </c>
      <c r="B505" t="s">
        <v>5552</v>
      </c>
    </row>
    <row r="506" spans="1:2">
      <c r="A506" s="8" t="s">
        <v>5553</v>
      </c>
      <c r="B506" t="s">
        <v>863</v>
      </c>
    </row>
    <row r="507" spans="1:2">
      <c r="A507" s="8" t="s">
        <v>5554</v>
      </c>
      <c r="B507" t="s">
        <v>827</v>
      </c>
    </row>
    <row r="508" spans="1:2">
      <c r="A508" s="8" t="s">
        <v>5555</v>
      </c>
      <c r="B508" t="s">
        <v>5556</v>
      </c>
    </row>
    <row r="509" spans="1:2">
      <c r="A509" s="8" t="s">
        <v>5557</v>
      </c>
      <c r="B509" t="s">
        <v>5556</v>
      </c>
    </row>
    <row r="510" spans="1:2">
      <c r="A510" s="8" t="s">
        <v>5558</v>
      </c>
      <c r="B510" t="s">
        <v>247</v>
      </c>
    </row>
    <row r="511" spans="1:2">
      <c r="A511" s="8" t="s">
        <v>5559</v>
      </c>
      <c r="B511" t="s">
        <v>1411</v>
      </c>
    </row>
    <row r="512" spans="1:2">
      <c r="A512" s="8" t="s">
        <v>5560</v>
      </c>
      <c r="B512" t="s">
        <v>1411</v>
      </c>
    </row>
    <row r="513" spans="1:2">
      <c r="A513" s="8" t="s">
        <v>5561</v>
      </c>
      <c r="B513" t="s">
        <v>1411</v>
      </c>
    </row>
    <row r="514" spans="1:2">
      <c r="A514" s="8" t="s">
        <v>4522</v>
      </c>
      <c r="B514" t="s">
        <v>1223</v>
      </c>
    </row>
    <row r="515" spans="1:2">
      <c r="A515" s="8" t="s">
        <v>5562</v>
      </c>
      <c r="B515" t="s">
        <v>1603</v>
      </c>
    </row>
    <row r="516" spans="1:2">
      <c r="A516" s="8" t="s">
        <v>5563</v>
      </c>
      <c r="B516" t="s">
        <v>1603</v>
      </c>
    </row>
    <row r="517" spans="1:2">
      <c r="A517" s="8" t="s">
        <v>5564</v>
      </c>
      <c r="B517" t="s">
        <v>5565</v>
      </c>
    </row>
    <row r="518" spans="1:2">
      <c r="A518" s="8" t="s">
        <v>5566</v>
      </c>
      <c r="B518" t="s">
        <v>1279</v>
      </c>
    </row>
    <row r="519" spans="1:2">
      <c r="A519" s="8" t="s">
        <v>5567</v>
      </c>
      <c r="B519" t="s">
        <v>5568</v>
      </c>
    </row>
    <row r="520" spans="1:2">
      <c r="A520" s="8" t="s">
        <v>1282</v>
      </c>
      <c r="B520" t="s">
        <v>1284</v>
      </c>
    </row>
    <row r="521" spans="1:2">
      <c r="A521" s="8" t="s">
        <v>5569</v>
      </c>
      <c r="B521" t="s">
        <v>5570</v>
      </c>
    </row>
    <row r="522" spans="1:2">
      <c r="A522" s="8" t="s">
        <v>5571</v>
      </c>
      <c r="B522" t="s">
        <v>1292</v>
      </c>
    </row>
    <row r="523" spans="1:2">
      <c r="A523" s="8" t="s">
        <v>1318</v>
      </c>
      <c r="B523" t="s">
        <v>1320</v>
      </c>
    </row>
    <row r="524" spans="1:2">
      <c r="A524" s="8" t="s">
        <v>5572</v>
      </c>
      <c r="B524" t="s">
        <v>3360</v>
      </c>
    </row>
    <row r="525" spans="1:2">
      <c r="A525" s="8" t="s">
        <v>5573</v>
      </c>
      <c r="B525" t="s">
        <v>3360</v>
      </c>
    </row>
    <row r="526" spans="1:2">
      <c r="A526" s="8" t="s">
        <v>5574</v>
      </c>
      <c r="B526" t="s">
        <v>3360</v>
      </c>
    </row>
    <row r="527" spans="1:2">
      <c r="A527" s="8" t="s">
        <v>5575</v>
      </c>
      <c r="B527" t="s">
        <v>3360</v>
      </c>
    </row>
    <row r="528" spans="1:2">
      <c r="A528" s="8" t="s">
        <v>5576</v>
      </c>
      <c r="B528" t="s">
        <v>3360</v>
      </c>
    </row>
    <row r="529" spans="1:2">
      <c r="A529" s="8" t="s">
        <v>5577</v>
      </c>
      <c r="B529" t="s">
        <v>3360</v>
      </c>
    </row>
    <row r="530" spans="1:2">
      <c r="A530" s="8" t="s">
        <v>1332</v>
      </c>
      <c r="B530" t="s">
        <v>5578</v>
      </c>
    </row>
    <row r="531" spans="1:2">
      <c r="A531" s="8" t="s">
        <v>4525</v>
      </c>
      <c r="B531" t="s">
        <v>2051</v>
      </c>
    </row>
    <row r="532" spans="1:2">
      <c r="A532" s="8" t="s">
        <v>5579</v>
      </c>
      <c r="B532" t="s">
        <v>5580</v>
      </c>
    </row>
    <row r="533" spans="1:2">
      <c r="A533" s="8" t="s">
        <v>5581</v>
      </c>
      <c r="B533" t="s">
        <v>1344</v>
      </c>
    </row>
    <row r="534" spans="1:2">
      <c r="A534" s="8" t="s">
        <v>5582</v>
      </c>
      <c r="B534" t="s">
        <v>1344</v>
      </c>
    </row>
    <row r="535" spans="1:2">
      <c r="A535" s="8" t="s">
        <v>5583</v>
      </c>
      <c r="B535" t="s">
        <v>1344</v>
      </c>
    </row>
    <row r="536" spans="1:2">
      <c r="A536" s="8" t="s">
        <v>5584</v>
      </c>
      <c r="B536" t="s">
        <v>5585</v>
      </c>
    </row>
    <row r="537" spans="1:2">
      <c r="A537" s="8" t="s">
        <v>5586</v>
      </c>
      <c r="B537" t="s">
        <v>5585</v>
      </c>
    </row>
    <row r="538" spans="1:2">
      <c r="A538" s="8" t="s">
        <v>5587</v>
      </c>
      <c r="B538" t="s">
        <v>5588</v>
      </c>
    </row>
    <row r="539" spans="1:2">
      <c r="A539" s="8" t="s">
        <v>5589</v>
      </c>
      <c r="B539" t="s">
        <v>5588</v>
      </c>
    </row>
    <row r="540" spans="1:2">
      <c r="A540" s="8" t="s">
        <v>1348</v>
      </c>
      <c r="B540" t="s">
        <v>1350</v>
      </c>
    </row>
    <row r="541" spans="1:2">
      <c r="A541" s="8" t="s">
        <v>1358</v>
      </c>
      <c r="B541" t="s">
        <v>5590</v>
      </c>
    </row>
    <row r="542" spans="1:2">
      <c r="A542" s="8" t="s">
        <v>4530</v>
      </c>
      <c r="B542" t="s">
        <v>5590</v>
      </c>
    </row>
    <row r="543" spans="1:2">
      <c r="A543" s="8" t="s">
        <v>5591</v>
      </c>
      <c r="B543" t="s">
        <v>2961</v>
      </c>
    </row>
    <row r="544" spans="1:2">
      <c r="A544" s="8" t="s">
        <v>5592</v>
      </c>
      <c r="B544" t="s">
        <v>1455</v>
      </c>
    </row>
    <row r="545" spans="1:2">
      <c r="A545" s="8" t="s">
        <v>5593</v>
      </c>
      <c r="B545" t="s">
        <v>1366</v>
      </c>
    </row>
    <row r="546" spans="1:2">
      <c r="A546" s="8" t="s">
        <v>5594</v>
      </c>
      <c r="B546" t="s">
        <v>1366</v>
      </c>
    </row>
    <row r="547" spans="1:2">
      <c r="A547" s="8" t="s">
        <v>5595</v>
      </c>
      <c r="B547" t="s">
        <v>5596</v>
      </c>
    </row>
    <row r="548" spans="1:2">
      <c r="A548" s="8" t="s">
        <v>5597</v>
      </c>
      <c r="B548" t="s">
        <v>5598</v>
      </c>
    </row>
    <row r="549" spans="1:2">
      <c r="A549" s="8" t="s">
        <v>4531</v>
      </c>
      <c r="B549" t="s">
        <v>1455</v>
      </c>
    </row>
    <row r="550" spans="1:2">
      <c r="A550" s="8" t="s">
        <v>5599</v>
      </c>
      <c r="B550" t="s">
        <v>1455</v>
      </c>
    </row>
    <row r="551" spans="1:2">
      <c r="A551" s="8" t="s">
        <v>5600</v>
      </c>
      <c r="B551" t="s">
        <v>5601</v>
      </c>
    </row>
    <row r="552" spans="1:2">
      <c r="A552" s="8" t="s">
        <v>5602</v>
      </c>
      <c r="B552" t="s">
        <v>5603</v>
      </c>
    </row>
    <row r="553" spans="1:2">
      <c r="A553" s="8" t="s">
        <v>5604</v>
      </c>
      <c r="B553" t="s">
        <v>5605</v>
      </c>
    </row>
    <row r="554" spans="1:2">
      <c r="A554" s="8" t="s">
        <v>5606</v>
      </c>
      <c r="B554" t="s">
        <v>5607</v>
      </c>
    </row>
    <row r="555" spans="1:2">
      <c r="A555" s="8" t="s">
        <v>4533</v>
      </c>
      <c r="B555" t="s">
        <v>5607</v>
      </c>
    </row>
    <row r="556" spans="1:2">
      <c r="A556" s="8" t="s">
        <v>5608</v>
      </c>
      <c r="B556" t="s">
        <v>5607</v>
      </c>
    </row>
    <row r="557" spans="1:2">
      <c r="A557" s="8" t="s">
        <v>5609</v>
      </c>
      <c r="B557" t="s">
        <v>5607</v>
      </c>
    </row>
    <row r="558" spans="1:2">
      <c r="A558" s="8" t="s">
        <v>5610</v>
      </c>
      <c r="B558" t="s">
        <v>1324</v>
      </c>
    </row>
    <row r="559" spans="1:2">
      <c r="A559" s="8" t="s">
        <v>5611</v>
      </c>
      <c r="B559" t="s">
        <v>1482</v>
      </c>
    </row>
    <row r="560" spans="1:2">
      <c r="A560" s="8" t="s">
        <v>4535</v>
      </c>
      <c r="B560" t="s">
        <v>5612</v>
      </c>
    </row>
    <row r="561" spans="1:2">
      <c r="A561" s="8" t="s">
        <v>4537</v>
      </c>
      <c r="B561" t="s">
        <v>5612</v>
      </c>
    </row>
    <row r="562" spans="1:2">
      <c r="A562" s="8" t="s">
        <v>5613</v>
      </c>
      <c r="B562" t="s">
        <v>5614</v>
      </c>
    </row>
    <row r="563" spans="1:2">
      <c r="A563" s="8" t="s">
        <v>5615</v>
      </c>
      <c r="B563" t="s">
        <v>5616</v>
      </c>
    </row>
    <row r="564" spans="1:2">
      <c r="A564" s="8" t="s">
        <v>4538</v>
      </c>
      <c r="B564" t="s">
        <v>5614</v>
      </c>
    </row>
    <row r="565" spans="1:2">
      <c r="A565" s="8" t="s">
        <v>4540</v>
      </c>
      <c r="B565" t="s">
        <v>5617</v>
      </c>
    </row>
    <row r="566" spans="1:2">
      <c r="A566" s="8" t="s">
        <v>4541</v>
      </c>
      <c r="B566" t="s">
        <v>1608</v>
      </c>
    </row>
    <row r="567" spans="1:2">
      <c r="A567" s="8" t="s">
        <v>4543</v>
      </c>
      <c r="B567" t="s">
        <v>1608</v>
      </c>
    </row>
    <row r="568" spans="1:2">
      <c r="A568" s="8" t="s">
        <v>4544</v>
      </c>
      <c r="B568" t="s">
        <v>1608</v>
      </c>
    </row>
    <row r="569" spans="1:2">
      <c r="A569" s="8" t="s">
        <v>4545</v>
      </c>
      <c r="B569" t="s">
        <v>1608</v>
      </c>
    </row>
    <row r="570" spans="1:2">
      <c r="A570" s="8" t="s">
        <v>4546</v>
      </c>
      <c r="B570" t="s">
        <v>1608</v>
      </c>
    </row>
    <row r="571" spans="1:2">
      <c r="A571" s="8" t="s">
        <v>4547</v>
      </c>
      <c r="B571" t="s">
        <v>1608</v>
      </c>
    </row>
    <row r="572" spans="1:2">
      <c r="A572" s="8" t="s">
        <v>5618</v>
      </c>
      <c r="B572" t="s">
        <v>5619</v>
      </c>
    </row>
    <row r="573" spans="1:2">
      <c r="A573" s="8" t="s">
        <v>1421</v>
      </c>
      <c r="B573" t="s">
        <v>1423</v>
      </c>
    </row>
    <row r="574" spans="1:2">
      <c r="A574" s="8" t="s">
        <v>5620</v>
      </c>
      <c r="B574" t="s">
        <v>5621</v>
      </c>
    </row>
    <row r="575" spans="1:2">
      <c r="A575" s="8" t="s">
        <v>5622</v>
      </c>
      <c r="B575" t="s">
        <v>5621</v>
      </c>
    </row>
    <row r="576" spans="1:2">
      <c r="A576" s="8" t="s">
        <v>4548</v>
      </c>
      <c r="B576" t="s">
        <v>3680</v>
      </c>
    </row>
    <row r="577" spans="1:2">
      <c r="A577" s="8" t="s">
        <v>5623</v>
      </c>
      <c r="B577" t="s">
        <v>5624</v>
      </c>
    </row>
    <row r="578" spans="1:2">
      <c r="A578" s="8" t="s">
        <v>4550</v>
      </c>
      <c r="B578" t="s">
        <v>1435</v>
      </c>
    </row>
    <row r="579" spans="1:2">
      <c r="A579" s="8" t="s">
        <v>4552</v>
      </c>
      <c r="B579" t="s">
        <v>5625</v>
      </c>
    </row>
    <row r="580" spans="1:2">
      <c r="A580" s="8" t="s">
        <v>4554</v>
      </c>
      <c r="B580" t="s">
        <v>3375</v>
      </c>
    </row>
    <row r="581" spans="1:2">
      <c r="A581" s="8" t="s">
        <v>1474</v>
      </c>
      <c r="B581" t="s">
        <v>1476</v>
      </c>
    </row>
    <row r="582" spans="1:2">
      <c r="A582" s="8" t="s">
        <v>5626</v>
      </c>
      <c r="B582" t="s">
        <v>5627</v>
      </c>
    </row>
    <row r="583" spans="1:2">
      <c r="A583" s="8" t="s">
        <v>5628</v>
      </c>
      <c r="B583" t="s">
        <v>5627</v>
      </c>
    </row>
    <row r="584" spans="1:2">
      <c r="A584" s="8" t="s">
        <v>5629</v>
      </c>
      <c r="B584" t="s">
        <v>5630</v>
      </c>
    </row>
    <row r="585" spans="1:2">
      <c r="A585" s="8" t="s">
        <v>4558</v>
      </c>
      <c r="B585" t="s">
        <v>5631</v>
      </c>
    </row>
    <row r="586" spans="1:2">
      <c r="A586" s="8" t="s">
        <v>5632</v>
      </c>
      <c r="B586" t="s">
        <v>5633</v>
      </c>
    </row>
    <row r="587" spans="1:2">
      <c r="A587" s="8" t="s">
        <v>5634</v>
      </c>
      <c r="B587" t="s">
        <v>5635</v>
      </c>
    </row>
    <row r="588" spans="1:2">
      <c r="A588" s="8" t="s">
        <v>1507</v>
      </c>
      <c r="B588" t="s">
        <v>1509</v>
      </c>
    </row>
    <row r="589" spans="1:2">
      <c r="A589" s="8" t="s">
        <v>1511</v>
      </c>
      <c r="B589" t="s">
        <v>5635</v>
      </c>
    </row>
    <row r="590" spans="1:2">
      <c r="A590" s="8" t="s">
        <v>5636</v>
      </c>
      <c r="B590" t="s">
        <v>322</v>
      </c>
    </row>
    <row r="591" spans="1:2">
      <c r="A591" s="8" t="s">
        <v>5637</v>
      </c>
      <c r="B591" t="s">
        <v>5638</v>
      </c>
    </row>
    <row r="592" spans="1:2">
      <c r="A592" s="8" t="s">
        <v>1528</v>
      </c>
      <c r="B592" t="s">
        <v>1530</v>
      </c>
    </row>
    <row r="593" spans="1:2">
      <c r="A593" s="8" t="s">
        <v>1536</v>
      </c>
      <c r="B593" t="s">
        <v>1538</v>
      </c>
    </row>
    <row r="594" spans="1:2">
      <c r="A594" s="8" t="s">
        <v>5639</v>
      </c>
      <c r="B594" t="s">
        <v>5640</v>
      </c>
    </row>
    <row r="595" spans="1:2">
      <c r="A595" s="8" t="s">
        <v>5641</v>
      </c>
      <c r="B595" t="s">
        <v>5642</v>
      </c>
    </row>
    <row r="596" spans="1:2">
      <c r="A596" s="8" t="s">
        <v>5643</v>
      </c>
      <c r="B596" t="s">
        <v>5644</v>
      </c>
    </row>
    <row r="597" spans="1:2">
      <c r="A597" s="8" t="s">
        <v>5645</v>
      </c>
      <c r="B597" t="s">
        <v>5646</v>
      </c>
    </row>
    <row r="598" spans="1:2">
      <c r="A598" s="8" t="s">
        <v>1545</v>
      </c>
      <c r="B598" t="s">
        <v>1547</v>
      </c>
    </row>
    <row r="599" spans="1:2">
      <c r="A599" s="8" t="s">
        <v>4560</v>
      </c>
      <c r="B599" t="s">
        <v>5647</v>
      </c>
    </row>
    <row r="600" spans="1:2">
      <c r="A600" s="8" t="s">
        <v>5648</v>
      </c>
      <c r="B600" t="s">
        <v>1538</v>
      </c>
    </row>
    <row r="601" spans="1:2">
      <c r="A601" s="8" t="s">
        <v>5649</v>
      </c>
      <c r="B601" t="s">
        <v>5650</v>
      </c>
    </row>
    <row r="602" spans="1:2">
      <c r="A602" s="8" t="s">
        <v>4562</v>
      </c>
      <c r="B602" t="s">
        <v>5651</v>
      </c>
    </row>
    <row r="603" spans="1:2">
      <c r="A603" s="8" t="s">
        <v>5652</v>
      </c>
      <c r="B603" t="s">
        <v>1553</v>
      </c>
    </row>
    <row r="604" spans="1:2">
      <c r="A604" s="8" t="s">
        <v>5653</v>
      </c>
      <c r="B604" t="s">
        <v>1553</v>
      </c>
    </row>
    <row r="605" spans="1:2">
      <c r="A605" s="8" t="s">
        <v>5654</v>
      </c>
      <c r="B605" t="s">
        <v>2899</v>
      </c>
    </row>
    <row r="606" spans="1:2">
      <c r="A606" s="8" t="s">
        <v>5655</v>
      </c>
      <c r="B606" t="s">
        <v>1567</v>
      </c>
    </row>
    <row r="607" spans="1:2">
      <c r="A607" s="8" t="s">
        <v>5656</v>
      </c>
      <c r="B607" t="s">
        <v>1567</v>
      </c>
    </row>
    <row r="608" spans="1:2">
      <c r="A608" s="8" t="s">
        <v>5657</v>
      </c>
      <c r="B608" t="s">
        <v>1567</v>
      </c>
    </row>
    <row r="609" spans="1:2">
      <c r="A609" s="8" t="s">
        <v>5658</v>
      </c>
      <c r="B609" t="s">
        <v>1567</v>
      </c>
    </row>
    <row r="610" spans="1:2">
      <c r="A610" s="8" t="s">
        <v>5659</v>
      </c>
      <c r="B610" t="s">
        <v>1578</v>
      </c>
    </row>
    <row r="611" spans="1:2">
      <c r="A611" s="8" t="s">
        <v>4568</v>
      </c>
      <c r="B611" t="s">
        <v>5660</v>
      </c>
    </row>
    <row r="612" spans="1:2">
      <c r="A612" s="8" t="s">
        <v>1586</v>
      </c>
      <c r="B612" t="s">
        <v>5661</v>
      </c>
    </row>
    <row r="613" spans="1:2">
      <c r="A613" s="8" t="s">
        <v>5662</v>
      </c>
      <c r="B613" t="s">
        <v>890</v>
      </c>
    </row>
    <row r="614" spans="1:2">
      <c r="A614" s="8" t="s">
        <v>5663</v>
      </c>
      <c r="B614" t="s">
        <v>890</v>
      </c>
    </row>
    <row r="615" spans="1:2">
      <c r="A615" s="8" t="s">
        <v>4570</v>
      </c>
      <c r="B615" t="s">
        <v>5664</v>
      </c>
    </row>
    <row r="616" spans="1:2">
      <c r="A616" s="8" t="s">
        <v>4571</v>
      </c>
      <c r="B616" t="s">
        <v>5275</v>
      </c>
    </row>
    <row r="617" spans="1:2">
      <c r="A617" s="8" t="s">
        <v>5665</v>
      </c>
      <c r="B617" t="s">
        <v>5666</v>
      </c>
    </row>
    <row r="618" spans="1:2">
      <c r="A618" s="8" t="s">
        <v>5667</v>
      </c>
      <c r="B618" t="s">
        <v>5666</v>
      </c>
    </row>
    <row r="619" spans="1:2">
      <c r="A619" s="8" t="s">
        <v>5668</v>
      </c>
      <c r="B619" t="s">
        <v>5666</v>
      </c>
    </row>
    <row r="620" spans="1:2">
      <c r="A620" s="8" t="s">
        <v>5669</v>
      </c>
      <c r="B620" t="s">
        <v>5670</v>
      </c>
    </row>
    <row r="621" spans="1:2">
      <c r="A621" s="8" t="s">
        <v>4572</v>
      </c>
      <c r="B621" t="s">
        <v>5671</v>
      </c>
    </row>
    <row r="622" spans="1:2">
      <c r="A622" s="8" t="s">
        <v>5672</v>
      </c>
      <c r="B622" t="s">
        <v>5673</v>
      </c>
    </row>
    <row r="623" spans="1:2">
      <c r="A623" s="8" t="s">
        <v>1612</v>
      </c>
      <c r="B623" t="s">
        <v>1614</v>
      </c>
    </row>
    <row r="624" spans="1:2">
      <c r="A624" s="8" t="s">
        <v>4574</v>
      </c>
      <c r="B624" t="s">
        <v>5674</v>
      </c>
    </row>
    <row r="625" spans="1:2">
      <c r="A625" s="8" t="s">
        <v>1618</v>
      </c>
      <c r="B625" t="s">
        <v>1620</v>
      </c>
    </row>
    <row r="626" spans="1:2">
      <c r="A626" s="8" t="s">
        <v>1629</v>
      </c>
      <c r="B626" t="s">
        <v>1631</v>
      </c>
    </row>
    <row r="627" spans="1:2">
      <c r="A627" s="8" t="s">
        <v>4577</v>
      </c>
      <c r="B627" t="s">
        <v>3299</v>
      </c>
    </row>
    <row r="628" spans="1:2">
      <c r="A628" s="8" t="s">
        <v>4578</v>
      </c>
      <c r="B628" t="s">
        <v>3299</v>
      </c>
    </row>
    <row r="629" spans="1:2">
      <c r="A629" s="8" t="s">
        <v>4579</v>
      </c>
      <c r="B629" t="s">
        <v>4085</v>
      </c>
    </row>
    <row r="630" spans="1:2">
      <c r="A630" s="8" t="s">
        <v>4580</v>
      </c>
      <c r="B630" t="s">
        <v>5675</v>
      </c>
    </row>
    <row r="631" spans="1:2">
      <c r="A631" s="8" t="s">
        <v>4582</v>
      </c>
      <c r="B631" t="s">
        <v>5675</v>
      </c>
    </row>
    <row r="632" spans="1:2">
      <c r="A632" s="8" t="s">
        <v>5676</v>
      </c>
      <c r="B632" t="s">
        <v>5677</v>
      </c>
    </row>
    <row r="633" spans="1:2">
      <c r="A633" s="8" t="s">
        <v>1647</v>
      </c>
      <c r="B633" t="s">
        <v>5678</v>
      </c>
    </row>
    <row r="634" spans="1:2">
      <c r="A634" s="8" t="s">
        <v>5679</v>
      </c>
      <c r="B634" t="s">
        <v>5680</v>
      </c>
    </row>
    <row r="635" spans="1:2">
      <c r="A635" s="8" t="s">
        <v>5681</v>
      </c>
      <c r="B635" t="s">
        <v>5680</v>
      </c>
    </row>
    <row r="636" spans="1:2">
      <c r="A636" s="8" t="s">
        <v>5682</v>
      </c>
      <c r="B636" t="s">
        <v>5680</v>
      </c>
    </row>
    <row r="637" spans="1:2">
      <c r="A637" s="8" t="s">
        <v>5683</v>
      </c>
      <c r="B637" t="s">
        <v>5680</v>
      </c>
    </row>
    <row r="638" spans="1:2">
      <c r="A638" s="8" t="s">
        <v>5684</v>
      </c>
      <c r="B638" t="s">
        <v>5680</v>
      </c>
    </row>
    <row r="639" spans="1:2">
      <c r="A639" s="8" t="s">
        <v>5685</v>
      </c>
      <c r="B639" t="s">
        <v>5680</v>
      </c>
    </row>
    <row r="640" spans="1:2">
      <c r="A640" s="8" t="s">
        <v>5686</v>
      </c>
      <c r="B640" t="s">
        <v>5680</v>
      </c>
    </row>
    <row r="641" spans="1:2">
      <c r="A641" s="8" t="s">
        <v>5687</v>
      </c>
      <c r="B641" t="s">
        <v>5680</v>
      </c>
    </row>
    <row r="642" spans="1:2">
      <c r="A642" s="8" t="s">
        <v>5688</v>
      </c>
      <c r="B642" t="s">
        <v>5680</v>
      </c>
    </row>
    <row r="643" spans="1:2">
      <c r="A643" s="8" t="s">
        <v>5689</v>
      </c>
      <c r="B643" t="s">
        <v>5680</v>
      </c>
    </row>
    <row r="644" spans="1:2">
      <c r="A644" s="8" t="s">
        <v>5690</v>
      </c>
      <c r="B644" t="s">
        <v>5680</v>
      </c>
    </row>
    <row r="645" spans="1:2">
      <c r="A645" s="8" t="s">
        <v>5691</v>
      </c>
      <c r="B645" t="s">
        <v>5680</v>
      </c>
    </row>
    <row r="646" spans="1:2">
      <c r="A646" s="8" t="s">
        <v>4583</v>
      </c>
      <c r="B646" t="s">
        <v>5298</v>
      </c>
    </row>
    <row r="647" spans="1:2">
      <c r="A647" s="8" t="s">
        <v>5692</v>
      </c>
      <c r="B647" t="s">
        <v>5505</v>
      </c>
    </row>
    <row r="648" spans="1:2">
      <c r="A648" s="8" t="s">
        <v>5693</v>
      </c>
      <c r="B648" t="s">
        <v>5694</v>
      </c>
    </row>
    <row r="649" spans="1:2">
      <c r="A649" s="8" t="s">
        <v>5695</v>
      </c>
      <c r="B649" t="s">
        <v>5505</v>
      </c>
    </row>
    <row r="650" spans="1:2">
      <c r="A650" s="8" t="s">
        <v>5696</v>
      </c>
      <c r="B650" t="s">
        <v>5678</v>
      </c>
    </row>
    <row r="651" spans="1:2">
      <c r="A651" s="8" t="s">
        <v>5697</v>
      </c>
      <c r="B651" t="s">
        <v>5698</v>
      </c>
    </row>
    <row r="652" spans="1:2">
      <c r="A652" s="8" t="s">
        <v>5699</v>
      </c>
      <c r="B652" t="s">
        <v>5698</v>
      </c>
    </row>
    <row r="653" spans="1:2">
      <c r="A653" s="8" t="s">
        <v>5700</v>
      </c>
      <c r="B653" t="s">
        <v>5678</v>
      </c>
    </row>
    <row r="654" spans="1:2">
      <c r="A654" s="8" t="s">
        <v>5701</v>
      </c>
      <c r="B654" t="s">
        <v>5702</v>
      </c>
    </row>
    <row r="655" spans="1:2">
      <c r="A655" s="8" t="s">
        <v>5703</v>
      </c>
      <c r="B655" t="s">
        <v>5702</v>
      </c>
    </row>
    <row r="656" spans="1:2">
      <c r="A656" s="8" t="s">
        <v>5704</v>
      </c>
      <c r="B656" t="s">
        <v>563</v>
      </c>
    </row>
    <row r="657" spans="1:2">
      <c r="A657" s="8" t="s">
        <v>5705</v>
      </c>
      <c r="B657" t="s">
        <v>563</v>
      </c>
    </row>
    <row r="658" spans="1:2">
      <c r="A658" s="8" t="s">
        <v>1665</v>
      </c>
      <c r="B658" t="s">
        <v>1667</v>
      </c>
    </row>
    <row r="659" spans="1:2">
      <c r="A659" s="8" t="s">
        <v>5706</v>
      </c>
      <c r="B659" t="s">
        <v>1667</v>
      </c>
    </row>
    <row r="660" spans="1:2">
      <c r="A660" s="8" t="s">
        <v>4588</v>
      </c>
      <c r="B660" t="s">
        <v>1667</v>
      </c>
    </row>
    <row r="661" spans="1:2">
      <c r="A661" s="8" t="s">
        <v>5707</v>
      </c>
      <c r="B661" t="s">
        <v>5708</v>
      </c>
    </row>
    <row r="662" spans="1:2">
      <c r="A662" s="8" t="s">
        <v>5709</v>
      </c>
      <c r="B662" t="s">
        <v>5710</v>
      </c>
    </row>
    <row r="663" spans="1:2">
      <c r="A663" s="8" t="s">
        <v>5711</v>
      </c>
      <c r="B663" t="s">
        <v>5712</v>
      </c>
    </row>
    <row r="664" spans="1:2">
      <c r="A664" s="8" t="s">
        <v>5713</v>
      </c>
      <c r="B664" t="s">
        <v>5712</v>
      </c>
    </row>
    <row r="665" spans="1:2">
      <c r="A665" s="8" t="s">
        <v>5714</v>
      </c>
      <c r="B665" t="s">
        <v>5715</v>
      </c>
    </row>
    <row r="666" spans="1:2">
      <c r="A666" s="8" t="s">
        <v>5716</v>
      </c>
      <c r="B666">
        <v>1.3</v>
      </c>
    </row>
    <row r="667" spans="1:2">
      <c r="A667" s="8" t="s">
        <v>4590</v>
      </c>
      <c r="B667" t="s">
        <v>5717</v>
      </c>
    </row>
    <row r="668" spans="1:2">
      <c r="A668" s="8" t="s">
        <v>4592</v>
      </c>
      <c r="B668" t="s">
        <v>5717</v>
      </c>
    </row>
    <row r="669" spans="1:2">
      <c r="A669" s="8" t="s">
        <v>5718</v>
      </c>
      <c r="B669" t="s">
        <v>1704</v>
      </c>
    </row>
    <row r="670" spans="1:2">
      <c r="A670" s="8" t="s">
        <v>5719</v>
      </c>
      <c r="B670" t="s">
        <v>5720</v>
      </c>
    </row>
    <row r="671" spans="1:2">
      <c r="A671" s="8" t="s">
        <v>5721</v>
      </c>
      <c r="B671" t="s">
        <v>5722</v>
      </c>
    </row>
    <row r="672" spans="1:2">
      <c r="A672" s="8" t="s">
        <v>5723</v>
      </c>
      <c r="B672" t="s">
        <v>5722</v>
      </c>
    </row>
    <row r="673" spans="1:2">
      <c r="A673" s="8" t="s">
        <v>5724</v>
      </c>
      <c r="B673" t="s">
        <v>5725</v>
      </c>
    </row>
    <row r="674" spans="1:2">
      <c r="A674" s="8" t="s">
        <v>5726</v>
      </c>
      <c r="B674" t="s">
        <v>1730</v>
      </c>
    </row>
    <row r="675" spans="1:2">
      <c r="A675" s="8" t="s">
        <v>5727</v>
      </c>
      <c r="B675" t="s">
        <v>5728</v>
      </c>
    </row>
    <row r="676" spans="1:2">
      <c r="A676" s="8" t="s">
        <v>5729</v>
      </c>
      <c r="B676" t="s">
        <v>5730</v>
      </c>
    </row>
    <row r="677" spans="1:2">
      <c r="A677" s="8" t="s">
        <v>5731</v>
      </c>
      <c r="B677" t="s">
        <v>5732</v>
      </c>
    </row>
    <row r="678" spans="1:2">
      <c r="A678" s="8" t="s">
        <v>5733</v>
      </c>
      <c r="B678" t="s">
        <v>5734</v>
      </c>
    </row>
    <row r="679" spans="1:2">
      <c r="A679" s="8" t="s">
        <v>5735</v>
      </c>
      <c r="B679" t="s">
        <v>5736</v>
      </c>
    </row>
    <row r="680" spans="1:2">
      <c r="A680" s="8" t="s">
        <v>5737</v>
      </c>
      <c r="B680" t="s">
        <v>5736</v>
      </c>
    </row>
    <row r="681" spans="1:2">
      <c r="A681" s="8" t="s">
        <v>5738</v>
      </c>
      <c r="B681" t="s">
        <v>5739</v>
      </c>
    </row>
    <row r="682" spans="1:2">
      <c r="A682" s="8" t="s">
        <v>5740</v>
      </c>
      <c r="B682" t="s">
        <v>3461</v>
      </c>
    </row>
    <row r="683" spans="1:2">
      <c r="A683" s="8" t="s">
        <v>5741</v>
      </c>
      <c r="B683" t="s">
        <v>333</v>
      </c>
    </row>
    <row r="684" spans="1:2">
      <c r="A684" s="8" t="s">
        <v>5742</v>
      </c>
      <c r="B684" t="s">
        <v>5743</v>
      </c>
    </row>
    <row r="685" spans="1:2">
      <c r="A685" s="8" t="s">
        <v>5744</v>
      </c>
      <c r="B685" t="s">
        <v>5743</v>
      </c>
    </row>
    <row r="686" spans="1:2">
      <c r="A686" s="8" t="s">
        <v>4595</v>
      </c>
      <c r="B686" t="s">
        <v>5745</v>
      </c>
    </row>
    <row r="687" spans="1:2">
      <c r="A687" s="8" t="s">
        <v>4597</v>
      </c>
      <c r="B687" t="s">
        <v>2510</v>
      </c>
    </row>
    <row r="688" spans="1:2">
      <c r="A688" s="8" t="s">
        <v>5746</v>
      </c>
      <c r="B688" t="s">
        <v>5747</v>
      </c>
    </row>
    <row r="689" spans="1:2">
      <c r="A689" s="8" t="s">
        <v>5748</v>
      </c>
      <c r="B689" t="s">
        <v>3461</v>
      </c>
    </row>
    <row r="690" spans="1:2">
      <c r="A690" s="8" t="s">
        <v>4598</v>
      </c>
      <c r="B690" t="s">
        <v>2494</v>
      </c>
    </row>
    <row r="691" spans="1:2">
      <c r="A691" s="8" t="s">
        <v>5749</v>
      </c>
      <c r="B691" t="s">
        <v>3409</v>
      </c>
    </row>
    <row r="692" spans="1:2">
      <c r="A692" s="8" t="s">
        <v>4600</v>
      </c>
      <c r="B692" t="s">
        <v>5750</v>
      </c>
    </row>
    <row r="693" spans="1:2">
      <c r="A693" s="8" t="s">
        <v>4602</v>
      </c>
      <c r="B693" t="s">
        <v>5750</v>
      </c>
    </row>
    <row r="694" spans="1:2">
      <c r="A694" s="8" t="s">
        <v>4604</v>
      </c>
      <c r="B694" t="s">
        <v>5750</v>
      </c>
    </row>
    <row r="695" spans="1:2">
      <c r="A695" s="8" t="s">
        <v>5751</v>
      </c>
      <c r="B695" t="s">
        <v>5752</v>
      </c>
    </row>
    <row r="696" spans="1:2">
      <c r="A696" s="8" t="s">
        <v>5753</v>
      </c>
      <c r="B696" t="s">
        <v>5754</v>
      </c>
    </row>
    <row r="697" spans="1:2">
      <c r="A697" s="8" t="s">
        <v>5755</v>
      </c>
      <c r="B697" t="s">
        <v>5756</v>
      </c>
    </row>
    <row r="698" spans="1:2">
      <c r="A698" s="8" t="s">
        <v>5757</v>
      </c>
      <c r="B698" t="s">
        <v>5756</v>
      </c>
    </row>
    <row r="699" spans="1:2">
      <c r="A699" s="8" t="s">
        <v>5758</v>
      </c>
      <c r="B699" t="s">
        <v>2519</v>
      </c>
    </row>
    <row r="700" spans="1:2">
      <c r="A700" s="8" t="s">
        <v>5759</v>
      </c>
      <c r="B700" t="s">
        <v>2519</v>
      </c>
    </row>
    <row r="701" spans="1:2">
      <c r="A701" s="8" t="s">
        <v>5760</v>
      </c>
      <c r="B701" t="s">
        <v>5761</v>
      </c>
    </row>
    <row r="702" spans="1:2">
      <c r="A702" s="8" t="s">
        <v>5762</v>
      </c>
      <c r="B702" t="s">
        <v>5763</v>
      </c>
    </row>
    <row r="703" spans="1:2">
      <c r="A703" s="8" t="s">
        <v>5764</v>
      </c>
      <c r="B703" t="s">
        <v>5765</v>
      </c>
    </row>
    <row r="704" spans="1:2">
      <c r="A704" s="8" t="s">
        <v>5766</v>
      </c>
      <c r="B704" t="s">
        <v>2545</v>
      </c>
    </row>
    <row r="705" spans="1:2">
      <c r="A705" s="8" t="s">
        <v>5767</v>
      </c>
      <c r="B705" t="s">
        <v>2545</v>
      </c>
    </row>
    <row r="706" spans="1:2">
      <c r="A706" s="8" t="s">
        <v>5768</v>
      </c>
      <c r="B706" t="s">
        <v>5769</v>
      </c>
    </row>
    <row r="707" spans="1:2">
      <c r="A707" s="8" t="s">
        <v>4606</v>
      </c>
      <c r="B707" t="s">
        <v>3158</v>
      </c>
    </row>
    <row r="708" spans="1:2">
      <c r="A708" s="8" t="s">
        <v>4608</v>
      </c>
      <c r="B708" t="s">
        <v>3158</v>
      </c>
    </row>
    <row r="709" spans="1:2">
      <c r="A709" s="8" t="s">
        <v>5770</v>
      </c>
      <c r="B709" t="s">
        <v>5771</v>
      </c>
    </row>
    <row r="710" spans="1:2">
      <c r="A710" s="8" t="s">
        <v>5772</v>
      </c>
      <c r="B710" t="s">
        <v>5771</v>
      </c>
    </row>
    <row r="711" spans="1:2">
      <c r="A711" s="8" t="s">
        <v>5773</v>
      </c>
      <c r="B711" t="s">
        <v>5774</v>
      </c>
    </row>
    <row r="712" spans="1:2">
      <c r="A712" s="8" t="s">
        <v>5775</v>
      </c>
      <c r="B712" t="s">
        <v>5774</v>
      </c>
    </row>
    <row r="713" spans="1:2">
      <c r="A713" s="8" t="s">
        <v>5776</v>
      </c>
      <c r="B713" t="s">
        <v>5777</v>
      </c>
    </row>
    <row r="714" spans="1:2">
      <c r="A714" s="8" t="s">
        <v>4609</v>
      </c>
      <c r="B714" t="s">
        <v>2524</v>
      </c>
    </row>
    <row r="715" spans="1:2">
      <c r="A715" s="8" t="s">
        <v>5778</v>
      </c>
      <c r="B715" t="s">
        <v>2524</v>
      </c>
    </row>
    <row r="716" spans="1:2">
      <c r="A716" s="8" t="s">
        <v>5779</v>
      </c>
      <c r="B716" t="s">
        <v>5780</v>
      </c>
    </row>
    <row r="717" spans="1:2">
      <c r="A717" s="8" t="s">
        <v>5781</v>
      </c>
      <c r="B717" t="s">
        <v>5782</v>
      </c>
    </row>
    <row r="718" spans="1:2">
      <c r="A718" s="8" t="s">
        <v>5783</v>
      </c>
      <c r="B718" t="s">
        <v>5782</v>
      </c>
    </row>
    <row r="719" spans="1:2">
      <c r="A719" s="8" t="s">
        <v>5784</v>
      </c>
      <c r="B719" t="s">
        <v>5785</v>
      </c>
    </row>
    <row r="720" spans="1:2">
      <c r="A720" s="8" t="s">
        <v>5786</v>
      </c>
      <c r="B720" t="s">
        <v>5785</v>
      </c>
    </row>
    <row r="721" spans="1:2">
      <c r="A721" s="8" t="s">
        <v>5787</v>
      </c>
      <c r="B721" t="s">
        <v>2128</v>
      </c>
    </row>
    <row r="722" spans="1:2">
      <c r="A722" s="8" t="s">
        <v>5788</v>
      </c>
      <c r="B722" t="s">
        <v>2128</v>
      </c>
    </row>
    <row r="723" spans="1:2">
      <c r="A723" s="8" t="s">
        <v>4611</v>
      </c>
      <c r="B723" t="s">
        <v>5789</v>
      </c>
    </row>
    <row r="724" spans="1:2">
      <c r="A724" s="8" t="s">
        <v>4613</v>
      </c>
      <c r="B724" t="s">
        <v>5789</v>
      </c>
    </row>
    <row r="725" spans="1:2">
      <c r="A725" s="8" t="s">
        <v>5790</v>
      </c>
      <c r="B725" t="s">
        <v>5791</v>
      </c>
    </row>
    <row r="726" spans="1:2">
      <c r="A726" s="8" t="s">
        <v>4614</v>
      </c>
      <c r="B726" t="s">
        <v>4085</v>
      </c>
    </row>
    <row r="727" spans="1:2">
      <c r="A727" s="8" t="s">
        <v>4615</v>
      </c>
      <c r="B727" t="s">
        <v>5474</v>
      </c>
    </row>
    <row r="728" spans="1:2">
      <c r="A728" s="8" t="s">
        <v>5792</v>
      </c>
      <c r="B728" t="s">
        <v>5793</v>
      </c>
    </row>
    <row r="729" spans="1:2">
      <c r="A729" s="8" t="s">
        <v>4616</v>
      </c>
      <c r="B729" t="s">
        <v>5794</v>
      </c>
    </row>
    <row r="730" spans="1:2">
      <c r="A730" s="8" t="s">
        <v>4618</v>
      </c>
      <c r="B730" t="s">
        <v>4085</v>
      </c>
    </row>
    <row r="731" spans="1:2">
      <c r="A731" s="8" t="s">
        <v>5795</v>
      </c>
      <c r="B731" t="s">
        <v>5796</v>
      </c>
    </row>
    <row r="732" spans="1:2">
      <c r="A732" s="8" t="s">
        <v>5797</v>
      </c>
      <c r="B732" t="s">
        <v>5798</v>
      </c>
    </row>
    <row r="733" spans="1:2">
      <c r="A733" s="8" t="s">
        <v>5799</v>
      </c>
      <c r="B733" t="s">
        <v>2133</v>
      </c>
    </row>
    <row r="734" spans="1:2">
      <c r="A734" s="8" t="s">
        <v>5800</v>
      </c>
      <c r="B734" t="s">
        <v>2133</v>
      </c>
    </row>
    <row r="735" spans="1:2">
      <c r="A735" s="8" t="s">
        <v>5801</v>
      </c>
      <c r="B735" t="s">
        <v>5798</v>
      </c>
    </row>
    <row r="736" spans="1:2">
      <c r="A736" s="8" t="s">
        <v>4619</v>
      </c>
      <c r="B736" t="s">
        <v>5802</v>
      </c>
    </row>
    <row r="737" spans="1:2">
      <c r="A737" s="8" t="s">
        <v>5803</v>
      </c>
      <c r="B737" t="s">
        <v>5804</v>
      </c>
    </row>
    <row r="738" spans="1:2">
      <c r="A738" s="8" t="s">
        <v>4623</v>
      </c>
      <c r="B738" t="s">
        <v>5805</v>
      </c>
    </row>
    <row r="739" spans="1:2">
      <c r="A739" s="8" t="s">
        <v>5806</v>
      </c>
      <c r="B739" t="s">
        <v>5807</v>
      </c>
    </row>
    <row r="740" spans="1:2">
      <c r="A740" s="8" t="s">
        <v>5808</v>
      </c>
      <c r="B740" t="s">
        <v>5807</v>
      </c>
    </row>
    <row r="741" spans="1:2">
      <c r="A741" s="8" t="s">
        <v>4625</v>
      </c>
      <c r="B741" t="s">
        <v>5809</v>
      </c>
    </row>
    <row r="742" spans="1:2">
      <c r="A742" s="8" t="s">
        <v>4627</v>
      </c>
      <c r="B742" t="s">
        <v>5809</v>
      </c>
    </row>
    <row r="743" spans="1:2">
      <c r="A743" s="8" t="s">
        <v>5810</v>
      </c>
      <c r="B743" t="s">
        <v>5807</v>
      </c>
    </row>
    <row r="744" spans="1:2">
      <c r="A744" s="8" t="s">
        <v>5811</v>
      </c>
      <c r="B744" t="s">
        <v>2558</v>
      </c>
    </row>
    <row r="745" spans="1:2">
      <c r="A745" s="8" t="s">
        <v>5812</v>
      </c>
      <c r="B745" t="s">
        <v>2570</v>
      </c>
    </row>
    <row r="746" spans="1:2">
      <c r="A746" s="8" t="s">
        <v>4628</v>
      </c>
      <c r="B746" t="s">
        <v>5813</v>
      </c>
    </row>
    <row r="747" spans="1:2">
      <c r="A747" s="8" t="s">
        <v>5814</v>
      </c>
      <c r="B747" t="s">
        <v>5815</v>
      </c>
    </row>
    <row r="748" spans="1:2">
      <c r="A748" s="8" t="s">
        <v>4631</v>
      </c>
      <c r="B748" t="s">
        <v>5816</v>
      </c>
    </row>
    <row r="749" spans="1:2">
      <c r="A749" s="8" t="s">
        <v>5817</v>
      </c>
      <c r="B749" t="s">
        <v>2564</v>
      </c>
    </row>
    <row r="750" spans="1:2">
      <c r="A750" s="8" t="s">
        <v>5818</v>
      </c>
      <c r="B750" t="s">
        <v>2564</v>
      </c>
    </row>
    <row r="751" spans="1:2">
      <c r="A751" s="8" t="s">
        <v>5819</v>
      </c>
      <c r="B751" t="s">
        <v>5820</v>
      </c>
    </row>
    <row r="752" spans="1:2">
      <c r="A752" s="8" t="s">
        <v>4634</v>
      </c>
      <c r="B752" t="s">
        <v>5542</v>
      </c>
    </row>
    <row r="753" spans="1:2">
      <c r="A753" s="8" t="s">
        <v>4636</v>
      </c>
      <c r="B753" t="s">
        <v>5542</v>
      </c>
    </row>
    <row r="754" spans="1:2">
      <c r="A754" s="8" t="s">
        <v>5821</v>
      </c>
      <c r="B754" t="s">
        <v>5822</v>
      </c>
    </row>
    <row r="755" spans="1:2">
      <c r="A755" s="8" t="s">
        <v>5823</v>
      </c>
      <c r="B755" t="s">
        <v>5824</v>
      </c>
    </row>
    <row r="756" spans="1:2">
      <c r="A756" s="8" t="s">
        <v>5825</v>
      </c>
      <c r="B756" t="s">
        <v>2598</v>
      </c>
    </row>
    <row r="757" spans="1:2">
      <c r="A757" s="8" t="s">
        <v>4639</v>
      </c>
      <c r="B757" t="s">
        <v>2598</v>
      </c>
    </row>
    <row r="758" spans="1:2">
      <c r="A758" s="8" t="s">
        <v>5826</v>
      </c>
      <c r="B758" t="s">
        <v>5827</v>
      </c>
    </row>
    <row r="759" spans="1:2">
      <c r="A759" s="8" t="s">
        <v>5828</v>
      </c>
      <c r="B759" t="s">
        <v>5829</v>
      </c>
    </row>
    <row r="760" spans="1:2">
      <c r="A760" s="8" t="s">
        <v>5830</v>
      </c>
      <c r="B760" t="s">
        <v>5831</v>
      </c>
    </row>
    <row r="761" spans="1:2">
      <c r="A761" s="8" t="s">
        <v>5832</v>
      </c>
      <c r="B761" t="s">
        <v>5833</v>
      </c>
    </row>
    <row r="762" spans="1:2">
      <c r="A762" s="8" t="s">
        <v>5834</v>
      </c>
      <c r="B762" t="s">
        <v>5835</v>
      </c>
    </row>
    <row r="763" spans="1:2">
      <c r="A763" s="8" t="s">
        <v>5836</v>
      </c>
      <c r="B763" t="s">
        <v>5835</v>
      </c>
    </row>
    <row r="764" spans="1:2">
      <c r="A764" s="8" t="s">
        <v>5837</v>
      </c>
      <c r="B764" t="s">
        <v>5838</v>
      </c>
    </row>
    <row r="765" spans="1:2">
      <c r="A765" s="8" t="s">
        <v>5839</v>
      </c>
      <c r="B765" t="s">
        <v>5838</v>
      </c>
    </row>
    <row r="766" spans="1:2">
      <c r="A766" s="8" t="s">
        <v>5840</v>
      </c>
      <c r="B766" t="s">
        <v>5838</v>
      </c>
    </row>
    <row r="767" spans="1:2">
      <c r="A767" s="8" t="s">
        <v>5841</v>
      </c>
      <c r="B767" t="s">
        <v>2689</v>
      </c>
    </row>
    <row r="768" spans="1:2">
      <c r="A768" s="8" t="s">
        <v>5842</v>
      </c>
      <c r="B768" t="s">
        <v>2689</v>
      </c>
    </row>
    <row r="769" spans="1:2">
      <c r="A769" s="8" t="s">
        <v>5843</v>
      </c>
      <c r="B769" t="s">
        <v>5844</v>
      </c>
    </row>
    <row r="770" spans="1:2">
      <c r="A770" s="8" t="s">
        <v>5845</v>
      </c>
      <c r="B770" t="s">
        <v>5846</v>
      </c>
    </row>
    <row r="771" spans="1:2">
      <c r="A771" s="8" t="s">
        <v>5847</v>
      </c>
      <c r="B771" t="s">
        <v>5102</v>
      </c>
    </row>
    <row r="772" spans="1:2">
      <c r="A772" s="8" t="s">
        <v>2668</v>
      </c>
      <c r="B772" t="s">
        <v>5848</v>
      </c>
    </row>
    <row r="773" spans="1:2">
      <c r="A773" s="8" t="s">
        <v>4649</v>
      </c>
      <c r="B773" t="s">
        <v>5848</v>
      </c>
    </row>
    <row r="774" spans="1:2">
      <c r="A774" s="8" t="s">
        <v>5849</v>
      </c>
      <c r="B774" t="s">
        <v>5850</v>
      </c>
    </row>
    <row r="775" spans="1:2">
      <c r="A775" s="8" t="s">
        <v>5851</v>
      </c>
      <c r="B775" t="s">
        <v>5852</v>
      </c>
    </row>
    <row r="776" spans="1:2">
      <c r="A776" s="8" t="s">
        <v>4650</v>
      </c>
      <c r="B776" t="s">
        <v>5853</v>
      </c>
    </row>
    <row r="777" spans="1:2">
      <c r="A777" s="8" t="s">
        <v>5854</v>
      </c>
      <c r="B777" t="s">
        <v>5855</v>
      </c>
    </row>
    <row r="778" spans="1:2">
      <c r="A778" s="8" t="s">
        <v>5856</v>
      </c>
      <c r="B778" t="s">
        <v>5857</v>
      </c>
    </row>
    <row r="779" spans="1:2">
      <c r="A779" s="8" t="s">
        <v>5858</v>
      </c>
      <c r="B779" t="s">
        <v>5857</v>
      </c>
    </row>
    <row r="780" spans="1:2">
      <c r="A780" s="8" t="s">
        <v>5859</v>
      </c>
      <c r="B780" t="s">
        <v>5860</v>
      </c>
    </row>
    <row r="781" spans="1:2">
      <c r="A781" s="8" t="s">
        <v>5861</v>
      </c>
      <c r="B781" t="s">
        <v>5860</v>
      </c>
    </row>
    <row r="782" spans="1:2">
      <c r="A782" s="8" t="s">
        <v>5862</v>
      </c>
      <c r="B782" t="s">
        <v>5860</v>
      </c>
    </row>
    <row r="783" spans="1:2">
      <c r="A783" s="8" t="s">
        <v>5863</v>
      </c>
      <c r="B783" t="s">
        <v>5860</v>
      </c>
    </row>
    <row r="784" spans="1:2">
      <c r="A784" s="8" t="s">
        <v>5864</v>
      </c>
      <c r="B784" t="s">
        <v>3923</v>
      </c>
    </row>
    <row r="785" spans="1:2">
      <c r="A785" s="8" t="s">
        <v>5865</v>
      </c>
      <c r="B785" t="s">
        <v>5815</v>
      </c>
    </row>
    <row r="786" spans="1:2">
      <c r="A786" s="8" t="s">
        <v>5866</v>
      </c>
      <c r="B786" t="s">
        <v>5867</v>
      </c>
    </row>
    <row r="787" spans="1:2">
      <c r="A787" s="8" t="s">
        <v>5868</v>
      </c>
      <c r="B787" t="s">
        <v>5869</v>
      </c>
    </row>
    <row r="788" spans="1:2">
      <c r="A788" s="8" t="s">
        <v>4655</v>
      </c>
      <c r="B788" t="s">
        <v>1243</v>
      </c>
    </row>
    <row r="789" spans="1:2">
      <c r="A789" s="8" t="s">
        <v>5870</v>
      </c>
      <c r="B789" t="s">
        <v>2700</v>
      </c>
    </row>
    <row r="790" spans="1:2">
      <c r="A790" s="8" t="s">
        <v>5871</v>
      </c>
      <c r="B790" t="s">
        <v>5872</v>
      </c>
    </row>
    <row r="791" spans="1:2">
      <c r="A791" s="8" t="s">
        <v>4667</v>
      </c>
      <c r="B791" t="s">
        <v>3680</v>
      </c>
    </row>
    <row r="792" spans="1:2">
      <c r="A792" s="8" t="s">
        <v>5873</v>
      </c>
      <c r="B792" t="s">
        <v>2452</v>
      </c>
    </row>
    <row r="793" spans="1:2">
      <c r="A793" s="8" t="s">
        <v>2729</v>
      </c>
      <c r="B793" t="s">
        <v>2731</v>
      </c>
    </row>
    <row r="794" spans="1:2">
      <c r="A794" s="8" t="s">
        <v>4669</v>
      </c>
      <c r="B794" t="s">
        <v>2731</v>
      </c>
    </row>
    <row r="795" spans="1:2">
      <c r="A795" s="8" t="s">
        <v>5874</v>
      </c>
      <c r="B795" t="s">
        <v>5875</v>
      </c>
    </row>
    <row r="796" spans="1:2">
      <c r="A796" s="8" t="s">
        <v>4670</v>
      </c>
      <c r="B796" t="s">
        <v>2731</v>
      </c>
    </row>
    <row r="797" spans="1:2">
      <c r="A797" s="8" t="s">
        <v>5876</v>
      </c>
      <c r="B797" t="s">
        <v>5793</v>
      </c>
    </row>
    <row r="798" spans="1:2">
      <c r="A798" s="8" t="s">
        <v>4671</v>
      </c>
      <c r="B798" t="s">
        <v>5877</v>
      </c>
    </row>
    <row r="799" spans="1:2">
      <c r="A799" s="8" t="s">
        <v>5878</v>
      </c>
      <c r="B799" t="s">
        <v>5879</v>
      </c>
    </row>
    <row r="800" spans="1:2">
      <c r="A800" s="8" t="s">
        <v>4674</v>
      </c>
      <c r="B800" t="s">
        <v>3680</v>
      </c>
    </row>
    <row r="801" spans="1:2">
      <c r="A801" s="8" t="s">
        <v>4678</v>
      </c>
      <c r="B801" t="s">
        <v>5880</v>
      </c>
    </row>
    <row r="802" spans="1:2">
      <c r="A802" s="8" t="s">
        <v>5881</v>
      </c>
      <c r="B802" t="s">
        <v>5882</v>
      </c>
    </row>
    <row r="803" spans="1:2">
      <c r="A803" s="8" t="s">
        <v>5883</v>
      </c>
      <c r="B803" t="s">
        <v>5884</v>
      </c>
    </row>
    <row r="804" spans="1:2">
      <c r="A804" s="8" t="s">
        <v>5885</v>
      </c>
      <c r="B804" t="s">
        <v>5886</v>
      </c>
    </row>
    <row r="805" spans="1:2">
      <c r="A805" s="8" t="s">
        <v>5887</v>
      </c>
      <c r="B805" t="s">
        <v>5886</v>
      </c>
    </row>
    <row r="806" spans="1:2">
      <c r="A806" s="8" t="s">
        <v>5888</v>
      </c>
      <c r="B806" t="s">
        <v>5886</v>
      </c>
    </row>
    <row r="807" spans="1:2">
      <c r="A807" s="8" t="s">
        <v>5889</v>
      </c>
      <c r="B807" t="s">
        <v>5886</v>
      </c>
    </row>
    <row r="808" spans="1:2">
      <c r="A808" s="8" t="s">
        <v>5890</v>
      </c>
      <c r="B808" t="s">
        <v>5780</v>
      </c>
    </row>
    <row r="809" spans="1:2">
      <c r="A809" s="8" t="s">
        <v>5891</v>
      </c>
      <c r="B809" t="s">
        <v>5892</v>
      </c>
    </row>
    <row r="810" spans="1:2">
      <c r="A810" s="8" t="s">
        <v>5893</v>
      </c>
      <c r="B810" t="s">
        <v>2636</v>
      </c>
    </row>
    <row r="811" spans="1:2">
      <c r="A811" s="8" t="s">
        <v>4682</v>
      </c>
      <c r="B811" t="s">
        <v>5894</v>
      </c>
    </row>
    <row r="812" spans="1:2">
      <c r="A812" s="8" t="s">
        <v>4684</v>
      </c>
      <c r="B812" t="s">
        <v>5895</v>
      </c>
    </row>
    <row r="813" spans="1:2">
      <c r="A813" s="8" t="s">
        <v>5896</v>
      </c>
      <c r="B813" t="s">
        <v>3116</v>
      </c>
    </row>
    <row r="814" spans="1:2">
      <c r="A814" s="8" t="s">
        <v>4686</v>
      </c>
      <c r="B814" t="s">
        <v>5897</v>
      </c>
    </row>
    <row r="815" spans="1:2">
      <c r="A815" s="8" t="s">
        <v>5898</v>
      </c>
      <c r="B815" t="s">
        <v>2777</v>
      </c>
    </row>
    <row r="816" spans="1:2">
      <c r="A816" s="8" t="s">
        <v>5899</v>
      </c>
      <c r="B816" t="s">
        <v>2381</v>
      </c>
    </row>
    <row r="817" spans="1:2">
      <c r="A817" s="8" t="s">
        <v>5900</v>
      </c>
      <c r="B817" t="s">
        <v>2381</v>
      </c>
    </row>
    <row r="818" spans="1:2">
      <c r="A818" s="8" t="s">
        <v>2759</v>
      </c>
      <c r="B818" t="s">
        <v>5901</v>
      </c>
    </row>
    <row r="819" spans="1:2">
      <c r="A819" s="8" t="s">
        <v>4690</v>
      </c>
      <c r="B819" t="s">
        <v>5902</v>
      </c>
    </row>
    <row r="820" spans="1:2">
      <c r="A820" s="8" t="s">
        <v>5903</v>
      </c>
      <c r="B820" t="s">
        <v>5904</v>
      </c>
    </row>
    <row r="821" spans="1:2">
      <c r="A821" s="8" t="s">
        <v>5905</v>
      </c>
      <c r="B821" t="s">
        <v>5904</v>
      </c>
    </row>
    <row r="822" spans="1:2">
      <c r="A822" s="8" t="s">
        <v>5906</v>
      </c>
      <c r="B822" t="s">
        <v>5907</v>
      </c>
    </row>
    <row r="823" spans="1:2">
      <c r="A823" s="8" t="s">
        <v>5908</v>
      </c>
      <c r="B823" t="s">
        <v>5909</v>
      </c>
    </row>
    <row r="824" spans="1:2">
      <c r="A824" s="8" t="s">
        <v>5910</v>
      </c>
      <c r="B824" t="s">
        <v>5911</v>
      </c>
    </row>
    <row r="825" spans="1:2">
      <c r="A825" s="8" t="s">
        <v>4692</v>
      </c>
      <c r="B825" t="s">
        <v>5911</v>
      </c>
    </row>
    <row r="826" spans="1:2">
      <c r="A826" s="8" t="s">
        <v>5912</v>
      </c>
      <c r="B826" t="s">
        <v>2864</v>
      </c>
    </row>
    <row r="827" spans="1:2">
      <c r="A827" s="8" t="s">
        <v>2802</v>
      </c>
      <c r="B827" t="s">
        <v>5913</v>
      </c>
    </row>
    <row r="828" spans="1:2">
      <c r="A828" s="8" t="s">
        <v>5914</v>
      </c>
      <c r="B828" t="s">
        <v>5915</v>
      </c>
    </row>
    <row r="829" spans="1:2">
      <c r="A829" s="8" t="s">
        <v>4698</v>
      </c>
      <c r="B829" t="s">
        <v>5916</v>
      </c>
    </row>
    <row r="830" spans="1:2">
      <c r="A830" s="8" t="s">
        <v>4700</v>
      </c>
      <c r="B830" t="s">
        <v>2820</v>
      </c>
    </row>
    <row r="831" spans="1:2">
      <c r="A831" s="8" t="s">
        <v>5917</v>
      </c>
      <c r="B831" t="s">
        <v>2820</v>
      </c>
    </row>
    <row r="832" spans="1:2">
      <c r="A832" s="8" t="s">
        <v>5918</v>
      </c>
      <c r="B832" t="s">
        <v>5919</v>
      </c>
    </row>
    <row r="833" spans="1:2">
      <c r="A833" s="8" t="s">
        <v>5920</v>
      </c>
      <c r="B833" t="s">
        <v>5921</v>
      </c>
    </row>
    <row r="834" spans="1:2">
      <c r="A834" s="8" t="s">
        <v>5922</v>
      </c>
      <c r="B834" t="s">
        <v>5923</v>
      </c>
    </row>
    <row r="835" spans="1:2">
      <c r="A835" s="8" t="s">
        <v>5924</v>
      </c>
      <c r="B835" t="s">
        <v>5925</v>
      </c>
    </row>
    <row r="836" spans="1:2">
      <c r="A836" s="8" t="s">
        <v>5926</v>
      </c>
      <c r="B836" t="s">
        <v>2875</v>
      </c>
    </row>
    <row r="837" spans="1:2">
      <c r="A837" s="8" t="s">
        <v>4707</v>
      </c>
      <c r="B837" t="s">
        <v>5927</v>
      </c>
    </row>
    <row r="838" spans="1:2">
      <c r="A838" s="8" t="s">
        <v>5928</v>
      </c>
      <c r="B838" t="s">
        <v>5929</v>
      </c>
    </row>
    <row r="839" spans="1:2">
      <c r="A839" s="8" t="s">
        <v>5930</v>
      </c>
      <c r="B839" t="s">
        <v>5929</v>
      </c>
    </row>
    <row r="840" spans="1:2">
      <c r="A840" s="8" t="s">
        <v>5931</v>
      </c>
      <c r="B840" t="s">
        <v>5932</v>
      </c>
    </row>
    <row r="841" spans="1:2">
      <c r="A841" s="8" t="s">
        <v>5933</v>
      </c>
      <c r="B841" t="s">
        <v>5932</v>
      </c>
    </row>
    <row r="842" spans="1:2">
      <c r="A842" s="8" t="s">
        <v>5934</v>
      </c>
      <c r="B842" t="s">
        <v>5932</v>
      </c>
    </row>
    <row r="843" spans="1:2">
      <c r="A843" s="8" t="s">
        <v>5935</v>
      </c>
      <c r="B843" t="s">
        <v>5464</v>
      </c>
    </row>
    <row r="844" spans="1:2">
      <c r="A844" s="8" t="s">
        <v>5936</v>
      </c>
      <c r="B844" t="s">
        <v>5937</v>
      </c>
    </row>
    <row r="845" spans="1:2">
      <c r="A845" s="8" t="s">
        <v>2893</v>
      </c>
      <c r="B845" t="s">
        <v>5413</v>
      </c>
    </row>
    <row r="846" spans="1:2">
      <c r="A846" s="8" t="s">
        <v>5938</v>
      </c>
      <c r="B846" t="s">
        <v>5794</v>
      </c>
    </row>
    <row r="847" spans="1:2">
      <c r="A847" s="8" t="s">
        <v>5939</v>
      </c>
      <c r="B847" t="s">
        <v>5940</v>
      </c>
    </row>
    <row r="848" spans="1:2">
      <c r="A848" s="8" t="s">
        <v>4714</v>
      </c>
      <c r="B848" t="s">
        <v>3680</v>
      </c>
    </row>
    <row r="849" spans="1:2">
      <c r="A849" s="8" t="s">
        <v>5941</v>
      </c>
      <c r="B849" t="s">
        <v>5942</v>
      </c>
    </row>
    <row r="850" spans="1:2">
      <c r="A850" s="8" t="s">
        <v>5943</v>
      </c>
      <c r="B850" t="s">
        <v>2937</v>
      </c>
    </row>
    <row r="851" spans="1:2">
      <c r="A851" s="8" t="s">
        <v>5944</v>
      </c>
      <c r="B851" t="s">
        <v>2937</v>
      </c>
    </row>
    <row r="852" spans="1:2">
      <c r="A852" s="8" t="s">
        <v>5945</v>
      </c>
      <c r="B852" t="s">
        <v>2937</v>
      </c>
    </row>
    <row r="853" spans="1:2">
      <c r="A853" s="8" t="s">
        <v>5946</v>
      </c>
      <c r="B853" t="s">
        <v>2271</v>
      </c>
    </row>
    <row r="854" spans="1:2">
      <c r="A854" s="8" t="s">
        <v>5947</v>
      </c>
      <c r="B854" t="s">
        <v>5948</v>
      </c>
    </row>
    <row r="855" spans="1:2">
      <c r="A855" s="8" t="s">
        <v>5949</v>
      </c>
      <c r="B855" t="s">
        <v>5950</v>
      </c>
    </row>
    <row r="856" spans="1:2">
      <c r="A856" s="8" t="s">
        <v>5951</v>
      </c>
      <c r="B856" t="s">
        <v>2271</v>
      </c>
    </row>
    <row r="857" spans="1:2">
      <c r="A857" s="8" t="s">
        <v>4718</v>
      </c>
      <c r="B857" t="s">
        <v>5952</v>
      </c>
    </row>
    <row r="858" spans="1:2">
      <c r="A858" s="8" t="s">
        <v>4720</v>
      </c>
      <c r="B858" t="s">
        <v>5952</v>
      </c>
    </row>
    <row r="859" spans="1:2">
      <c r="A859" s="8" t="s">
        <v>5953</v>
      </c>
      <c r="B859" t="s">
        <v>2957</v>
      </c>
    </row>
    <row r="860" spans="1:2">
      <c r="A860" s="8" t="s">
        <v>5954</v>
      </c>
      <c r="B860" t="s">
        <v>2951</v>
      </c>
    </row>
    <row r="861" spans="1:2">
      <c r="A861" s="8" t="s">
        <v>5955</v>
      </c>
      <c r="B861" t="s">
        <v>2972</v>
      </c>
    </row>
    <row r="862" spans="1:2">
      <c r="A862" s="8" t="s">
        <v>5956</v>
      </c>
      <c r="B862" t="s">
        <v>2285</v>
      </c>
    </row>
    <row r="863" spans="1:2">
      <c r="A863" s="8" t="s">
        <v>5957</v>
      </c>
      <c r="B863" t="s">
        <v>2285</v>
      </c>
    </row>
    <row r="864" spans="1:2">
      <c r="A864" s="8" t="s">
        <v>5958</v>
      </c>
      <c r="B864" t="s">
        <v>5959</v>
      </c>
    </row>
    <row r="865" spans="1:2">
      <c r="A865" s="8" t="s">
        <v>5960</v>
      </c>
      <c r="B865" t="s">
        <v>5961</v>
      </c>
    </row>
    <row r="866" spans="1:2">
      <c r="A866" s="8" t="s">
        <v>5962</v>
      </c>
      <c r="B866" t="s">
        <v>5961</v>
      </c>
    </row>
    <row r="867" spans="1:2">
      <c r="A867" s="8" t="s">
        <v>5963</v>
      </c>
      <c r="B867" t="s">
        <v>5964</v>
      </c>
    </row>
    <row r="868" spans="1:2">
      <c r="A868" s="8" t="s">
        <v>5965</v>
      </c>
      <c r="B868" t="s">
        <v>5964</v>
      </c>
    </row>
    <row r="869" spans="1:2">
      <c r="A869" s="8" t="s">
        <v>5966</v>
      </c>
      <c r="B869" t="s">
        <v>5967</v>
      </c>
    </row>
    <row r="870" spans="1:2">
      <c r="A870" s="8" t="s">
        <v>4730</v>
      </c>
      <c r="B870" t="s">
        <v>5968</v>
      </c>
    </row>
    <row r="871" spans="1:2">
      <c r="A871" s="8" t="s">
        <v>4732</v>
      </c>
      <c r="B871" t="s">
        <v>5968</v>
      </c>
    </row>
    <row r="872" spans="1:2">
      <c r="A872" s="8" t="s">
        <v>5969</v>
      </c>
      <c r="B872" t="s">
        <v>5970</v>
      </c>
    </row>
    <row r="873" spans="1:2">
      <c r="A873" s="8" t="s">
        <v>5971</v>
      </c>
      <c r="B873" t="s">
        <v>5972</v>
      </c>
    </row>
    <row r="874" spans="1:2">
      <c r="A874" s="8" t="s">
        <v>5973</v>
      </c>
      <c r="B874" t="s">
        <v>5972</v>
      </c>
    </row>
    <row r="875" spans="1:2">
      <c r="A875" s="8" t="s">
        <v>5974</v>
      </c>
      <c r="B875" t="s">
        <v>5975</v>
      </c>
    </row>
    <row r="876" spans="1:2">
      <c r="A876" s="8" t="s">
        <v>5976</v>
      </c>
      <c r="B876" t="s">
        <v>5975</v>
      </c>
    </row>
    <row r="877" spans="1:2">
      <c r="A877" s="8" t="s">
        <v>5977</v>
      </c>
      <c r="B877" t="s">
        <v>5978</v>
      </c>
    </row>
    <row r="878" spans="1:2">
      <c r="A878" s="8" t="s">
        <v>5979</v>
      </c>
      <c r="B878" t="s">
        <v>5978</v>
      </c>
    </row>
    <row r="879" spans="1:2">
      <c r="A879" s="8" t="s">
        <v>5980</v>
      </c>
      <c r="B879" t="s">
        <v>5981</v>
      </c>
    </row>
    <row r="880" spans="1:2">
      <c r="A880" s="8" t="s">
        <v>4733</v>
      </c>
      <c r="B880" t="s">
        <v>5981</v>
      </c>
    </row>
    <row r="881" spans="1:2">
      <c r="A881" s="8" t="s">
        <v>5982</v>
      </c>
      <c r="B881" t="s">
        <v>5983</v>
      </c>
    </row>
    <row r="882" spans="1:2">
      <c r="A882" s="8" t="s">
        <v>4735</v>
      </c>
      <c r="B882" t="s">
        <v>5983</v>
      </c>
    </row>
    <row r="883" spans="1:2">
      <c r="A883" s="8" t="s">
        <v>5984</v>
      </c>
      <c r="B883" t="s">
        <v>5985</v>
      </c>
    </row>
    <row r="884" spans="1:2">
      <c r="A884" s="8" t="s">
        <v>4736</v>
      </c>
      <c r="B884" t="s">
        <v>2331</v>
      </c>
    </row>
    <row r="885" spans="1:2">
      <c r="A885" s="8" t="s">
        <v>5986</v>
      </c>
      <c r="B885" t="s">
        <v>5987</v>
      </c>
    </row>
    <row r="886" spans="1:2">
      <c r="A886" s="8" t="s">
        <v>4757</v>
      </c>
      <c r="B886" t="s">
        <v>5988</v>
      </c>
    </row>
    <row r="887" spans="1:2">
      <c r="A887" s="8" t="s">
        <v>4759</v>
      </c>
      <c r="B887" t="s">
        <v>3024</v>
      </c>
    </row>
    <row r="888" spans="1:2">
      <c r="A888" s="8" t="s">
        <v>5989</v>
      </c>
      <c r="B888" t="s">
        <v>5990</v>
      </c>
    </row>
    <row r="889" spans="1:2">
      <c r="A889" s="8" t="s">
        <v>5991</v>
      </c>
      <c r="B889" t="s">
        <v>5990</v>
      </c>
    </row>
    <row r="890" spans="1:2">
      <c r="A890" s="8" t="s">
        <v>5992</v>
      </c>
      <c r="B890" t="s">
        <v>5993</v>
      </c>
    </row>
    <row r="891" spans="1:2">
      <c r="A891" s="8" t="s">
        <v>5994</v>
      </c>
      <c r="B891" t="s">
        <v>5995</v>
      </c>
    </row>
    <row r="892" spans="1:2">
      <c r="A892" s="8" t="s">
        <v>5996</v>
      </c>
      <c r="B892" t="s">
        <v>5995</v>
      </c>
    </row>
    <row r="893" spans="1:2">
      <c r="A893" s="8" t="s">
        <v>4767</v>
      </c>
      <c r="B893" t="s">
        <v>3044</v>
      </c>
    </row>
    <row r="894" spans="1:2">
      <c r="A894" s="8" t="s">
        <v>4769</v>
      </c>
      <c r="B894" t="s">
        <v>3044</v>
      </c>
    </row>
    <row r="895" spans="1:2">
      <c r="A895" s="8" t="s">
        <v>4770</v>
      </c>
      <c r="B895" t="s">
        <v>3044</v>
      </c>
    </row>
    <row r="896" spans="1:2">
      <c r="A896" s="8" t="s">
        <v>4771</v>
      </c>
      <c r="B896" t="s">
        <v>3044</v>
      </c>
    </row>
    <row r="897" spans="1:2">
      <c r="A897" s="8" t="s">
        <v>3047</v>
      </c>
      <c r="B897" t="s">
        <v>3049</v>
      </c>
    </row>
    <row r="898" spans="1:2">
      <c r="A898" s="8" t="s">
        <v>5997</v>
      </c>
      <c r="B898" t="s">
        <v>3049</v>
      </c>
    </row>
    <row r="899" spans="1:2">
      <c r="A899" s="8" t="s">
        <v>5998</v>
      </c>
      <c r="B899" t="s">
        <v>3049</v>
      </c>
    </row>
    <row r="900" spans="1:2">
      <c r="A900" s="8" t="s">
        <v>5999</v>
      </c>
      <c r="B900" t="s">
        <v>3049</v>
      </c>
    </row>
    <row r="901" spans="1:2">
      <c r="A901" s="8" t="s">
        <v>6000</v>
      </c>
      <c r="B901" t="s">
        <v>3061</v>
      </c>
    </row>
    <row r="902" spans="1:2">
      <c r="A902" s="8" t="s">
        <v>6001</v>
      </c>
      <c r="B902" t="s">
        <v>3061</v>
      </c>
    </row>
    <row r="903" spans="1:2">
      <c r="A903" s="8" t="s">
        <v>4772</v>
      </c>
      <c r="B903" t="s">
        <v>6002</v>
      </c>
    </row>
    <row r="904" spans="1:2">
      <c r="A904" s="8" t="s">
        <v>6003</v>
      </c>
      <c r="B904" t="s">
        <v>3055</v>
      </c>
    </row>
    <row r="905" spans="1:2">
      <c r="A905" s="8" t="s">
        <v>3066</v>
      </c>
      <c r="B905" t="s">
        <v>6004</v>
      </c>
    </row>
    <row r="906" spans="1:2">
      <c r="A906" s="8" t="s">
        <v>6005</v>
      </c>
      <c r="B906" t="s">
        <v>5993</v>
      </c>
    </row>
    <row r="907" spans="1:2">
      <c r="A907" s="8" t="s">
        <v>6006</v>
      </c>
      <c r="B907" t="s">
        <v>6004</v>
      </c>
    </row>
    <row r="908" spans="1:2">
      <c r="A908" s="8" t="s">
        <v>6007</v>
      </c>
      <c r="B908" t="s">
        <v>6004</v>
      </c>
    </row>
    <row r="909" spans="1:2">
      <c r="A909" s="8" t="s">
        <v>6008</v>
      </c>
      <c r="B909" t="s">
        <v>3094</v>
      </c>
    </row>
    <row r="910" spans="1:2">
      <c r="A910" s="8" t="s">
        <v>6009</v>
      </c>
      <c r="B910" t="s">
        <v>3094</v>
      </c>
    </row>
    <row r="911" spans="1:2">
      <c r="A911" s="8" t="s">
        <v>6010</v>
      </c>
      <c r="B911" t="s">
        <v>6011</v>
      </c>
    </row>
    <row r="912" spans="1:2">
      <c r="A912" s="8" t="s">
        <v>6012</v>
      </c>
      <c r="B912" t="s">
        <v>6011</v>
      </c>
    </row>
    <row r="913" spans="1:2">
      <c r="A913" s="8" t="s">
        <v>6013</v>
      </c>
      <c r="B913" t="s">
        <v>6014</v>
      </c>
    </row>
    <row r="914" spans="1:2">
      <c r="A914" s="8" t="s">
        <v>6015</v>
      </c>
      <c r="B914" t="s">
        <v>917</v>
      </c>
    </row>
    <row r="915" spans="1:2">
      <c r="A915" s="8" t="s">
        <v>6016</v>
      </c>
      <c r="B915" t="s">
        <v>917</v>
      </c>
    </row>
    <row r="916" spans="1:2">
      <c r="A916" s="8" t="s">
        <v>4807</v>
      </c>
      <c r="B916" t="s">
        <v>6017</v>
      </c>
    </row>
    <row r="917" spans="1:2">
      <c r="A917" s="8" t="s">
        <v>4809</v>
      </c>
      <c r="B917" t="s">
        <v>6017</v>
      </c>
    </row>
    <row r="918" spans="1:2">
      <c r="A918" s="8" t="s">
        <v>4810</v>
      </c>
      <c r="B918" t="s">
        <v>6017</v>
      </c>
    </row>
    <row r="919" spans="1:2">
      <c r="A919" s="8" t="s">
        <v>6018</v>
      </c>
      <c r="B919" t="s">
        <v>6019</v>
      </c>
    </row>
    <row r="920" spans="1:2">
      <c r="A920" s="8" t="s">
        <v>6020</v>
      </c>
      <c r="B920" t="s">
        <v>6019</v>
      </c>
    </row>
    <row r="921" spans="1:2">
      <c r="A921" s="8" t="s">
        <v>6021</v>
      </c>
      <c r="B921" t="s">
        <v>6019</v>
      </c>
    </row>
    <row r="922" spans="1:2">
      <c r="A922" s="8" t="s">
        <v>6022</v>
      </c>
      <c r="B922" t="s">
        <v>99</v>
      </c>
    </row>
    <row r="923" spans="1:2">
      <c r="A923" s="8" t="s">
        <v>6023</v>
      </c>
      <c r="B923" t="s">
        <v>99</v>
      </c>
    </row>
    <row r="924" spans="1:2">
      <c r="A924" s="8" t="s">
        <v>6024</v>
      </c>
      <c r="B924" t="s">
        <v>6025</v>
      </c>
    </row>
    <row r="925" spans="1:2">
      <c r="A925" s="8" t="s">
        <v>3162</v>
      </c>
      <c r="B925" t="s">
        <v>3164</v>
      </c>
    </row>
    <row r="926" spans="1:2">
      <c r="A926" s="8" t="s">
        <v>4811</v>
      </c>
      <c r="B926" t="s">
        <v>6026</v>
      </c>
    </row>
    <row r="927" spans="1:2">
      <c r="A927" s="8" t="s">
        <v>3171</v>
      </c>
      <c r="B927" t="s">
        <v>3173</v>
      </c>
    </row>
    <row r="928" spans="1:2">
      <c r="A928" s="8" t="s">
        <v>6027</v>
      </c>
      <c r="B928" t="s">
        <v>3173</v>
      </c>
    </row>
    <row r="929" spans="1:2">
      <c r="A929" s="8" t="s">
        <v>6028</v>
      </c>
      <c r="B929" t="s">
        <v>6029</v>
      </c>
    </row>
    <row r="930" spans="1:2">
      <c r="A930" s="8" t="s">
        <v>6030</v>
      </c>
      <c r="B930" t="s">
        <v>2314</v>
      </c>
    </row>
    <row r="931" spans="1:2">
      <c r="A931" s="8" t="s">
        <v>6031</v>
      </c>
      <c r="B931" t="s">
        <v>6032</v>
      </c>
    </row>
    <row r="932" spans="1:2">
      <c r="A932" s="8" t="s">
        <v>6033</v>
      </c>
      <c r="B932" t="s">
        <v>6034</v>
      </c>
    </row>
    <row r="933" spans="1:2">
      <c r="A933" s="8" t="s">
        <v>4813</v>
      </c>
      <c r="B933" t="s">
        <v>6035</v>
      </c>
    </row>
    <row r="934" spans="1:2">
      <c r="A934" s="8" t="s">
        <v>3188</v>
      </c>
      <c r="B934" t="s">
        <v>6036</v>
      </c>
    </row>
    <row r="935" spans="1:2">
      <c r="A935" s="8" t="s">
        <v>6037</v>
      </c>
      <c r="B935" t="s">
        <v>6036</v>
      </c>
    </row>
    <row r="936" spans="1:2">
      <c r="A936" s="8" t="s">
        <v>6038</v>
      </c>
      <c r="B936" t="s">
        <v>5745</v>
      </c>
    </row>
    <row r="937" spans="1:2">
      <c r="A937" s="8" t="s">
        <v>6039</v>
      </c>
      <c r="B937" t="s">
        <v>6040</v>
      </c>
    </row>
    <row r="938" spans="1:2">
      <c r="A938" s="8" t="s">
        <v>4815</v>
      </c>
      <c r="B938" t="s">
        <v>3207</v>
      </c>
    </row>
    <row r="939" spans="1:2">
      <c r="A939" s="8" t="s">
        <v>4817</v>
      </c>
      <c r="B939" t="s">
        <v>3207</v>
      </c>
    </row>
    <row r="940" spans="1:2">
      <c r="A940" s="8" t="s">
        <v>6041</v>
      </c>
      <c r="B940" t="s">
        <v>6042</v>
      </c>
    </row>
    <row r="941" spans="1:2">
      <c r="A941" s="8" t="s">
        <v>6043</v>
      </c>
      <c r="B941" t="s">
        <v>6042</v>
      </c>
    </row>
    <row r="942" spans="1:2">
      <c r="A942" s="8" t="s">
        <v>6044</v>
      </c>
      <c r="B942" t="s">
        <v>6045</v>
      </c>
    </row>
    <row r="943" spans="1:2">
      <c r="A943" s="8" t="s">
        <v>6046</v>
      </c>
      <c r="B943" t="s">
        <v>6045</v>
      </c>
    </row>
    <row r="944" spans="1:2">
      <c r="A944" s="8" t="s">
        <v>6047</v>
      </c>
      <c r="B944" t="s">
        <v>6048</v>
      </c>
    </row>
    <row r="945" spans="1:2">
      <c r="A945" s="8" t="s">
        <v>6049</v>
      </c>
      <c r="B945" t="s">
        <v>253</v>
      </c>
    </row>
    <row r="946" spans="1:2">
      <c r="A946" s="8" t="s">
        <v>6050</v>
      </c>
      <c r="B946" t="s">
        <v>253</v>
      </c>
    </row>
    <row r="947" spans="1:2">
      <c r="A947" s="8" t="s">
        <v>3211</v>
      </c>
      <c r="B947" t="s">
        <v>3213</v>
      </c>
    </row>
    <row r="948" spans="1:2">
      <c r="A948" s="8" t="s">
        <v>6051</v>
      </c>
      <c r="B948" t="s">
        <v>3219</v>
      </c>
    </row>
    <row r="949" spans="1:2">
      <c r="A949" s="8" t="s">
        <v>6052</v>
      </c>
      <c r="B949" t="s">
        <v>1496</v>
      </c>
    </row>
    <row r="950" spans="1:2">
      <c r="A950" s="8" t="s">
        <v>6053</v>
      </c>
      <c r="B950" t="s">
        <v>1496</v>
      </c>
    </row>
    <row r="951" spans="1:2">
      <c r="A951" s="8" t="s">
        <v>6054</v>
      </c>
      <c r="B951" t="s">
        <v>3213</v>
      </c>
    </row>
    <row r="952" spans="1:2">
      <c r="A952" s="8" t="s">
        <v>6055</v>
      </c>
      <c r="B952" t="s">
        <v>3213</v>
      </c>
    </row>
    <row r="953" spans="1:2">
      <c r="A953" s="8" t="s">
        <v>3222</v>
      </c>
      <c r="B953" t="s">
        <v>3224</v>
      </c>
    </row>
    <row r="954" spans="1:2">
      <c r="A954" s="8" t="s">
        <v>6056</v>
      </c>
      <c r="B954" t="s">
        <v>3224</v>
      </c>
    </row>
    <row r="955" spans="1:2">
      <c r="A955" s="8" t="s">
        <v>6057</v>
      </c>
      <c r="B955" t="s">
        <v>6058</v>
      </c>
    </row>
    <row r="956" spans="1:2">
      <c r="A956" s="8" t="s">
        <v>6059</v>
      </c>
      <c r="B956" t="s">
        <v>6058</v>
      </c>
    </row>
    <row r="957" spans="1:2">
      <c r="A957" s="8" t="s">
        <v>4818</v>
      </c>
      <c r="B957" t="s">
        <v>6060</v>
      </c>
    </row>
    <row r="958" spans="1:2">
      <c r="A958" s="8" t="s">
        <v>4820</v>
      </c>
      <c r="B958" t="s">
        <v>6060</v>
      </c>
    </row>
    <row r="959" spans="1:2">
      <c r="A959" s="8" t="s">
        <v>4822</v>
      </c>
      <c r="B959" t="s">
        <v>3230</v>
      </c>
    </row>
    <row r="960" spans="1:2">
      <c r="A960" s="8" t="s">
        <v>6061</v>
      </c>
      <c r="B960" t="s">
        <v>6062</v>
      </c>
    </row>
    <row r="961" spans="1:2">
      <c r="A961" s="8" t="s">
        <v>6063</v>
      </c>
      <c r="B961" t="s">
        <v>6064</v>
      </c>
    </row>
    <row r="962" spans="1:2">
      <c r="A962" s="8" t="s">
        <v>6065</v>
      </c>
      <c r="B962" t="s">
        <v>6066</v>
      </c>
    </row>
    <row r="963" spans="1:2">
      <c r="A963" s="8" t="s">
        <v>4830</v>
      </c>
      <c r="B963" t="s">
        <v>6067</v>
      </c>
    </row>
    <row r="964" spans="1:2">
      <c r="A964" s="8" t="s">
        <v>6068</v>
      </c>
      <c r="B964" t="s">
        <v>6069</v>
      </c>
    </row>
    <row r="965" spans="1:2">
      <c r="A965" s="8" t="s">
        <v>4832</v>
      </c>
      <c r="B965" t="s">
        <v>6070</v>
      </c>
    </row>
    <row r="966" spans="1:2">
      <c r="A966" s="8" t="s">
        <v>4834</v>
      </c>
      <c r="B966" t="s">
        <v>3000</v>
      </c>
    </row>
    <row r="967" spans="1:2">
      <c r="A967" s="8" t="s">
        <v>4835</v>
      </c>
      <c r="B967" t="s">
        <v>3000</v>
      </c>
    </row>
    <row r="968" spans="1:2">
      <c r="A968" s="8" t="s">
        <v>4836</v>
      </c>
      <c r="B968" t="s">
        <v>6071</v>
      </c>
    </row>
    <row r="969" spans="1:2">
      <c r="A969" s="8" t="s">
        <v>6072</v>
      </c>
      <c r="B969" t="s">
        <v>5985</v>
      </c>
    </row>
    <row r="970" spans="1:2">
      <c r="A970" s="8" t="s">
        <v>4837</v>
      </c>
      <c r="B970" t="s">
        <v>2331</v>
      </c>
    </row>
    <row r="971" spans="1:2">
      <c r="A971" s="8" t="s">
        <v>3284</v>
      </c>
      <c r="B971" t="s">
        <v>3286</v>
      </c>
    </row>
    <row r="972" spans="1:2">
      <c r="A972" s="8" t="s">
        <v>4839</v>
      </c>
      <c r="B972" t="s">
        <v>6073</v>
      </c>
    </row>
    <row r="973" spans="1:2">
      <c r="A973" s="8" t="s">
        <v>3293</v>
      </c>
      <c r="B973" t="s">
        <v>3286</v>
      </c>
    </row>
    <row r="974" spans="1:2">
      <c r="A974" s="8" t="s">
        <v>4840</v>
      </c>
      <c r="B974" t="s">
        <v>3286</v>
      </c>
    </row>
    <row r="975" spans="1:2">
      <c r="A975" s="8" t="s">
        <v>6074</v>
      </c>
      <c r="B975" t="s">
        <v>6075</v>
      </c>
    </row>
    <row r="976" spans="1:2">
      <c r="A976" s="8" t="s">
        <v>6076</v>
      </c>
      <c r="B976" t="s">
        <v>5985</v>
      </c>
    </row>
    <row r="977" spans="1:2">
      <c r="A977" s="8" t="s">
        <v>6077</v>
      </c>
      <c r="B977" t="s">
        <v>6078</v>
      </c>
    </row>
    <row r="978" spans="1:2">
      <c r="A978" s="8" t="s">
        <v>4841</v>
      </c>
      <c r="B978" t="s">
        <v>2331</v>
      </c>
    </row>
    <row r="979" spans="1:2">
      <c r="A979" s="8" t="s">
        <v>6079</v>
      </c>
      <c r="B979" t="s">
        <v>6080</v>
      </c>
    </row>
    <row r="980" spans="1:2">
      <c r="A980" s="8" t="s">
        <v>3297</v>
      </c>
      <c r="B980" t="s">
        <v>3299</v>
      </c>
    </row>
    <row r="981" spans="1:2">
      <c r="A981" s="8" t="s">
        <v>4842</v>
      </c>
      <c r="B981" t="s">
        <v>3299</v>
      </c>
    </row>
    <row r="982" spans="1:2">
      <c r="A982" s="8" t="s">
        <v>4843</v>
      </c>
      <c r="B982" t="s">
        <v>3299</v>
      </c>
    </row>
    <row r="983" spans="1:2">
      <c r="A983" s="8" t="s">
        <v>6081</v>
      </c>
      <c r="B983" t="s">
        <v>5972</v>
      </c>
    </row>
    <row r="984" spans="1:2">
      <c r="A984" s="8" t="s">
        <v>4844</v>
      </c>
      <c r="B984" t="s">
        <v>6082</v>
      </c>
    </row>
    <row r="985" spans="1:2">
      <c r="A985" s="8" t="s">
        <v>6083</v>
      </c>
      <c r="B985" t="s">
        <v>6084</v>
      </c>
    </row>
    <row r="986" spans="1:2">
      <c r="A986" s="8" t="s">
        <v>6085</v>
      </c>
      <c r="B986" t="s">
        <v>3238</v>
      </c>
    </row>
    <row r="987" spans="1:2">
      <c r="A987" s="8" t="s">
        <v>6086</v>
      </c>
      <c r="B987" t="s">
        <v>6087</v>
      </c>
    </row>
    <row r="988" spans="1:2">
      <c r="A988" s="8" t="s">
        <v>4846</v>
      </c>
      <c r="B988" t="s">
        <v>6088</v>
      </c>
    </row>
    <row r="989" spans="1:2">
      <c r="A989" s="8" t="s">
        <v>3692</v>
      </c>
      <c r="B989" t="s">
        <v>923</v>
      </c>
    </row>
    <row r="990" spans="1:2">
      <c r="A990" s="8" t="s">
        <v>4848</v>
      </c>
      <c r="B990" t="s">
        <v>6089</v>
      </c>
    </row>
    <row r="991" spans="1:2">
      <c r="A991" s="8" t="s">
        <v>6090</v>
      </c>
      <c r="B991" t="s">
        <v>6091</v>
      </c>
    </row>
    <row r="992" spans="1:2">
      <c r="A992" s="8" t="s">
        <v>6092</v>
      </c>
      <c r="B992" t="s">
        <v>2341</v>
      </c>
    </row>
    <row r="993" spans="1:2">
      <c r="A993" s="8" t="s">
        <v>6093</v>
      </c>
      <c r="B993" t="s">
        <v>3238</v>
      </c>
    </row>
    <row r="994" spans="1:2">
      <c r="A994" s="8" t="s">
        <v>3756</v>
      </c>
      <c r="B994" t="s">
        <v>3758</v>
      </c>
    </row>
    <row r="995" spans="1:2">
      <c r="A995" s="8" t="s">
        <v>6094</v>
      </c>
      <c r="B995" t="s">
        <v>3758</v>
      </c>
    </row>
    <row r="996" spans="1:2">
      <c r="A996" s="8" t="s">
        <v>6095</v>
      </c>
      <c r="B996" t="s">
        <v>3764</v>
      </c>
    </row>
    <row r="997" spans="1:2">
      <c r="A997" s="8" t="s">
        <v>4855</v>
      </c>
      <c r="B997" t="s">
        <v>6096</v>
      </c>
    </row>
    <row r="998" spans="1:2">
      <c r="A998" s="8" t="s">
        <v>4856</v>
      </c>
      <c r="B998" t="s">
        <v>6097</v>
      </c>
    </row>
    <row r="999" spans="1:2">
      <c r="A999" s="8" t="s">
        <v>4857</v>
      </c>
      <c r="B999" t="s">
        <v>2368</v>
      </c>
    </row>
    <row r="1000" spans="1:2">
      <c r="A1000" s="8" t="s">
        <v>4859</v>
      </c>
      <c r="B1000" t="s">
        <v>2368</v>
      </c>
    </row>
    <row r="1001" spans="1:2">
      <c r="A1001" s="8" t="s">
        <v>6098</v>
      </c>
      <c r="B1001" t="s">
        <v>6099</v>
      </c>
    </row>
    <row r="1002" spans="1:2">
      <c r="A1002" s="8" t="s">
        <v>6100</v>
      </c>
      <c r="B1002" t="s">
        <v>6101</v>
      </c>
    </row>
    <row r="1003" spans="1:2">
      <c r="A1003" s="8" t="s">
        <v>6102</v>
      </c>
      <c r="B1003" t="s">
        <v>5151</v>
      </c>
    </row>
    <row r="1004" spans="1:2">
      <c r="A1004" s="8" t="s">
        <v>4860</v>
      </c>
      <c r="B1004" t="s">
        <v>3794</v>
      </c>
    </row>
    <row r="1005" spans="1:2">
      <c r="A1005" s="8" t="s">
        <v>6103</v>
      </c>
      <c r="B1005" t="s">
        <v>5350</v>
      </c>
    </row>
    <row r="1006" spans="1:2">
      <c r="A1006" s="8" t="s">
        <v>6104</v>
      </c>
      <c r="B1006" t="s">
        <v>5350</v>
      </c>
    </row>
    <row r="1007" spans="1:2">
      <c r="A1007" s="8" t="s">
        <v>4862</v>
      </c>
      <c r="B1007" t="s">
        <v>6105</v>
      </c>
    </row>
    <row r="1008" spans="1:2">
      <c r="A1008" s="8" t="s">
        <v>6106</v>
      </c>
      <c r="B1008" t="s">
        <v>6105</v>
      </c>
    </row>
    <row r="1009" spans="1:2">
      <c r="A1009" s="8" t="s">
        <v>6107</v>
      </c>
      <c r="B1009" t="s">
        <v>6108</v>
      </c>
    </row>
    <row r="1010" spans="1:2">
      <c r="A1010" s="8" t="s">
        <v>6109</v>
      </c>
      <c r="B1010" t="s">
        <v>6110</v>
      </c>
    </row>
    <row r="1011" spans="1:2">
      <c r="A1011" s="8" t="s">
        <v>6111</v>
      </c>
      <c r="B1011" t="s">
        <v>6112</v>
      </c>
    </row>
    <row r="1012" spans="1:2">
      <c r="A1012" s="8" t="s">
        <v>6113</v>
      </c>
      <c r="B1012" t="s">
        <v>6114</v>
      </c>
    </row>
    <row r="1013" spans="1:2">
      <c r="A1013" s="8" t="s">
        <v>4864</v>
      </c>
      <c r="B1013" t="s">
        <v>3794</v>
      </c>
    </row>
    <row r="1014" spans="1:2">
      <c r="A1014" s="8" t="s">
        <v>6115</v>
      </c>
      <c r="B1014" t="s">
        <v>6116</v>
      </c>
    </row>
    <row r="1015" spans="1:2">
      <c r="A1015" s="8" t="s">
        <v>6117</v>
      </c>
      <c r="B1015" t="s">
        <v>6097</v>
      </c>
    </row>
    <row r="1016" spans="1:2">
      <c r="A1016" s="8" t="s">
        <v>6118</v>
      </c>
      <c r="B1016" t="s">
        <v>6119</v>
      </c>
    </row>
    <row r="1017" spans="1:2">
      <c r="A1017" s="8" t="s">
        <v>6120</v>
      </c>
      <c r="B1017" t="s">
        <v>6121</v>
      </c>
    </row>
    <row r="1018" spans="1:2">
      <c r="A1018" s="8" t="s">
        <v>6122</v>
      </c>
      <c r="B1018" t="s">
        <v>3454</v>
      </c>
    </row>
    <row r="1019" spans="1:2">
      <c r="A1019" s="8" t="s">
        <v>6123</v>
      </c>
      <c r="B1019" t="s">
        <v>2372</v>
      </c>
    </row>
    <row r="1020" spans="1:2">
      <c r="A1020" s="8" t="s">
        <v>6124</v>
      </c>
      <c r="B1020" t="s">
        <v>6125</v>
      </c>
    </row>
    <row r="1021" spans="1:2">
      <c r="A1021" s="8" t="s">
        <v>6126</v>
      </c>
      <c r="B1021" t="s">
        <v>6127</v>
      </c>
    </row>
    <row r="1022" spans="1:2">
      <c r="A1022" s="8" t="s">
        <v>6128</v>
      </c>
      <c r="B1022" t="s">
        <v>6129</v>
      </c>
    </row>
    <row r="1023" spans="1:2">
      <c r="A1023" s="8" t="s">
        <v>6130</v>
      </c>
      <c r="B1023" t="s">
        <v>6131</v>
      </c>
    </row>
    <row r="1024" spans="1:2">
      <c r="A1024" s="8" t="s">
        <v>6132</v>
      </c>
      <c r="B1024" t="s">
        <v>6133</v>
      </c>
    </row>
    <row r="1025" spans="1:2">
      <c r="A1025" s="8" t="s">
        <v>6134</v>
      </c>
      <c r="B1025" t="s">
        <v>6135</v>
      </c>
    </row>
    <row r="1026" spans="1:2">
      <c r="A1026" s="8" t="s">
        <v>6136</v>
      </c>
      <c r="B1026" t="s">
        <v>6137</v>
      </c>
    </row>
    <row r="1027" spans="1:2">
      <c r="A1027" s="8" t="s">
        <v>6138</v>
      </c>
      <c r="B1027" t="s">
        <v>6139</v>
      </c>
    </row>
    <row r="1028" spans="1:2">
      <c r="A1028" s="8" t="s">
        <v>6140</v>
      </c>
      <c r="B1028" t="s">
        <v>6133</v>
      </c>
    </row>
    <row r="1029" spans="1:2">
      <c r="A1029" s="8" t="s">
        <v>4873</v>
      </c>
      <c r="B1029" t="s">
        <v>6141</v>
      </c>
    </row>
    <row r="1030" spans="1:2">
      <c r="A1030" s="8" t="s">
        <v>6142</v>
      </c>
      <c r="B1030" t="s">
        <v>6143</v>
      </c>
    </row>
    <row r="1031" spans="1:2">
      <c r="A1031" s="8" t="s">
        <v>4877</v>
      </c>
      <c r="B1031" t="s">
        <v>6144</v>
      </c>
    </row>
    <row r="1032" spans="1:2">
      <c r="A1032" s="8" t="s">
        <v>6145</v>
      </c>
      <c r="B1032" t="s">
        <v>6146</v>
      </c>
    </row>
    <row r="1033" spans="1:2">
      <c r="A1033" s="8" t="s">
        <v>6147</v>
      </c>
      <c r="B1033" t="s">
        <v>6146</v>
      </c>
    </row>
    <row r="1034" spans="1:2">
      <c r="A1034" s="8" t="s">
        <v>4885</v>
      </c>
      <c r="B1034" t="s">
        <v>6148</v>
      </c>
    </row>
    <row r="1035" spans="1:2">
      <c r="A1035" s="8" t="s">
        <v>6149</v>
      </c>
      <c r="B1035" t="s">
        <v>2376</v>
      </c>
    </row>
    <row r="1036" spans="1:2">
      <c r="A1036" s="8" t="s">
        <v>6150</v>
      </c>
      <c r="B1036" t="s">
        <v>2376</v>
      </c>
    </row>
    <row r="1037" spans="1:2">
      <c r="A1037" s="8" t="s">
        <v>6151</v>
      </c>
      <c r="B1037" t="s">
        <v>2372</v>
      </c>
    </row>
    <row r="1038" spans="1:2">
      <c r="A1038" s="8" t="s">
        <v>6152</v>
      </c>
      <c r="B1038" t="s">
        <v>2372</v>
      </c>
    </row>
    <row r="1039" spans="1:2">
      <c r="A1039" s="8" t="s">
        <v>6153</v>
      </c>
      <c r="B1039" t="s">
        <v>6154</v>
      </c>
    </row>
    <row r="1040" spans="1:2">
      <c r="A1040" s="8" t="s">
        <v>6155</v>
      </c>
      <c r="B1040" t="s">
        <v>6156</v>
      </c>
    </row>
    <row r="1041" spans="1:2">
      <c r="A1041" s="8" t="s">
        <v>6157</v>
      </c>
      <c r="B1041" t="s">
        <v>6158</v>
      </c>
    </row>
    <row r="1042" spans="1:2">
      <c r="A1042" s="8" t="s">
        <v>6159</v>
      </c>
      <c r="B1042" t="s">
        <v>6158</v>
      </c>
    </row>
    <row r="1043" spans="1:2">
      <c r="A1043" s="8" t="s">
        <v>4887</v>
      </c>
      <c r="B1043" t="s">
        <v>6105</v>
      </c>
    </row>
    <row r="1044" spans="1:2">
      <c r="A1044" s="8" t="s">
        <v>6160</v>
      </c>
      <c r="B1044" t="s">
        <v>3844</v>
      </c>
    </row>
    <row r="1045" spans="1:2">
      <c r="A1045" s="8" t="s">
        <v>4889</v>
      </c>
      <c r="B1045" t="s">
        <v>6161</v>
      </c>
    </row>
    <row r="1046" spans="1:2">
      <c r="A1046" s="8" t="s">
        <v>6162</v>
      </c>
      <c r="B1046" t="s">
        <v>6163</v>
      </c>
    </row>
    <row r="1047" spans="1:2">
      <c r="A1047" s="8" t="s">
        <v>4932</v>
      </c>
      <c r="B1047" t="s">
        <v>6164</v>
      </c>
    </row>
    <row r="1048" spans="1:2">
      <c r="A1048" s="8" t="s">
        <v>6165</v>
      </c>
      <c r="B1048" t="s">
        <v>6166</v>
      </c>
    </row>
    <row r="1049" spans="1:2">
      <c r="A1049" s="8" t="s">
        <v>6167</v>
      </c>
      <c r="B1049" t="s">
        <v>6166</v>
      </c>
    </row>
    <row r="1050" spans="1:2">
      <c r="A1050" s="8" t="s">
        <v>4934</v>
      </c>
      <c r="B1050" t="s">
        <v>6168</v>
      </c>
    </row>
    <row r="1051" spans="1:2">
      <c r="A1051" s="8" t="s">
        <v>4936</v>
      </c>
      <c r="B1051" t="s">
        <v>6168</v>
      </c>
    </row>
    <row r="1052" spans="1:2">
      <c r="A1052" s="8" t="s">
        <v>6169</v>
      </c>
      <c r="B1052" t="s">
        <v>6170</v>
      </c>
    </row>
    <row r="1053" spans="1:2">
      <c r="A1053" s="8" t="s">
        <v>4940</v>
      </c>
      <c r="B1053" t="s">
        <v>2510</v>
      </c>
    </row>
    <row r="1054" spans="1:2">
      <c r="A1054" s="8" t="s">
        <v>6171</v>
      </c>
      <c r="B1054" t="s">
        <v>6172</v>
      </c>
    </row>
    <row r="1055" spans="1:2">
      <c r="A1055" s="8" t="s">
        <v>3874</v>
      </c>
      <c r="B1055" t="s">
        <v>3876</v>
      </c>
    </row>
    <row r="1056" spans="1:2">
      <c r="A1056" s="8" t="s">
        <v>6173</v>
      </c>
      <c r="B1056" t="s">
        <v>3876</v>
      </c>
    </row>
    <row r="1057" spans="1:2">
      <c r="A1057" s="8" t="s">
        <v>6174</v>
      </c>
      <c r="B1057" t="s">
        <v>827</v>
      </c>
    </row>
    <row r="1058" spans="1:2">
      <c r="A1058" s="8" t="s">
        <v>6175</v>
      </c>
      <c r="B1058" t="s">
        <v>827</v>
      </c>
    </row>
    <row r="1059" spans="1:2">
      <c r="A1059" s="8" t="s">
        <v>4942</v>
      </c>
      <c r="B1059" t="s">
        <v>6176</v>
      </c>
    </row>
    <row r="1060" spans="1:2">
      <c r="A1060" s="8" t="s">
        <v>6177</v>
      </c>
      <c r="B1060" t="s">
        <v>6178</v>
      </c>
    </row>
    <row r="1061" spans="1:2">
      <c r="A1061" s="8" t="s">
        <v>6179</v>
      </c>
      <c r="B1061" t="s">
        <v>6180</v>
      </c>
    </row>
    <row r="1062" spans="1:2">
      <c r="A1062" s="8" t="s">
        <v>6181</v>
      </c>
      <c r="B1062" t="s">
        <v>3401</v>
      </c>
    </row>
    <row r="1063" spans="1:2">
      <c r="A1063" s="8" t="s">
        <v>4944</v>
      </c>
      <c r="B1063" t="s">
        <v>3892</v>
      </c>
    </row>
    <row r="1064" spans="1:2">
      <c r="A1064" s="8" t="s">
        <v>6182</v>
      </c>
      <c r="B1064" t="s">
        <v>3892</v>
      </c>
    </row>
    <row r="1065" spans="1:2">
      <c r="A1065" s="8" t="s">
        <v>6183</v>
      </c>
      <c r="B1065" t="s">
        <v>6184</v>
      </c>
    </row>
    <row r="1066" spans="1:2">
      <c r="A1066" s="8" t="s">
        <v>6185</v>
      </c>
      <c r="B1066" t="s">
        <v>6184</v>
      </c>
    </row>
    <row r="1067" spans="1:2">
      <c r="A1067" s="8" t="s">
        <v>3904</v>
      </c>
      <c r="B1067" t="s">
        <v>5475</v>
      </c>
    </row>
    <row r="1068" spans="1:2">
      <c r="A1068" s="8" t="s">
        <v>6186</v>
      </c>
      <c r="B1068" t="s">
        <v>6187</v>
      </c>
    </row>
    <row r="1069" spans="1:2">
      <c r="A1069" s="8" t="s">
        <v>6188</v>
      </c>
      <c r="B1069" t="s">
        <v>6187</v>
      </c>
    </row>
    <row r="1070" spans="1:2">
      <c r="A1070" s="8" t="s">
        <v>6189</v>
      </c>
      <c r="B1070" t="s">
        <v>6190</v>
      </c>
    </row>
    <row r="1071" spans="1:2">
      <c r="A1071" s="8" t="s">
        <v>6191</v>
      </c>
      <c r="B1071" t="s">
        <v>3935</v>
      </c>
    </row>
    <row r="1072" spans="1:2">
      <c r="A1072" s="8" t="s">
        <v>6192</v>
      </c>
      <c r="B1072" t="s">
        <v>6193</v>
      </c>
    </row>
    <row r="1073" spans="1:2">
      <c r="A1073" s="8" t="s">
        <v>6194</v>
      </c>
      <c r="B1073" t="s">
        <v>6195</v>
      </c>
    </row>
    <row r="1074" spans="1:2">
      <c r="A1074" s="8" t="s">
        <v>4948</v>
      </c>
      <c r="B1074" t="s">
        <v>5384</v>
      </c>
    </row>
    <row r="1075" spans="1:2">
      <c r="A1075" s="8" t="s">
        <v>4949</v>
      </c>
      <c r="B1075" t="s">
        <v>6196</v>
      </c>
    </row>
    <row r="1076" spans="1:2">
      <c r="A1076" s="8" t="s">
        <v>6197</v>
      </c>
      <c r="B1076" t="s">
        <v>6198</v>
      </c>
    </row>
    <row r="1077" spans="1:2">
      <c r="A1077" s="8" t="s">
        <v>6199</v>
      </c>
      <c r="B1077" t="s">
        <v>3953</v>
      </c>
    </row>
    <row r="1078" spans="1:2">
      <c r="A1078" s="8" t="s">
        <v>6200</v>
      </c>
      <c r="B1078" t="s">
        <v>6201</v>
      </c>
    </row>
    <row r="1079" spans="1:2">
      <c r="A1079" s="8" t="s">
        <v>6202</v>
      </c>
      <c r="B1079" t="s">
        <v>6201</v>
      </c>
    </row>
    <row r="1080" spans="1:2">
      <c r="A1080" s="8" t="s">
        <v>6203</v>
      </c>
      <c r="B1080" t="s">
        <v>1704</v>
      </c>
    </row>
    <row r="1081" spans="1:2">
      <c r="A1081" s="8" t="s">
        <v>6204</v>
      </c>
      <c r="B1081" t="s">
        <v>6017</v>
      </c>
    </row>
    <row r="1082" spans="1:2">
      <c r="A1082" s="8" t="s">
        <v>4951</v>
      </c>
      <c r="B1082" t="s">
        <v>6017</v>
      </c>
    </row>
    <row r="1083" spans="1:2">
      <c r="A1083" s="8" t="s">
        <v>4953</v>
      </c>
      <c r="B1083" t="s">
        <v>6017</v>
      </c>
    </row>
    <row r="1084" spans="1:2">
      <c r="A1084" s="8" t="s">
        <v>6205</v>
      </c>
      <c r="B1084" t="s">
        <v>3961</v>
      </c>
    </row>
    <row r="1085" spans="1:2">
      <c r="A1085" s="8" t="s">
        <v>6206</v>
      </c>
      <c r="B1085" t="s">
        <v>6207</v>
      </c>
    </row>
    <row r="1086" spans="1:2">
      <c r="A1086" s="8" t="s">
        <v>6208</v>
      </c>
      <c r="B1086" t="s">
        <v>3985</v>
      </c>
    </row>
    <row r="1087" spans="1:2">
      <c r="A1087" s="8" t="s">
        <v>6209</v>
      </c>
      <c r="B1087" t="s">
        <v>6210</v>
      </c>
    </row>
    <row r="1088" spans="1:2">
      <c r="A1088" s="8" t="s">
        <v>6211</v>
      </c>
      <c r="B1088" t="s">
        <v>333</v>
      </c>
    </row>
    <row r="1089" spans="1:2">
      <c r="A1089" s="8" t="s">
        <v>4954</v>
      </c>
      <c r="B1089" t="s">
        <v>6212</v>
      </c>
    </row>
    <row r="1090" spans="1:2">
      <c r="A1090" s="8" t="s">
        <v>6213</v>
      </c>
      <c r="B1090" t="s">
        <v>6214</v>
      </c>
    </row>
    <row r="1091" spans="1:2">
      <c r="A1091" s="8" t="s">
        <v>6215</v>
      </c>
      <c r="B1091" t="s">
        <v>6216</v>
      </c>
    </row>
    <row r="1092" spans="1:2">
      <c r="A1092" s="8" t="s">
        <v>6217</v>
      </c>
      <c r="B1092" t="s">
        <v>6218</v>
      </c>
    </row>
    <row r="1093" spans="1:2">
      <c r="A1093" s="8" t="s">
        <v>6219</v>
      </c>
      <c r="B1093" t="s">
        <v>6220</v>
      </c>
    </row>
    <row r="1094" spans="1:2">
      <c r="A1094" s="8" t="s">
        <v>6221</v>
      </c>
      <c r="B1094" t="s">
        <v>3340</v>
      </c>
    </row>
    <row r="1095" spans="1:2">
      <c r="A1095" s="8" t="s">
        <v>4956</v>
      </c>
      <c r="B1095" t="s">
        <v>6222</v>
      </c>
    </row>
    <row r="1096" spans="1:2">
      <c r="A1096" s="8" t="s">
        <v>4958</v>
      </c>
      <c r="B1096" t="s">
        <v>6222</v>
      </c>
    </row>
    <row r="1097" spans="1:2">
      <c r="A1097" s="8" t="s">
        <v>6223</v>
      </c>
      <c r="B1097" t="s">
        <v>5268</v>
      </c>
    </row>
    <row r="1098" spans="1:2">
      <c r="A1098" s="8" t="s">
        <v>6224</v>
      </c>
      <c r="B1098" t="s">
        <v>6225</v>
      </c>
    </row>
    <row r="1099" spans="1:2">
      <c r="A1099" s="8" t="s">
        <v>4959</v>
      </c>
      <c r="B1099" t="s">
        <v>6226</v>
      </c>
    </row>
    <row r="1100" spans="1:2">
      <c r="A1100" s="8" t="s">
        <v>6227</v>
      </c>
      <c r="B1100" t="s">
        <v>6228</v>
      </c>
    </row>
    <row r="1101" spans="1:2">
      <c r="A1101" s="8" t="s">
        <v>4051</v>
      </c>
      <c r="B1101" t="s">
        <v>6229</v>
      </c>
    </row>
    <row r="1102" spans="1:2">
      <c r="A1102" s="8" t="s">
        <v>6230</v>
      </c>
      <c r="B1102" t="s">
        <v>2899</v>
      </c>
    </row>
    <row r="1103" spans="1:2">
      <c r="A1103" s="8" t="s">
        <v>6231</v>
      </c>
      <c r="B1103" t="s">
        <v>6232</v>
      </c>
    </row>
    <row r="1104" spans="1:2">
      <c r="A1104" s="8" t="s">
        <v>4961</v>
      </c>
      <c r="B1104" t="s">
        <v>6233</v>
      </c>
    </row>
    <row r="1105" spans="1:2">
      <c r="A1105" s="8" t="s">
        <v>4056</v>
      </c>
      <c r="B1105" t="s">
        <v>3471</v>
      </c>
    </row>
    <row r="1106" spans="1:2">
      <c r="A1106" s="8" t="s">
        <v>4059</v>
      </c>
      <c r="B1106" t="s">
        <v>4061</v>
      </c>
    </row>
    <row r="1107" spans="1:2">
      <c r="A1107" s="8" t="s">
        <v>4962</v>
      </c>
      <c r="B1107" t="s">
        <v>6234</v>
      </c>
    </row>
    <row r="1108" spans="1:2">
      <c r="A1108" s="8" t="s">
        <v>4964</v>
      </c>
      <c r="B1108" t="s">
        <v>6234</v>
      </c>
    </row>
    <row r="1109" spans="1:2">
      <c r="A1109" s="8" t="s">
        <v>6235</v>
      </c>
      <c r="B1109" t="s">
        <v>4065</v>
      </c>
    </row>
    <row r="1110" spans="1:2">
      <c r="A1110" s="8" t="s">
        <v>4968</v>
      </c>
      <c r="B1110" t="s">
        <v>6236</v>
      </c>
    </row>
    <row r="1111" spans="1:2">
      <c r="A1111" s="8" t="s">
        <v>4970</v>
      </c>
      <c r="B1111" t="s">
        <v>6236</v>
      </c>
    </row>
    <row r="1112" spans="1:2">
      <c r="A1112" s="8" t="s">
        <v>6237</v>
      </c>
      <c r="B1112" t="s">
        <v>6238</v>
      </c>
    </row>
    <row r="1113" spans="1:2">
      <c r="A1113" s="8" t="s">
        <v>4974</v>
      </c>
      <c r="B1113" t="s">
        <v>3313</v>
      </c>
    </row>
    <row r="1114" spans="1:2">
      <c r="A1114" s="8" t="s">
        <v>6239</v>
      </c>
      <c r="B1114" t="s">
        <v>6240</v>
      </c>
    </row>
    <row r="1115" spans="1:2">
      <c r="A1115" s="8" t="s">
        <v>6241</v>
      </c>
      <c r="B1115" t="s">
        <v>651</v>
      </c>
    </row>
    <row r="1116" spans="1:2">
      <c r="A1116" s="8" t="s">
        <v>4976</v>
      </c>
      <c r="B1116" t="s">
        <v>4085</v>
      </c>
    </row>
    <row r="1117" spans="1:2">
      <c r="A1117" s="8" t="s">
        <v>6242</v>
      </c>
      <c r="B1117" t="s">
        <v>651</v>
      </c>
    </row>
    <row r="1118" spans="1:2">
      <c r="A1118" s="8" t="s">
        <v>4977</v>
      </c>
      <c r="B1118" t="s">
        <v>6243</v>
      </c>
    </row>
    <row r="1119" spans="1:2">
      <c r="A1119" s="8" t="s">
        <v>6244</v>
      </c>
      <c r="B1119" t="s">
        <v>6245</v>
      </c>
    </row>
    <row r="1120" spans="1:2">
      <c r="A1120" s="8" t="s">
        <v>4978</v>
      </c>
      <c r="B1120" t="s">
        <v>4085</v>
      </c>
    </row>
    <row r="1121" spans="1:2">
      <c r="A1121" s="8" t="s">
        <v>4979</v>
      </c>
      <c r="B1121" t="s">
        <v>4094</v>
      </c>
    </row>
    <row r="1122" spans="1:2">
      <c r="A1122" s="8" t="s">
        <v>4981</v>
      </c>
      <c r="B1122" t="s">
        <v>4094</v>
      </c>
    </row>
    <row r="1123" spans="1:2">
      <c r="A1123" s="8" t="s">
        <v>6246</v>
      </c>
      <c r="B1123" t="s">
        <v>5214</v>
      </c>
    </row>
    <row r="1124" spans="1:2">
      <c r="A1124" s="8" t="s">
        <v>6247</v>
      </c>
      <c r="B1124" t="s">
        <v>2899</v>
      </c>
    </row>
    <row r="1125" spans="1:2">
      <c r="A1125" s="8" t="s">
        <v>6248</v>
      </c>
      <c r="B1125" t="s">
        <v>6249</v>
      </c>
    </row>
    <row r="1126" spans="1:2">
      <c r="A1126" s="8" t="s">
        <v>6250</v>
      </c>
      <c r="B1126" t="s">
        <v>6249</v>
      </c>
    </row>
    <row r="1127" spans="1:2">
      <c r="A1127" s="8" t="s">
        <v>4984</v>
      </c>
      <c r="B1127" t="s">
        <v>6251</v>
      </c>
    </row>
    <row r="1128" spans="1:2">
      <c r="A1128" s="8" t="s">
        <v>4985</v>
      </c>
      <c r="B1128" t="s">
        <v>3145</v>
      </c>
    </row>
    <row r="1129" spans="1:2">
      <c r="A1129" s="8" t="s">
        <v>6252</v>
      </c>
      <c r="B1129" t="s">
        <v>5216</v>
      </c>
    </row>
    <row r="1130" spans="1:2">
      <c r="A1130" s="8" t="s">
        <v>4986</v>
      </c>
      <c r="B1130" t="s">
        <v>5394</v>
      </c>
    </row>
    <row r="1131" spans="1:2">
      <c r="A1131" s="8" t="s">
        <v>6253</v>
      </c>
      <c r="B1131" t="s">
        <v>5362</v>
      </c>
    </row>
  </sheetData>
  <autoFilter xmlns:etc="http://www.wps.cn/officeDocument/2017/etCustomData" ref="A1:B1131"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7"/>
  <sheetViews>
    <sheetView tabSelected="1" topLeftCell="B307" workbookViewId="0">
      <selection activeCell="E317" sqref="E317"/>
    </sheetView>
  </sheetViews>
  <sheetFormatPr defaultColWidth="8.72727272727273" defaultRowHeight="14"/>
  <cols>
    <col min="1" max="1" width="14" customWidth="1"/>
    <col min="2" max="2" width="65.3636363636364" customWidth="1"/>
    <col min="3" max="3" width="85.3636363636364" customWidth="1"/>
    <col min="4" max="4" width="12" customWidth="1"/>
    <col min="5" max="5" width="25.2727272727273" customWidth="1"/>
    <col min="6" max="6" width="10.6363636363636" customWidth="1"/>
  </cols>
  <sheetData>
    <row r="1" s="3" customFormat="1" ht="14.5" spans="1:21">
      <c r="A1" s="4" t="s">
        <v>1</v>
      </c>
      <c r="B1" s="4" t="s">
        <v>5</v>
      </c>
      <c r="C1" s="4" t="s">
        <v>9</v>
      </c>
      <c r="D1" s="4" t="s">
        <v>10</v>
      </c>
      <c r="E1" s="4" t="s">
        <v>13</v>
      </c>
      <c r="F1" s="4" t="s">
        <v>6254</v>
      </c>
      <c r="U1" s="4"/>
    </row>
    <row r="2" spans="1:21">
      <c r="A2" s="5" t="s">
        <v>6255</v>
      </c>
      <c r="B2" s="5" t="s">
        <v>6256</v>
      </c>
      <c r="C2" t="s">
        <v>6257</v>
      </c>
      <c r="D2" s="6" t="s">
        <v>5745</v>
      </c>
      <c r="E2" t="s">
        <v>6258</v>
      </c>
      <c r="F2" s="6" t="s">
        <v>503</v>
      </c>
    </row>
    <row r="3" spans="1:21">
      <c r="A3" s="5" t="s">
        <v>68</v>
      </c>
      <c r="B3" s="5" t="s">
        <v>6259</v>
      </c>
      <c r="C3" t="s">
        <v>6260</v>
      </c>
      <c r="D3" s="6" t="s">
        <v>70</v>
      </c>
      <c r="E3" t="s">
        <v>6261</v>
      </c>
      <c r="F3" s="6" t="s">
        <v>74</v>
      </c>
    </row>
    <row r="4" spans="1:21">
      <c r="A4" s="5" t="s">
        <v>6262</v>
      </c>
      <c r="B4" s="5" t="s">
        <v>6263</v>
      </c>
      <c r="C4" t="s">
        <v>6264</v>
      </c>
      <c r="D4" s="6" t="s">
        <v>6265</v>
      </c>
      <c r="E4" t="s">
        <v>6266</v>
      </c>
      <c r="F4" s="6" t="s">
        <v>314</v>
      </c>
    </row>
    <row r="5" spans="1:21">
      <c r="A5" s="5" t="s">
        <v>92</v>
      </c>
      <c r="B5" s="5" t="s">
        <v>6267</v>
      </c>
      <c r="C5" t="s">
        <v>6268</v>
      </c>
      <c r="D5" s="6" t="s">
        <v>94</v>
      </c>
      <c r="E5" t="s">
        <v>6269</v>
      </c>
      <c r="F5" s="6" t="s">
        <v>2288</v>
      </c>
    </row>
    <row r="6" spans="1:21">
      <c r="A6" s="5" t="s">
        <v>6270</v>
      </c>
      <c r="B6" s="5" t="s">
        <v>6271</v>
      </c>
      <c r="C6" t="s">
        <v>6272</v>
      </c>
      <c r="D6" s="6" t="s">
        <v>5297</v>
      </c>
      <c r="E6" t="s">
        <v>6273</v>
      </c>
      <c r="F6" s="6" t="s">
        <v>6274</v>
      </c>
    </row>
    <row r="7" spans="1:21">
      <c r="A7" s="5" t="s">
        <v>6275</v>
      </c>
      <c r="B7" s="5" t="s">
        <v>6276</v>
      </c>
      <c r="C7" t="s">
        <v>6277</v>
      </c>
      <c r="D7" s="6" t="s">
        <v>5220</v>
      </c>
      <c r="E7" t="s">
        <v>6278</v>
      </c>
      <c r="F7" s="6" t="s">
        <v>96</v>
      </c>
    </row>
    <row r="8" spans="1:21">
      <c r="A8" s="5" t="s">
        <v>6279</v>
      </c>
      <c r="B8" s="5" t="s">
        <v>6280</v>
      </c>
      <c r="C8" t="s">
        <v>6281</v>
      </c>
      <c r="D8" s="6" t="s">
        <v>6087</v>
      </c>
      <c r="E8" t="s">
        <v>6282</v>
      </c>
      <c r="F8" s="6" t="s">
        <v>387</v>
      </c>
    </row>
    <row r="9" spans="1:21">
      <c r="A9" s="5" t="s">
        <v>6283</v>
      </c>
      <c r="B9" s="5" t="s">
        <v>6284</v>
      </c>
      <c r="C9" t="s">
        <v>6285</v>
      </c>
      <c r="D9" s="6" t="s">
        <v>896</v>
      </c>
      <c r="E9" t="s">
        <v>6286</v>
      </c>
      <c r="F9" s="6" t="s">
        <v>153</v>
      </c>
    </row>
    <row r="10" spans="1:21">
      <c r="A10" s="5" t="s">
        <v>6287</v>
      </c>
      <c r="B10" s="5" t="s">
        <v>6288</v>
      </c>
      <c r="C10" t="s">
        <v>6289</v>
      </c>
      <c r="D10" s="6" t="s">
        <v>6019</v>
      </c>
      <c r="E10" t="s">
        <v>6290</v>
      </c>
      <c r="F10" s="6" t="s">
        <v>314</v>
      </c>
    </row>
    <row r="11" spans="1:21">
      <c r="A11" s="5" t="s">
        <v>6291</v>
      </c>
      <c r="B11" s="5" t="s">
        <v>6292</v>
      </c>
      <c r="C11" t="s">
        <v>6293</v>
      </c>
      <c r="D11" s="6" t="s">
        <v>6294</v>
      </c>
      <c r="E11" t="s">
        <v>6295</v>
      </c>
      <c r="F11" s="6" t="s">
        <v>6296</v>
      </c>
    </row>
    <row r="12" spans="1:21">
      <c r="A12" s="5" t="s">
        <v>147</v>
      </c>
      <c r="B12" s="5" t="s">
        <v>148</v>
      </c>
      <c r="C12" t="s">
        <v>6297</v>
      </c>
      <c r="D12" s="6" t="s">
        <v>149</v>
      </c>
      <c r="E12" t="s">
        <v>6298</v>
      </c>
      <c r="F12" s="6" t="s">
        <v>153</v>
      </c>
    </row>
    <row r="13" spans="1:21">
      <c r="A13" s="5" t="s">
        <v>6299</v>
      </c>
      <c r="B13" s="5" t="s">
        <v>1838</v>
      </c>
      <c r="C13" t="s">
        <v>6300</v>
      </c>
      <c r="D13" s="6" t="s">
        <v>6301</v>
      </c>
      <c r="E13" t="s">
        <v>6302</v>
      </c>
      <c r="F13" s="6" t="s">
        <v>153</v>
      </c>
    </row>
    <row r="14" spans="1:21">
      <c r="A14" s="5" t="s">
        <v>6303</v>
      </c>
      <c r="B14" s="5" t="s">
        <v>6304</v>
      </c>
      <c r="C14" t="s">
        <v>6305</v>
      </c>
      <c r="D14" s="6" t="s">
        <v>6306</v>
      </c>
      <c r="E14" t="s">
        <v>6307</v>
      </c>
      <c r="F14" s="6" t="s">
        <v>153</v>
      </c>
    </row>
    <row r="15" spans="1:21">
      <c r="A15" s="5" t="s">
        <v>172</v>
      </c>
      <c r="B15" s="5" t="s">
        <v>6308</v>
      </c>
      <c r="C15" t="s">
        <v>6309</v>
      </c>
      <c r="D15" s="6" t="s">
        <v>174</v>
      </c>
      <c r="E15" t="s">
        <v>6310</v>
      </c>
      <c r="F15" s="6" t="s">
        <v>153</v>
      </c>
    </row>
    <row r="16" spans="1:21">
      <c r="A16" s="5" t="s">
        <v>6311</v>
      </c>
      <c r="B16" s="5" t="s">
        <v>1845</v>
      </c>
      <c r="C16" t="s">
        <v>6312</v>
      </c>
      <c r="D16" s="6" t="s">
        <v>6313</v>
      </c>
      <c r="E16" t="s">
        <v>6314</v>
      </c>
      <c r="F16" s="6" t="s">
        <v>153</v>
      </c>
    </row>
    <row r="17" spans="1:6">
      <c r="A17" s="5" t="s">
        <v>6315</v>
      </c>
      <c r="B17" s="5" t="s">
        <v>1849</v>
      </c>
      <c r="C17" t="s">
        <v>6316</v>
      </c>
      <c r="D17" s="6" t="s">
        <v>6294</v>
      </c>
      <c r="E17" t="s">
        <v>6317</v>
      </c>
      <c r="F17" s="6" t="s">
        <v>153</v>
      </c>
    </row>
    <row r="18" spans="1:6">
      <c r="A18" s="5" t="s">
        <v>6318</v>
      </c>
      <c r="B18" s="5" t="s">
        <v>6319</v>
      </c>
      <c r="C18" t="s">
        <v>6320</v>
      </c>
      <c r="D18" s="6" t="s">
        <v>6294</v>
      </c>
      <c r="E18" t="s">
        <v>6321</v>
      </c>
      <c r="F18" s="6" t="s">
        <v>153</v>
      </c>
    </row>
    <row r="19" spans="1:6">
      <c r="A19" s="5" t="s">
        <v>6322</v>
      </c>
      <c r="B19" s="5" t="s">
        <v>6323</v>
      </c>
      <c r="C19" t="s">
        <v>6324</v>
      </c>
      <c r="D19" s="6" t="s">
        <v>5197</v>
      </c>
      <c r="E19" t="s">
        <v>6325</v>
      </c>
      <c r="F19" s="6" t="s">
        <v>239</v>
      </c>
    </row>
    <row r="20" spans="1:6">
      <c r="A20" s="5" t="s">
        <v>6326</v>
      </c>
      <c r="B20" s="5" t="s">
        <v>6327</v>
      </c>
      <c r="C20" t="s">
        <v>6328</v>
      </c>
      <c r="D20" s="6" t="s">
        <v>5141</v>
      </c>
      <c r="E20" t="s">
        <v>6329</v>
      </c>
      <c r="F20" s="6" t="s">
        <v>153</v>
      </c>
    </row>
    <row r="21" spans="1:6">
      <c r="A21" s="5" t="s">
        <v>6330</v>
      </c>
      <c r="B21" s="5" t="s">
        <v>1852</v>
      </c>
      <c r="C21" t="s">
        <v>6331</v>
      </c>
      <c r="D21" s="6" t="s">
        <v>5145</v>
      </c>
      <c r="E21" t="s">
        <v>6332</v>
      </c>
      <c r="F21" s="6" t="s">
        <v>153</v>
      </c>
    </row>
    <row r="22" spans="1:6">
      <c r="A22" s="5" t="s">
        <v>189</v>
      </c>
      <c r="B22" s="5" t="s">
        <v>190</v>
      </c>
      <c r="C22" t="s">
        <v>6333</v>
      </c>
      <c r="D22" s="6" t="s">
        <v>191</v>
      </c>
      <c r="E22" t="s">
        <v>6334</v>
      </c>
      <c r="F22" s="6" t="s">
        <v>153</v>
      </c>
    </row>
    <row r="23" spans="1:6">
      <c r="A23" s="5" t="s">
        <v>195</v>
      </c>
      <c r="B23" s="5" t="s">
        <v>6335</v>
      </c>
      <c r="C23" t="s">
        <v>6336</v>
      </c>
      <c r="D23" s="6" t="s">
        <v>5239</v>
      </c>
      <c r="E23" t="s">
        <v>6337</v>
      </c>
      <c r="F23" s="6" t="s">
        <v>153</v>
      </c>
    </row>
    <row r="24" spans="1:6">
      <c r="A24" s="5" t="s">
        <v>6338</v>
      </c>
      <c r="B24" s="5" t="s">
        <v>1856</v>
      </c>
      <c r="C24" t="s">
        <v>6339</v>
      </c>
      <c r="D24" s="6" t="s">
        <v>1857</v>
      </c>
      <c r="E24" t="s">
        <v>6340</v>
      </c>
      <c r="F24" s="6" t="s">
        <v>679</v>
      </c>
    </row>
    <row r="25" spans="1:6">
      <c r="A25" s="5" t="s">
        <v>207</v>
      </c>
      <c r="B25" s="5" t="s">
        <v>6341</v>
      </c>
      <c r="C25" t="s">
        <v>6342</v>
      </c>
      <c r="D25" s="6" t="s">
        <v>209</v>
      </c>
      <c r="E25" t="s">
        <v>6343</v>
      </c>
      <c r="F25" s="6" t="s">
        <v>153</v>
      </c>
    </row>
    <row r="26" spans="1:6">
      <c r="A26" s="5" t="s">
        <v>213</v>
      </c>
      <c r="B26" s="5" t="s">
        <v>6344</v>
      </c>
      <c r="C26" t="s">
        <v>6345</v>
      </c>
      <c r="D26" s="6" t="s">
        <v>209</v>
      </c>
      <c r="E26" t="s">
        <v>6343</v>
      </c>
      <c r="F26" s="6" t="s">
        <v>153</v>
      </c>
    </row>
    <row r="27" spans="1:6">
      <c r="A27" s="5" t="s">
        <v>229</v>
      </c>
      <c r="B27" s="5" t="s">
        <v>230</v>
      </c>
      <c r="C27" t="s">
        <v>6346</v>
      </c>
      <c r="D27" s="6" t="s">
        <v>231</v>
      </c>
      <c r="E27" t="s">
        <v>6347</v>
      </c>
      <c r="F27" s="6" t="s">
        <v>96</v>
      </c>
    </row>
    <row r="28" spans="1:6">
      <c r="A28" s="5" t="s">
        <v>245</v>
      </c>
      <c r="B28" s="5" t="s">
        <v>6348</v>
      </c>
      <c r="C28" t="s">
        <v>6349</v>
      </c>
      <c r="D28" s="6" t="s">
        <v>247</v>
      </c>
      <c r="E28" t="s">
        <v>6350</v>
      </c>
      <c r="F28" s="6" t="s">
        <v>153</v>
      </c>
    </row>
    <row r="29" spans="1:6">
      <c r="A29" s="5" t="s">
        <v>6351</v>
      </c>
      <c r="B29" s="5" t="s">
        <v>1860</v>
      </c>
      <c r="C29" t="s">
        <v>6352</v>
      </c>
      <c r="D29" s="6" t="s">
        <v>253</v>
      </c>
      <c r="E29" t="s">
        <v>6353</v>
      </c>
      <c r="F29" s="6" t="s">
        <v>153</v>
      </c>
    </row>
    <row r="30" spans="1:6">
      <c r="A30" s="5" t="s">
        <v>6354</v>
      </c>
      <c r="B30" s="5" t="s">
        <v>6355</v>
      </c>
      <c r="C30" t="s">
        <v>6356</v>
      </c>
      <c r="D30" s="6" t="s">
        <v>6357</v>
      </c>
      <c r="E30" t="s">
        <v>6358</v>
      </c>
      <c r="F30" s="6" t="s">
        <v>6359</v>
      </c>
    </row>
    <row r="31" spans="1:6">
      <c r="A31" s="5" t="s">
        <v>6360</v>
      </c>
      <c r="B31" s="5" t="s">
        <v>6361</v>
      </c>
      <c r="C31" t="s">
        <v>6362</v>
      </c>
      <c r="D31" s="6" t="s">
        <v>5182</v>
      </c>
      <c r="E31" t="s">
        <v>6363</v>
      </c>
      <c r="F31" s="6" t="s">
        <v>74</v>
      </c>
    </row>
    <row r="32" spans="1:6">
      <c r="A32" s="5" t="s">
        <v>303</v>
      </c>
      <c r="B32" s="5" t="s">
        <v>6364</v>
      </c>
      <c r="C32" t="s">
        <v>6365</v>
      </c>
      <c r="D32" s="6" t="s">
        <v>5182</v>
      </c>
      <c r="E32" t="s">
        <v>6366</v>
      </c>
      <c r="F32" s="6" t="s">
        <v>74</v>
      </c>
    </row>
    <row r="33" spans="1:6">
      <c r="A33" s="5" t="s">
        <v>6367</v>
      </c>
      <c r="B33" s="5" t="s">
        <v>6368</v>
      </c>
      <c r="C33" t="s">
        <v>6369</v>
      </c>
      <c r="D33" s="6" t="s">
        <v>5180</v>
      </c>
      <c r="E33" t="s">
        <v>6370</v>
      </c>
      <c r="F33" s="6" t="s">
        <v>74</v>
      </c>
    </row>
    <row r="34" spans="1:6">
      <c r="A34" s="5" t="s">
        <v>6371</v>
      </c>
      <c r="B34" s="5" t="s">
        <v>6372</v>
      </c>
      <c r="C34" t="s">
        <v>6373</v>
      </c>
      <c r="D34" s="6" t="s">
        <v>6374</v>
      </c>
      <c r="E34" t="s">
        <v>6375</v>
      </c>
      <c r="F34" s="6" t="s">
        <v>6359</v>
      </c>
    </row>
    <row r="35" spans="1:6">
      <c r="A35" s="5" t="s">
        <v>315</v>
      </c>
      <c r="B35" s="5" t="s">
        <v>6376</v>
      </c>
      <c r="C35" t="s">
        <v>6377</v>
      </c>
      <c r="D35" s="6" t="s">
        <v>5184</v>
      </c>
      <c r="E35" t="s">
        <v>6378</v>
      </c>
      <c r="F35" s="6" t="s">
        <v>74</v>
      </c>
    </row>
    <row r="36" spans="1:6">
      <c r="A36" s="5" t="s">
        <v>6379</v>
      </c>
      <c r="B36" s="5" t="s">
        <v>6380</v>
      </c>
      <c r="C36" t="s">
        <v>6381</v>
      </c>
      <c r="D36" s="6" t="s">
        <v>6382</v>
      </c>
      <c r="E36" t="s">
        <v>6383</v>
      </c>
      <c r="F36" s="6" t="s">
        <v>74</v>
      </c>
    </row>
    <row r="37" spans="1:6">
      <c r="A37" s="5" t="s">
        <v>324</v>
      </c>
      <c r="B37" s="5" t="s">
        <v>6384</v>
      </c>
      <c r="C37" t="s">
        <v>6385</v>
      </c>
      <c r="D37" s="6" t="s">
        <v>6386</v>
      </c>
      <c r="E37" t="s">
        <v>6387</v>
      </c>
      <c r="F37" s="6" t="s">
        <v>330</v>
      </c>
    </row>
    <row r="38" spans="1:6">
      <c r="A38" s="5" t="s">
        <v>6388</v>
      </c>
      <c r="B38" s="5" t="s">
        <v>6389</v>
      </c>
      <c r="C38" t="s">
        <v>6390</v>
      </c>
      <c r="D38" s="6" t="s">
        <v>5268</v>
      </c>
      <c r="E38" t="s">
        <v>6391</v>
      </c>
      <c r="F38" s="6" t="s">
        <v>153</v>
      </c>
    </row>
    <row r="39" spans="1:6">
      <c r="A39" s="5" t="s">
        <v>6392</v>
      </c>
      <c r="B39" s="5" t="s">
        <v>6393</v>
      </c>
      <c r="C39" t="s">
        <v>6394</v>
      </c>
      <c r="D39" s="6" t="s">
        <v>5189</v>
      </c>
      <c r="E39" t="s">
        <v>6395</v>
      </c>
      <c r="F39" s="6" t="s">
        <v>6396</v>
      </c>
    </row>
    <row r="40" spans="1:6">
      <c r="A40" s="5" t="s">
        <v>6397</v>
      </c>
      <c r="B40" s="5" t="s">
        <v>6398</v>
      </c>
      <c r="C40" t="s">
        <v>6399</v>
      </c>
      <c r="D40" s="6" t="s">
        <v>6400</v>
      </c>
      <c r="E40" t="s">
        <v>6401</v>
      </c>
      <c r="F40" s="6" t="s">
        <v>153</v>
      </c>
    </row>
    <row r="41" spans="1:6">
      <c r="A41" s="5" t="s">
        <v>6402</v>
      </c>
      <c r="B41" s="5" t="s">
        <v>6403</v>
      </c>
      <c r="C41" t="s">
        <v>6404</v>
      </c>
      <c r="D41" s="6" t="s">
        <v>5148</v>
      </c>
      <c r="E41" t="s">
        <v>6405</v>
      </c>
      <c r="F41" s="6" t="s">
        <v>1727</v>
      </c>
    </row>
    <row r="42" spans="1:6">
      <c r="A42" s="5" t="s">
        <v>6406</v>
      </c>
      <c r="B42" s="5" t="s">
        <v>6406</v>
      </c>
      <c r="C42" t="s">
        <v>6407</v>
      </c>
      <c r="D42" s="6" t="s">
        <v>6294</v>
      </c>
      <c r="E42" t="s">
        <v>6408</v>
      </c>
      <c r="F42" s="6" t="s">
        <v>114</v>
      </c>
    </row>
    <row r="43" spans="1:6">
      <c r="A43" s="5" t="s">
        <v>6409</v>
      </c>
      <c r="B43" s="5" t="s">
        <v>6410</v>
      </c>
      <c r="C43" t="s">
        <v>6411</v>
      </c>
      <c r="D43" s="6" t="s">
        <v>5326</v>
      </c>
      <c r="E43" t="s">
        <v>6408</v>
      </c>
      <c r="F43" s="6" t="s">
        <v>114</v>
      </c>
    </row>
    <row r="44" spans="1:6">
      <c r="A44" s="5" t="s">
        <v>6412</v>
      </c>
      <c r="B44" s="5" t="s">
        <v>6413</v>
      </c>
      <c r="C44" t="s">
        <v>6414</v>
      </c>
      <c r="D44" s="6" t="s">
        <v>6294</v>
      </c>
      <c r="E44" t="s">
        <v>6302</v>
      </c>
      <c r="F44" s="6" t="s">
        <v>648</v>
      </c>
    </row>
    <row r="45" spans="1:6">
      <c r="A45" s="5" t="s">
        <v>6415</v>
      </c>
      <c r="B45" s="5" t="s">
        <v>6416</v>
      </c>
      <c r="C45" t="s">
        <v>6417</v>
      </c>
      <c r="D45" s="6" t="s">
        <v>5364</v>
      </c>
      <c r="E45" t="s">
        <v>6418</v>
      </c>
      <c r="F45" s="6" t="s">
        <v>3325</v>
      </c>
    </row>
    <row r="46" spans="1:6">
      <c r="A46" s="5" t="s">
        <v>6419</v>
      </c>
      <c r="B46" s="5" t="s">
        <v>6308</v>
      </c>
      <c r="C46" t="s">
        <v>6420</v>
      </c>
      <c r="D46" s="6" t="s">
        <v>6294</v>
      </c>
      <c r="E46" t="s">
        <v>6421</v>
      </c>
      <c r="F46" t="s">
        <v>648</v>
      </c>
    </row>
    <row r="47" spans="1:6">
      <c r="A47" s="5" t="s">
        <v>642</v>
      </c>
      <c r="B47" s="5" t="s">
        <v>643</v>
      </c>
      <c r="C47" t="s">
        <v>6422</v>
      </c>
      <c r="D47" s="6" t="s">
        <v>644</v>
      </c>
      <c r="E47" t="s">
        <v>6423</v>
      </c>
      <c r="F47" s="6" t="s">
        <v>648</v>
      </c>
    </row>
    <row r="48" spans="1:6">
      <c r="A48" s="5" t="s">
        <v>6424</v>
      </c>
      <c r="B48" s="5" t="s">
        <v>6425</v>
      </c>
      <c r="C48" t="s">
        <v>6426</v>
      </c>
      <c r="D48" s="6" t="s">
        <v>651</v>
      </c>
      <c r="E48" t="s">
        <v>6427</v>
      </c>
      <c r="F48" s="6" t="s">
        <v>648</v>
      </c>
    </row>
    <row r="49" spans="1:6">
      <c r="A49" s="5" t="s">
        <v>703</v>
      </c>
      <c r="B49" s="5" t="s">
        <v>6428</v>
      </c>
      <c r="C49" t="s">
        <v>6429</v>
      </c>
      <c r="D49" s="6" t="s">
        <v>705</v>
      </c>
      <c r="E49" t="s">
        <v>6430</v>
      </c>
      <c r="F49" s="6" t="s">
        <v>648</v>
      </c>
    </row>
    <row r="50" spans="1:6">
      <c r="A50" s="5" t="s">
        <v>709</v>
      </c>
      <c r="B50" s="5" t="s">
        <v>6431</v>
      </c>
      <c r="C50" t="s">
        <v>6432</v>
      </c>
      <c r="D50" s="6" t="s">
        <v>5275</v>
      </c>
      <c r="E50" t="s">
        <v>6433</v>
      </c>
      <c r="F50" s="6" t="s">
        <v>648</v>
      </c>
    </row>
    <row r="51" spans="1:6">
      <c r="A51" s="5" t="s">
        <v>6434</v>
      </c>
      <c r="B51" s="5" t="s">
        <v>6435</v>
      </c>
      <c r="C51" t="s">
        <v>6432</v>
      </c>
      <c r="D51" s="6" t="s">
        <v>4085</v>
      </c>
      <c r="E51" t="s">
        <v>6302</v>
      </c>
      <c r="F51" s="6" t="s">
        <v>648</v>
      </c>
    </row>
    <row r="52" spans="1:6">
      <c r="A52" s="5" t="s">
        <v>714</v>
      </c>
      <c r="B52" s="5" t="s">
        <v>6436</v>
      </c>
      <c r="C52" t="s">
        <v>6437</v>
      </c>
      <c r="D52" s="6" t="s">
        <v>5275</v>
      </c>
      <c r="E52" t="s">
        <v>6433</v>
      </c>
      <c r="F52" s="6" t="s">
        <v>648</v>
      </c>
    </row>
    <row r="53" spans="1:6">
      <c r="A53" s="5" t="s">
        <v>6438</v>
      </c>
      <c r="B53" s="5" t="s">
        <v>6436</v>
      </c>
      <c r="C53" t="s">
        <v>6437</v>
      </c>
      <c r="D53" s="6" t="s">
        <v>6294</v>
      </c>
      <c r="E53" t="s">
        <v>6302</v>
      </c>
      <c r="F53" s="6" t="s">
        <v>648</v>
      </c>
    </row>
    <row r="54" spans="1:6">
      <c r="A54" s="5" t="s">
        <v>722</v>
      </c>
      <c r="B54" s="5" t="s">
        <v>6439</v>
      </c>
      <c r="C54" t="s">
        <v>6440</v>
      </c>
      <c r="D54" s="6" t="s">
        <v>5274</v>
      </c>
      <c r="E54" t="s">
        <v>6441</v>
      </c>
      <c r="F54" s="6" t="s">
        <v>648</v>
      </c>
    </row>
    <row r="55" spans="1:6">
      <c r="A55" s="5" t="s">
        <v>6442</v>
      </c>
      <c r="B55" s="5" t="s">
        <v>6443</v>
      </c>
      <c r="C55" t="s">
        <v>6444</v>
      </c>
      <c r="D55" s="6" t="s">
        <v>6294</v>
      </c>
      <c r="E55" t="s">
        <v>6302</v>
      </c>
      <c r="F55" s="6" t="s">
        <v>648</v>
      </c>
    </row>
    <row r="56" spans="1:6">
      <c r="A56" s="5" t="s">
        <v>728</v>
      </c>
      <c r="B56" s="5" t="s">
        <v>6445</v>
      </c>
      <c r="C56" t="s">
        <v>6446</v>
      </c>
      <c r="D56" s="6" t="s">
        <v>5282</v>
      </c>
      <c r="E56" t="s">
        <v>6441</v>
      </c>
      <c r="F56" s="6" t="s">
        <v>648</v>
      </c>
    </row>
    <row r="57" spans="1:6">
      <c r="A57" s="5" t="s">
        <v>6447</v>
      </c>
      <c r="B57" s="5" t="s">
        <v>6308</v>
      </c>
      <c r="C57" t="s">
        <v>6448</v>
      </c>
      <c r="D57" s="6" t="s">
        <v>6294</v>
      </c>
      <c r="E57" t="s">
        <v>6421</v>
      </c>
      <c r="F57" t="s">
        <v>648</v>
      </c>
    </row>
    <row r="58" spans="1:6">
      <c r="A58" s="5" t="s">
        <v>6449</v>
      </c>
      <c r="B58" s="5" t="s">
        <v>6450</v>
      </c>
      <c r="C58" t="s">
        <v>6451</v>
      </c>
      <c r="D58" s="6" t="s">
        <v>6294</v>
      </c>
      <c r="E58" t="s">
        <v>6302</v>
      </c>
      <c r="F58" s="6" t="s">
        <v>648</v>
      </c>
    </row>
    <row r="59" spans="1:6">
      <c r="A59" s="5" t="s">
        <v>743</v>
      </c>
      <c r="B59" s="5" t="s">
        <v>744</v>
      </c>
      <c r="C59" t="s">
        <v>6452</v>
      </c>
      <c r="D59" s="6" t="s">
        <v>149</v>
      </c>
      <c r="E59" t="s">
        <v>6298</v>
      </c>
      <c r="F59" s="6" t="s">
        <v>153</v>
      </c>
    </row>
    <row r="60" spans="1:6">
      <c r="A60" s="5" t="s">
        <v>6453</v>
      </c>
      <c r="B60" s="5" t="s">
        <v>6454</v>
      </c>
      <c r="C60" t="s">
        <v>6455</v>
      </c>
      <c r="D60" s="6" t="s">
        <v>5277</v>
      </c>
      <c r="E60" t="s">
        <v>6456</v>
      </c>
      <c r="F60" s="6" t="s">
        <v>153</v>
      </c>
    </row>
    <row r="61" spans="1:6">
      <c r="A61" s="5" t="s">
        <v>747</v>
      </c>
      <c r="B61" s="5" t="s">
        <v>6457</v>
      </c>
      <c r="C61" t="s">
        <v>6458</v>
      </c>
      <c r="D61" s="6" t="s">
        <v>6459</v>
      </c>
      <c r="E61" t="s">
        <v>6460</v>
      </c>
      <c r="F61" s="6" t="s">
        <v>153</v>
      </c>
    </row>
    <row r="62" spans="1:6">
      <c r="A62" s="5" t="s">
        <v>6461</v>
      </c>
      <c r="B62" s="5" t="s">
        <v>6462</v>
      </c>
      <c r="C62" t="s">
        <v>6463</v>
      </c>
      <c r="D62" s="6" t="s">
        <v>6294</v>
      </c>
      <c r="E62" t="s">
        <v>6302</v>
      </c>
      <c r="F62" s="6" t="s">
        <v>648</v>
      </c>
    </row>
    <row r="63" spans="1:6">
      <c r="A63" s="5" t="s">
        <v>6464</v>
      </c>
      <c r="B63" s="5" t="s">
        <v>1909</v>
      </c>
      <c r="C63" t="s">
        <v>6465</v>
      </c>
      <c r="D63" s="6" t="s">
        <v>5419</v>
      </c>
      <c r="E63" t="s">
        <v>6466</v>
      </c>
      <c r="F63" s="6" t="s">
        <v>648</v>
      </c>
    </row>
    <row r="64" spans="1:6">
      <c r="A64" s="5" t="s">
        <v>6467</v>
      </c>
      <c r="B64" s="5" t="s">
        <v>6468</v>
      </c>
      <c r="C64" t="s">
        <v>6469</v>
      </c>
      <c r="D64" s="6" t="s">
        <v>6294</v>
      </c>
      <c r="E64" t="s">
        <v>6302</v>
      </c>
      <c r="F64" s="6" t="s">
        <v>648</v>
      </c>
    </row>
    <row r="65" spans="1:6">
      <c r="A65" s="5" t="s">
        <v>792</v>
      </c>
      <c r="B65" s="5" t="s">
        <v>6470</v>
      </c>
      <c r="C65" t="s">
        <v>6471</v>
      </c>
      <c r="D65" s="6" t="s">
        <v>705</v>
      </c>
      <c r="E65" t="s">
        <v>6430</v>
      </c>
      <c r="F65" s="6" t="s">
        <v>648</v>
      </c>
    </row>
    <row r="66" spans="1:6">
      <c r="A66" s="5" t="s">
        <v>6472</v>
      </c>
      <c r="B66" s="5" t="s">
        <v>6473</v>
      </c>
      <c r="C66" t="s">
        <v>6474</v>
      </c>
      <c r="D66" s="6" t="s">
        <v>5284</v>
      </c>
      <c r="E66" t="s">
        <v>6475</v>
      </c>
      <c r="F66" s="6" t="s">
        <v>648</v>
      </c>
    </row>
    <row r="67" spans="1:6">
      <c r="A67" s="5" t="s">
        <v>805</v>
      </c>
      <c r="B67" s="5" t="s">
        <v>6476</v>
      </c>
      <c r="C67" t="s">
        <v>6477</v>
      </c>
      <c r="D67" s="6" t="s">
        <v>6478</v>
      </c>
      <c r="E67" t="s">
        <v>6479</v>
      </c>
      <c r="F67" s="6" t="s">
        <v>153</v>
      </c>
    </row>
    <row r="68" spans="1:6">
      <c r="A68" s="5" t="s">
        <v>6480</v>
      </c>
      <c r="B68" s="5" t="s">
        <v>6481</v>
      </c>
      <c r="C68" t="s">
        <v>6482</v>
      </c>
      <c r="D68" s="6" t="s">
        <v>6294</v>
      </c>
      <c r="E68" t="s">
        <v>6302</v>
      </c>
      <c r="F68" s="6" t="s">
        <v>648</v>
      </c>
    </row>
    <row r="69" spans="1:6">
      <c r="A69" s="5" t="s">
        <v>6483</v>
      </c>
      <c r="B69" s="5" t="s">
        <v>6484</v>
      </c>
      <c r="C69" t="s">
        <v>6485</v>
      </c>
      <c r="D69" s="6" t="s">
        <v>6486</v>
      </c>
      <c r="E69" t="s">
        <v>6487</v>
      </c>
      <c r="F69" s="6" t="s">
        <v>330</v>
      </c>
    </row>
    <row r="70" spans="1:6">
      <c r="A70" s="5" t="s">
        <v>831</v>
      </c>
      <c r="B70" s="5" t="s">
        <v>6488</v>
      </c>
      <c r="C70" t="s">
        <v>6489</v>
      </c>
      <c r="D70" s="6" t="s">
        <v>827</v>
      </c>
      <c r="E70" t="s">
        <v>6490</v>
      </c>
      <c r="F70" s="6" t="s">
        <v>830</v>
      </c>
    </row>
    <row r="71" spans="1:6">
      <c r="A71" s="5" t="s">
        <v>6491</v>
      </c>
      <c r="B71" s="5" t="s">
        <v>6492</v>
      </c>
      <c r="C71" t="s">
        <v>6493</v>
      </c>
      <c r="D71" s="6" t="s">
        <v>5041</v>
      </c>
      <c r="E71" t="s">
        <v>6494</v>
      </c>
      <c r="F71" s="6" t="s">
        <v>648</v>
      </c>
    </row>
    <row r="72" spans="1:6">
      <c r="A72" s="5" t="s">
        <v>888</v>
      </c>
      <c r="B72" s="5" t="s">
        <v>6495</v>
      </c>
      <c r="C72" t="s">
        <v>6496</v>
      </c>
      <c r="D72" s="6" t="s">
        <v>890</v>
      </c>
      <c r="E72" t="s">
        <v>6497</v>
      </c>
      <c r="F72" s="6" t="s">
        <v>573</v>
      </c>
    </row>
    <row r="73" spans="1:6">
      <c r="A73" s="5" t="s">
        <v>6498</v>
      </c>
      <c r="B73" s="5" t="s">
        <v>6499</v>
      </c>
      <c r="C73" t="s">
        <v>6500</v>
      </c>
      <c r="D73" s="6" t="s">
        <v>5464</v>
      </c>
      <c r="E73" t="s">
        <v>6501</v>
      </c>
      <c r="F73" s="6" t="s">
        <v>2793</v>
      </c>
    </row>
    <row r="74" spans="1:6">
      <c r="A74" s="5" t="s">
        <v>903</v>
      </c>
      <c r="B74" s="5" t="s">
        <v>6502</v>
      </c>
      <c r="C74" t="s">
        <v>6503</v>
      </c>
      <c r="D74" s="6" t="s">
        <v>905</v>
      </c>
      <c r="E74" t="s">
        <v>6504</v>
      </c>
      <c r="F74" s="6" t="s">
        <v>131</v>
      </c>
    </row>
    <row r="75" spans="1:6">
      <c r="A75" s="5" t="s">
        <v>6505</v>
      </c>
      <c r="B75" s="5" t="s">
        <v>6502</v>
      </c>
      <c r="C75" t="s">
        <v>6503</v>
      </c>
      <c r="D75" s="6" t="s">
        <v>905</v>
      </c>
      <c r="E75" t="s">
        <v>6506</v>
      </c>
      <c r="F75" s="6" t="s">
        <v>131</v>
      </c>
    </row>
    <row r="76" spans="1:6">
      <c r="A76" s="5" t="s">
        <v>6507</v>
      </c>
      <c r="B76" s="5" t="s">
        <v>922</v>
      </c>
      <c r="C76" t="s">
        <v>6508</v>
      </c>
      <c r="D76" s="6" t="s">
        <v>923</v>
      </c>
      <c r="E76" t="s">
        <v>6509</v>
      </c>
      <c r="F76" s="6" t="s">
        <v>398</v>
      </c>
    </row>
    <row r="77" spans="1:6">
      <c r="A77" s="5" t="s">
        <v>6510</v>
      </c>
      <c r="B77" s="5" t="s">
        <v>6511</v>
      </c>
      <c r="C77" t="s">
        <v>6512</v>
      </c>
      <c r="D77" s="6" t="s">
        <v>6294</v>
      </c>
      <c r="E77" t="s">
        <v>6302</v>
      </c>
      <c r="F77" s="6" t="s">
        <v>648</v>
      </c>
    </row>
    <row r="78" spans="1:6">
      <c r="A78" s="5" t="s">
        <v>6513</v>
      </c>
      <c r="B78" s="5" t="s">
        <v>6514</v>
      </c>
      <c r="C78" t="s">
        <v>6515</v>
      </c>
      <c r="D78" s="6" t="s">
        <v>6294</v>
      </c>
      <c r="E78" t="s">
        <v>6302</v>
      </c>
      <c r="F78" s="6" t="s">
        <v>648</v>
      </c>
    </row>
    <row r="79" spans="1:6">
      <c r="A79" s="5" t="s">
        <v>6516</v>
      </c>
      <c r="B79" s="5" t="s">
        <v>6517</v>
      </c>
      <c r="C79" t="s">
        <v>6518</v>
      </c>
      <c r="D79" s="6" t="s">
        <v>5043</v>
      </c>
      <c r="E79" t="s">
        <v>6519</v>
      </c>
      <c r="F79" s="6" t="s">
        <v>648</v>
      </c>
    </row>
    <row r="80" spans="1:6">
      <c r="A80" s="5" t="s">
        <v>6520</v>
      </c>
      <c r="B80" s="5" t="s">
        <v>1934</v>
      </c>
      <c r="C80" t="s">
        <v>6521</v>
      </c>
      <c r="D80" s="6" t="s">
        <v>1935</v>
      </c>
      <c r="E80" t="s">
        <v>6522</v>
      </c>
      <c r="F80" s="6" t="s">
        <v>648</v>
      </c>
    </row>
    <row r="81" spans="1:6">
      <c r="A81" s="5" t="s">
        <v>6523</v>
      </c>
      <c r="B81" s="5" t="s">
        <v>6524</v>
      </c>
      <c r="C81" t="s">
        <v>6525</v>
      </c>
      <c r="D81" s="6" t="s">
        <v>6294</v>
      </c>
      <c r="E81" t="s">
        <v>6526</v>
      </c>
      <c r="F81" s="6" t="s">
        <v>648</v>
      </c>
    </row>
    <row r="82" spans="1:6">
      <c r="A82" s="5" t="s">
        <v>954</v>
      </c>
      <c r="B82" s="5" t="s">
        <v>6527</v>
      </c>
      <c r="C82" t="s">
        <v>6528</v>
      </c>
      <c r="D82" s="6" t="s">
        <v>5477</v>
      </c>
      <c r="E82" t="s">
        <v>6529</v>
      </c>
      <c r="F82" s="6" t="s">
        <v>648</v>
      </c>
    </row>
    <row r="83" spans="1:6">
      <c r="A83" s="5" t="s">
        <v>6530</v>
      </c>
      <c r="B83" s="5" t="s">
        <v>6531</v>
      </c>
      <c r="C83" t="s">
        <v>6532</v>
      </c>
      <c r="D83" s="6" t="s">
        <v>6294</v>
      </c>
      <c r="E83" t="s">
        <v>6302</v>
      </c>
      <c r="F83" s="6" t="s">
        <v>648</v>
      </c>
    </row>
    <row r="84" spans="1:6">
      <c r="A84" s="5" t="s">
        <v>6533</v>
      </c>
      <c r="B84" s="5" t="s">
        <v>6534</v>
      </c>
      <c r="C84" t="s">
        <v>6535</v>
      </c>
      <c r="D84" s="6" t="s">
        <v>5542</v>
      </c>
      <c r="E84" t="s">
        <v>6536</v>
      </c>
      <c r="F84" s="6" t="s">
        <v>34</v>
      </c>
    </row>
    <row r="85" spans="1:6">
      <c r="A85" s="5" t="s">
        <v>6537</v>
      </c>
      <c r="B85" s="5" t="s">
        <v>6538</v>
      </c>
      <c r="C85" t="s">
        <v>6539</v>
      </c>
      <c r="D85" s="6" t="s">
        <v>6540</v>
      </c>
      <c r="E85" t="s">
        <v>6541</v>
      </c>
      <c r="F85" s="6" t="s">
        <v>387</v>
      </c>
    </row>
    <row r="86" spans="1:6">
      <c r="A86" s="5" t="s">
        <v>6542</v>
      </c>
      <c r="B86" s="5" t="s">
        <v>6543</v>
      </c>
      <c r="C86" t="s">
        <v>6544</v>
      </c>
      <c r="D86" s="6" t="s">
        <v>6545</v>
      </c>
      <c r="E86" t="s">
        <v>6546</v>
      </c>
      <c r="F86" s="6" t="s">
        <v>6547</v>
      </c>
    </row>
    <row r="87" spans="1:6">
      <c r="A87" s="5" t="s">
        <v>6548</v>
      </c>
      <c r="B87" s="5" t="s">
        <v>6549</v>
      </c>
      <c r="C87" t="s">
        <v>6550</v>
      </c>
      <c r="D87" s="6" t="s">
        <v>6294</v>
      </c>
      <c r="E87" t="s">
        <v>6551</v>
      </c>
      <c r="F87" s="6" t="s">
        <v>6547</v>
      </c>
    </row>
    <row r="88" spans="1:6">
      <c r="A88" s="5" t="s">
        <v>6552</v>
      </c>
      <c r="B88" s="5" t="s">
        <v>2034</v>
      </c>
      <c r="C88" t="s">
        <v>6553</v>
      </c>
      <c r="D88" s="6" t="s">
        <v>6294</v>
      </c>
      <c r="E88" t="s">
        <v>6554</v>
      </c>
      <c r="F88" s="6" t="s">
        <v>6296</v>
      </c>
    </row>
    <row r="89" spans="1:6">
      <c r="A89" s="5" t="s">
        <v>6555</v>
      </c>
      <c r="B89" s="5" t="s">
        <v>6556</v>
      </c>
      <c r="C89" t="s">
        <v>6557</v>
      </c>
      <c r="D89" s="6" t="s">
        <v>6294</v>
      </c>
      <c r="E89" t="s">
        <v>6558</v>
      </c>
      <c r="F89" s="6" t="s">
        <v>6296</v>
      </c>
    </row>
    <row r="90" spans="1:6">
      <c r="A90" s="5" t="s">
        <v>6559</v>
      </c>
      <c r="B90" s="5" t="s">
        <v>6560</v>
      </c>
      <c r="C90" t="s">
        <v>6561</v>
      </c>
      <c r="D90" s="6" t="s">
        <v>6562</v>
      </c>
      <c r="E90" t="s">
        <v>6563</v>
      </c>
      <c r="F90" s="6" t="s">
        <v>6296</v>
      </c>
    </row>
    <row r="91" spans="1:6">
      <c r="A91" s="5" t="s">
        <v>6564</v>
      </c>
      <c r="B91" s="5" t="s">
        <v>6565</v>
      </c>
      <c r="C91" t="s">
        <v>6566</v>
      </c>
      <c r="D91" s="6" t="s">
        <v>5546</v>
      </c>
      <c r="E91" t="s">
        <v>6567</v>
      </c>
      <c r="F91" s="6" t="s">
        <v>160</v>
      </c>
    </row>
    <row r="92" spans="1:6">
      <c r="A92" s="5" t="s">
        <v>6568</v>
      </c>
      <c r="B92" s="5" t="s">
        <v>6569</v>
      </c>
      <c r="C92" t="s">
        <v>6570</v>
      </c>
      <c r="D92" s="6" t="s">
        <v>6294</v>
      </c>
      <c r="E92" t="s">
        <v>6571</v>
      </c>
      <c r="F92" s="6" t="s">
        <v>153</v>
      </c>
    </row>
    <row r="93" spans="1:6">
      <c r="A93" s="5" t="s">
        <v>1247</v>
      </c>
      <c r="B93" s="5" t="s">
        <v>1248</v>
      </c>
      <c r="C93" t="s">
        <v>6572</v>
      </c>
      <c r="D93" s="6" t="s">
        <v>1249</v>
      </c>
      <c r="E93" t="s">
        <v>6573</v>
      </c>
      <c r="F93" s="6" t="s">
        <v>387</v>
      </c>
    </row>
    <row r="94" spans="1:6">
      <c r="A94" s="5" t="s">
        <v>6574</v>
      </c>
      <c r="B94" s="5" t="s">
        <v>6574</v>
      </c>
      <c r="C94" t="s">
        <v>6575</v>
      </c>
      <c r="D94" s="6" t="s">
        <v>5556</v>
      </c>
      <c r="E94" t="s">
        <v>6576</v>
      </c>
      <c r="F94" s="6" t="s">
        <v>2311</v>
      </c>
    </row>
    <row r="95" spans="1:6">
      <c r="A95" s="5" t="s">
        <v>6577</v>
      </c>
      <c r="B95" s="5" t="s">
        <v>6578</v>
      </c>
      <c r="C95" t="s">
        <v>6579</v>
      </c>
      <c r="D95" s="6" t="s">
        <v>6294</v>
      </c>
      <c r="E95" t="s">
        <v>6580</v>
      </c>
      <c r="F95" s="6" t="s">
        <v>1276</v>
      </c>
    </row>
    <row r="96" spans="1:6">
      <c r="A96" s="5" t="s">
        <v>6581</v>
      </c>
      <c r="B96" s="5" t="s">
        <v>6582</v>
      </c>
      <c r="C96" t="s">
        <v>6583</v>
      </c>
      <c r="D96" s="6" t="s">
        <v>6294</v>
      </c>
      <c r="E96" t="s">
        <v>6584</v>
      </c>
      <c r="F96" s="6" t="s">
        <v>1276</v>
      </c>
    </row>
    <row r="97" spans="1:6">
      <c r="A97" s="5" t="s">
        <v>6585</v>
      </c>
      <c r="B97" s="5" t="s">
        <v>6586</v>
      </c>
      <c r="C97" t="s">
        <v>6587</v>
      </c>
      <c r="D97" s="6" t="s">
        <v>5552</v>
      </c>
      <c r="E97" t="s">
        <v>6588</v>
      </c>
      <c r="F97" s="6" t="s">
        <v>2311</v>
      </c>
    </row>
    <row r="98" spans="1:6">
      <c r="A98" s="5" t="s">
        <v>6589</v>
      </c>
      <c r="B98" s="5" t="s">
        <v>6590</v>
      </c>
      <c r="C98" t="s">
        <v>6591</v>
      </c>
      <c r="D98" s="6" t="s">
        <v>5565</v>
      </c>
      <c r="E98" t="s">
        <v>6592</v>
      </c>
      <c r="F98" s="6" t="s">
        <v>1246</v>
      </c>
    </row>
    <row r="99" spans="1:6">
      <c r="A99" s="5" t="s">
        <v>6593</v>
      </c>
      <c r="B99" s="5" t="s">
        <v>6594</v>
      </c>
      <c r="C99" t="s">
        <v>6595</v>
      </c>
      <c r="D99" s="6" t="s">
        <v>5568</v>
      </c>
      <c r="E99" t="s">
        <v>6596</v>
      </c>
      <c r="F99" s="6" t="s">
        <v>6597</v>
      </c>
    </row>
    <row r="100" spans="1:6">
      <c r="A100" s="5" t="s">
        <v>6598</v>
      </c>
      <c r="B100" s="5" t="s">
        <v>6599</v>
      </c>
      <c r="C100" t="s">
        <v>6600</v>
      </c>
      <c r="D100" s="6" t="s">
        <v>1284</v>
      </c>
      <c r="E100" t="s">
        <v>6601</v>
      </c>
      <c r="F100" s="6" t="s">
        <v>6597</v>
      </c>
    </row>
    <row r="101" spans="1:6">
      <c r="A101" s="5" t="s">
        <v>6602</v>
      </c>
      <c r="B101" s="5" t="s">
        <v>6603</v>
      </c>
      <c r="C101" t="s">
        <v>6604</v>
      </c>
      <c r="D101" s="6" t="s">
        <v>5538</v>
      </c>
      <c r="E101" t="s">
        <v>6605</v>
      </c>
      <c r="F101" s="6" t="s">
        <v>503</v>
      </c>
    </row>
    <row r="102" spans="1:6">
      <c r="A102" s="5" t="s">
        <v>6606</v>
      </c>
      <c r="B102" s="5" t="s">
        <v>6607</v>
      </c>
      <c r="C102" t="s">
        <v>6608</v>
      </c>
      <c r="D102" s="6" t="s">
        <v>5578</v>
      </c>
      <c r="E102" t="s">
        <v>6609</v>
      </c>
      <c r="F102" s="6" t="s">
        <v>785</v>
      </c>
    </row>
    <row r="103" spans="1:6">
      <c r="A103" s="5" t="s">
        <v>6610</v>
      </c>
      <c r="B103" s="5" t="s">
        <v>2054</v>
      </c>
      <c r="C103" t="s">
        <v>6611</v>
      </c>
      <c r="D103" s="6" t="s">
        <v>6612</v>
      </c>
      <c r="E103" t="s">
        <v>6613</v>
      </c>
      <c r="F103" s="6" t="s">
        <v>228</v>
      </c>
    </row>
    <row r="104" spans="1:6">
      <c r="A104" s="5" t="s">
        <v>1342</v>
      </c>
      <c r="B104" s="5" t="s">
        <v>6614</v>
      </c>
      <c r="C104" t="s">
        <v>6615</v>
      </c>
      <c r="D104" s="6" t="s">
        <v>1344</v>
      </c>
      <c r="E104" t="s">
        <v>6616</v>
      </c>
      <c r="F104" s="6" t="s">
        <v>2288</v>
      </c>
    </row>
    <row r="105" spans="1:6">
      <c r="A105" s="5" t="s">
        <v>6617</v>
      </c>
      <c r="B105" s="5" t="s">
        <v>2064</v>
      </c>
      <c r="C105" t="s">
        <v>6618</v>
      </c>
      <c r="D105" s="6" t="s">
        <v>1366</v>
      </c>
      <c r="E105" t="s">
        <v>6619</v>
      </c>
      <c r="F105" s="6" t="s">
        <v>1370</v>
      </c>
    </row>
    <row r="106" spans="1:6">
      <c r="A106" s="5" t="s">
        <v>1388</v>
      </c>
      <c r="B106" s="5" t="s">
        <v>6620</v>
      </c>
      <c r="C106" t="s">
        <v>6621</v>
      </c>
      <c r="D106" s="6" t="s">
        <v>6622</v>
      </c>
      <c r="E106" t="s">
        <v>6623</v>
      </c>
      <c r="F106" s="6" t="s">
        <v>1370</v>
      </c>
    </row>
    <row r="107" spans="1:6">
      <c r="A107" s="5" t="s">
        <v>6624</v>
      </c>
      <c r="B107" s="5" t="s">
        <v>6625</v>
      </c>
      <c r="C107" t="s">
        <v>6626</v>
      </c>
      <c r="D107" s="6" t="s">
        <v>6220</v>
      </c>
      <c r="E107" t="s">
        <v>6627</v>
      </c>
      <c r="F107" s="6" t="s">
        <v>1370</v>
      </c>
    </row>
    <row r="108" spans="1:6">
      <c r="A108" s="5" t="s">
        <v>1403</v>
      </c>
      <c r="B108" s="5" t="s">
        <v>6628</v>
      </c>
      <c r="C108" t="s">
        <v>6629</v>
      </c>
      <c r="D108" s="6" t="s">
        <v>5607</v>
      </c>
      <c r="E108" t="s">
        <v>6630</v>
      </c>
      <c r="F108" s="6" t="s">
        <v>330</v>
      </c>
    </row>
    <row r="109" spans="1:6">
      <c r="A109" s="5" t="s">
        <v>6631</v>
      </c>
      <c r="B109" s="5" t="s">
        <v>6632</v>
      </c>
      <c r="C109" t="s">
        <v>6633</v>
      </c>
      <c r="D109" s="6" t="s">
        <v>5605</v>
      </c>
      <c r="E109" t="s">
        <v>6634</v>
      </c>
      <c r="F109" s="6" t="s">
        <v>6635</v>
      </c>
    </row>
    <row r="110" spans="1:6">
      <c r="A110" s="5" t="s">
        <v>1409</v>
      </c>
      <c r="B110" s="5" t="s">
        <v>6636</v>
      </c>
      <c r="C110" t="s">
        <v>6637</v>
      </c>
      <c r="D110" s="6" t="s">
        <v>1411</v>
      </c>
      <c r="E110" t="s">
        <v>6638</v>
      </c>
      <c r="F110" s="6" t="s">
        <v>153</v>
      </c>
    </row>
    <row r="111" spans="1:6">
      <c r="A111" s="5" t="s">
        <v>6639</v>
      </c>
      <c r="B111" s="5" t="s">
        <v>6640</v>
      </c>
      <c r="C111" t="s">
        <v>6641</v>
      </c>
      <c r="D111" s="6" t="s">
        <v>6642</v>
      </c>
      <c r="E111" t="s">
        <v>6571</v>
      </c>
      <c r="F111" s="6" t="s">
        <v>153</v>
      </c>
    </row>
    <row r="112" spans="1:6">
      <c r="A112" s="5" t="s">
        <v>6643</v>
      </c>
      <c r="B112" s="5" t="s">
        <v>6644</v>
      </c>
      <c r="C112" t="s">
        <v>6645</v>
      </c>
      <c r="D112" s="6" t="s">
        <v>6646</v>
      </c>
      <c r="E112" t="s">
        <v>6647</v>
      </c>
      <c r="F112" s="6" t="s">
        <v>3065</v>
      </c>
    </row>
    <row r="113" spans="1:6">
      <c r="A113" s="5" t="s">
        <v>6648</v>
      </c>
      <c r="B113" s="5" t="s">
        <v>6648</v>
      </c>
      <c r="C113" t="s">
        <v>6649</v>
      </c>
      <c r="D113" s="6" t="s">
        <v>6294</v>
      </c>
      <c r="E113" t="s">
        <v>6650</v>
      </c>
      <c r="F113" s="6" t="s">
        <v>330</v>
      </c>
    </row>
    <row r="114" spans="1:6">
      <c r="A114" s="5" t="s">
        <v>6651</v>
      </c>
      <c r="B114" s="5" t="s">
        <v>2067</v>
      </c>
      <c r="C114" t="s">
        <v>6652</v>
      </c>
      <c r="D114" s="6" t="s">
        <v>1631</v>
      </c>
      <c r="E114" t="s">
        <v>6653</v>
      </c>
      <c r="F114" s="6" t="s">
        <v>153</v>
      </c>
    </row>
    <row r="115" spans="1:6">
      <c r="A115" s="5" t="s">
        <v>6654</v>
      </c>
      <c r="B115" s="5" t="s">
        <v>6655</v>
      </c>
      <c r="C115" t="s">
        <v>6656</v>
      </c>
      <c r="D115" s="6" t="s">
        <v>6657</v>
      </c>
      <c r="E115" t="s">
        <v>6658</v>
      </c>
      <c r="F115" s="6" t="s">
        <v>1303</v>
      </c>
    </row>
    <row r="116" spans="1:6">
      <c r="A116" s="5" t="s">
        <v>6659</v>
      </c>
      <c r="B116" s="5" t="s">
        <v>2071</v>
      </c>
      <c r="C116" t="s">
        <v>6660</v>
      </c>
      <c r="D116" s="6" t="s">
        <v>1324</v>
      </c>
      <c r="E116" t="s">
        <v>6661</v>
      </c>
      <c r="F116" s="6" t="s">
        <v>153</v>
      </c>
    </row>
    <row r="117" spans="1:6">
      <c r="A117" s="5" t="s">
        <v>1439</v>
      </c>
      <c r="B117" s="5" t="s">
        <v>6662</v>
      </c>
      <c r="C117" t="s">
        <v>6663</v>
      </c>
      <c r="D117" s="6" t="s">
        <v>1441</v>
      </c>
      <c r="E117" t="s">
        <v>6664</v>
      </c>
      <c r="F117" s="6" t="s">
        <v>153</v>
      </c>
    </row>
    <row r="118" spans="1:6">
      <c r="A118" s="5" t="s">
        <v>6665</v>
      </c>
      <c r="B118" s="5" t="s">
        <v>2074</v>
      </c>
      <c r="C118" t="s">
        <v>6666</v>
      </c>
      <c r="D118" s="6" t="s">
        <v>1441</v>
      </c>
      <c r="E118" t="s">
        <v>6475</v>
      </c>
      <c r="F118" s="6" t="s">
        <v>153</v>
      </c>
    </row>
    <row r="119" spans="1:6">
      <c r="A119" s="5" t="s">
        <v>6667</v>
      </c>
      <c r="B119" s="5" t="s">
        <v>6668</v>
      </c>
      <c r="C119" t="s">
        <v>6669</v>
      </c>
      <c r="D119" s="6" t="s">
        <v>5650</v>
      </c>
      <c r="E119" t="s">
        <v>6670</v>
      </c>
      <c r="F119" s="6" t="s">
        <v>1246</v>
      </c>
    </row>
    <row r="120" spans="1:6">
      <c r="A120" s="5" t="s">
        <v>6671</v>
      </c>
      <c r="B120" s="5" t="s">
        <v>6672</v>
      </c>
      <c r="C120" t="s">
        <v>6673</v>
      </c>
      <c r="D120" s="6" t="s">
        <v>5640</v>
      </c>
      <c r="E120" t="s">
        <v>6674</v>
      </c>
      <c r="F120" s="6" t="s">
        <v>3065</v>
      </c>
    </row>
    <row r="121" spans="1:6">
      <c r="A121" s="5" t="s">
        <v>6675</v>
      </c>
      <c r="B121" s="5" t="s">
        <v>6676</v>
      </c>
      <c r="C121" t="s">
        <v>6677</v>
      </c>
      <c r="D121" s="6" t="s">
        <v>6678</v>
      </c>
      <c r="E121" t="s">
        <v>6679</v>
      </c>
      <c r="F121" s="6" t="s">
        <v>3065</v>
      </c>
    </row>
    <row r="122" spans="1:6">
      <c r="A122" s="5" t="s">
        <v>6680</v>
      </c>
      <c r="B122" s="5" t="s">
        <v>6681</v>
      </c>
      <c r="C122" t="s">
        <v>6682</v>
      </c>
      <c r="D122" s="6" t="s">
        <v>5650</v>
      </c>
      <c r="E122" t="s">
        <v>6683</v>
      </c>
      <c r="F122" s="6" t="s">
        <v>1246</v>
      </c>
    </row>
    <row r="123" spans="1:6">
      <c r="A123" s="5" t="s">
        <v>6684</v>
      </c>
      <c r="B123" s="5" t="s">
        <v>6685</v>
      </c>
      <c r="C123" t="s">
        <v>6686</v>
      </c>
      <c r="D123" s="6" t="s">
        <v>6687</v>
      </c>
      <c r="E123" t="s">
        <v>6688</v>
      </c>
      <c r="F123" s="6" t="s">
        <v>3065</v>
      </c>
    </row>
    <row r="124" spans="1:6">
      <c r="A124" s="5" t="s">
        <v>1601</v>
      </c>
      <c r="B124" s="5" t="s">
        <v>6689</v>
      </c>
      <c r="C124" t="s">
        <v>6690</v>
      </c>
      <c r="D124" s="6" t="s">
        <v>1603</v>
      </c>
      <c r="E124" t="s">
        <v>6497</v>
      </c>
      <c r="F124" s="6" t="s">
        <v>573</v>
      </c>
    </row>
    <row r="125" spans="1:6">
      <c r="A125" s="5" t="s">
        <v>6691</v>
      </c>
      <c r="B125" s="5" t="s">
        <v>6692</v>
      </c>
      <c r="C125" t="s">
        <v>6693</v>
      </c>
      <c r="D125" s="6" t="s">
        <v>1608</v>
      </c>
      <c r="E125" t="s">
        <v>6694</v>
      </c>
      <c r="F125" s="6" t="s">
        <v>1611</v>
      </c>
    </row>
    <row r="126" spans="1:6">
      <c r="A126" s="5" t="s">
        <v>6695</v>
      </c>
      <c r="B126" s="5" t="s">
        <v>6696</v>
      </c>
      <c r="C126" t="s">
        <v>6697</v>
      </c>
      <c r="D126" s="6" t="s">
        <v>5671</v>
      </c>
      <c r="E126" t="s">
        <v>6698</v>
      </c>
      <c r="F126" s="6" t="s">
        <v>1611</v>
      </c>
    </row>
    <row r="127" spans="1:6">
      <c r="A127" s="5" t="s">
        <v>6699</v>
      </c>
      <c r="B127" s="5" t="s">
        <v>6700</v>
      </c>
      <c r="C127" t="s">
        <v>6701</v>
      </c>
      <c r="D127" s="6" t="s">
        <v>5619</v>
      </c>
      <c r="E127" t="s">
        <v>6702</v>
      </c>
      <c r="F127" s="6" t="s">
        <v>153</v>
      </c>
    </row>
    <row r="128" spans="1:6">
      <c r="A128" s="5" t="s">
        <v>6703</v>
      </c>
      <c r="B128" s="5" t="s">
        <v>6704</v>
      </c>
      <c r="C128" t="s">
        <v>6705</v>
      </c>
      <c r="D128" s="6" t="s">
        <v>1631</v>
      </c>
      <c r="E128" t="s">
        <v>6706</v>
      </c>
      <c r="F128" s="6" t="s">
        <v>153</v>
      </c>
    </row>
    <row r="129" spans="1:6">
      <c r="A129" s="5" t="s">
        <v>6707</v>
      </c>
      <c r="B129" s="5" t="s">
        <v>6708</v>
      </c>
      <c r="C129" t="s">
        <v>6709</v>
      </c>
      <c r="D129" s="6" t="s">
        <v>5675</v>
      </c>
      <c r="E129" t="s">
        <v>6710</v>
      </c>
      <c r="F129" s="6" t="s">
        <v>153</v>
      </c>
    </row>
    <row r="130" spans="1:6">
      <c r="A130" s="5" t="s">
        <v>1635</v>
      </c>
      <c r="B130" s="5" t="s">
        <v>6711</v>
      </c>
      <c r="C130" t="s">
        <v>6712</v>
      </c>
      <c r="D130" s="6" t="s">
        <v>5660</v>
      </c>
      <c r="E130" t="s">
        <v>6713</v>
      </c>
      <c r="F130" s="6" t="s">
        <v>153</v>
      </c>
    </row>
    <row r="131" spans="1:6">
      <c r="A131" s="5" t="s">
        <v>6714</v>
      </c>
      <c r="B131" s="5" t="s">
        <v>2106</v>
      </c>
      <c r="C131" t="s">
        <v>6715</v>
      </c>
      <c r="D131" s="6" t="s">
        <v>6294</v>
      </c>
      <c r="E131" t="s">
        <v>6716</v>
      </c>
      <c r="F131" s="6" t="s">
        <v>1276</v>
      </c>
    </row>
    <row r="132" spans="1:6">
      <c r="A132" s="5" t="s">
        <v>6717</v>
      </c>
      <c r="B132" s="5" t="s">
        <v>1648</v>
      </c>
      <c r="C132" t="s">
        <v>6718</v>
      </c>
      <c r="D132" s="6" t="s">
        <v>5678</v>
      </c>
      <c r="E132" t="s">
        <v>6719</v>
      </c>
      <c r="F132" s="6" t="s">
        <v>6720</v>
      </c>
    </row>
    <row r="133" spans="1:6">
      <c r="A133" s="5" t="s">
        <v>6721</v>
      </c>
      <c r="B133" s="5" t="s">
        <v>6722</v>
      </c>
      <c r="C133" t="s">
        <v>6723</v>
      </c>
      <c r="D133" s="6" t="s">
        <v>6724</v>
      </c>
      <c r="E133" t="s">
        <v>6725</v>
      </c>
      <c r="F133" s="6" t="s">
        <v>1276</v>
      </c>
    </row>
    <row r="134" spans="1:6">
      <c r="A134" s="5" t="s">
        <v>6726</v>
      </c>
      <c r="B134" s="5" t="s">
        <v>6727</v>
      </c>
      <c r="C134" t="s">
        <v>6728</v>
      </c>
      <c r="D134" s="6" t="s">
        <v>5192</v>
      </c>
      <c r="E134" t="s">
        <v>6729</v>
      </c>
      <c r="F134" s="6" t="s">
        <v>1272</v>
      </c>
    </row>
    <row r="135" spans="1:6">
      <c r="A135" s="5" t="s">
        <v>6730</v>
      </c>
      <c r="B135" s="5" t="s">
        <v>6731</v>
      </c>
      <c r="C135" t="s">
        <v>6732</v>
      </c>
      <c r="D135" s="6" t="s">
        <v>5720</v>
      </c>
      <c r="E135" t="s">
        <v>6733</v>
      </c>
      <c r="F135" s="6" t="s">
        <v>503</v>
      </c>
    </row>
    <row r="136" spans="1:6">
      <c r="A136" s="5" t="s">
        <v>6734</v>
      </c>
      <c r="B136" s="5" t="s">
        <v>6735</v>
      </c>
      <c r="C136" t="s">
        <v>6736</v>
      </c>
      <c r="D136" s="6" t="s">
        <v>3461</v>
      </c>
      <c r="E136" t="s">
        <v>6737</v>
      </c>
      <c r="F136" s="6" t="s">
        <v>1727</v>
      </c>
    </row>
    <row r="137" spans="1:6">
      <c r="A137" s="5" t="s">
        <v>2450</v>
      </c>
      <c r="B137" s="5" t="s">
        <v>2451</v>
      </c>
      <c r="C137" t="s">
        <v>6738</v>
      </c>
      <c r="D137" s="6" t="s">
        <v>2452</v>
      </c>
      <c r="E137" t="s">
        <v>6739</v>
      </c>
      <c r="F137" s="6" t="s">
        <v>6740</v>
      </c>
    </row>
    <row r="138" spans="1:6">
      <c r="A138" s="5" t="s">
        <v>6741</v>
      </c>
      <c r="B138" s="5" t="s">
        <v>6741</v>
      </c>
      <c r="C138" t="s">
        <v>6742</v>
      </c>
      <c r="D138" s="6" t="s">
        <v>6294</v>
      </c>
      <c r="E138" t="s">
        <v>6719</v>
      </c>
      <c r="F138" s="6" t="s">
        <v>6743</v>
      </c>
    </row>
    <row r="139" spans="1:6">
      <c r="A139" s="5" t="s">
        <v>6744</v>
      </c>
      <c r="B139" s="5" t="s">
        <v>6745</v>
      </c>
      <c r="C139" t="s">
        <v>6746</v>
      </c>
      <c r="D139" s="6" t="s">
        <v>6249</v>
      </c>
      <c r="E139" t="s">
        <v>6747</v>
      </c>
      <c r="F139" s="6" t="s">
        <v>153</v>
      </c>
    </row>
    <row r="140" spans="1:6">
      <c r="A140" s="5" t="s">
        <v>6748</v>
      </c>
      <c r="B140" s="5" t="s">
        <v>6749</v>
      </c>
      <c r="C140" t="s">
        <v>6750</v>
      </c>
      <c r="D140" s="6" t="s">
        <v>6294</v>
      </c>
      <c r="E140" t="s">
        <v>6716</v>
      </c>
      <c r="F140" s="6" t="s">
        <v>1276</v>
      </c>
    </row>
    <row r="141" spans="1:6">
      <c r="A141" s="5" t="s">
        <v>2508</v>
      </c>
      <c r="B141" s="5" t="s">
        <v>6751</v>
      </c>
      <c r="C141" t="s">
        <v>6752</v>
      </c>
      <c r="D141" s="6" t="s">
        <v>2510</v>
      </c>
      <c r="E141" t="s">
        <v>6753</v>
      </c>
      <c r="F141" s="6" t="s">
        <v>153</v>
      </c>
    </row>
    <row r="142" spans="1:6">
      <c r="A142" s="5" t="s">
        <v>2513</v>
      </c>
      <c r="B142" s="5" t="s">
        <v>6754</v>
      </c>
      <c r="C142" t="s">
        <v>6755</v>
      </c>
      <c r="D142" s="6" t="s">
        <v>2331</v>
      </c>
      <c r="E142" t="s">
        <v>6756</v>
      </c>
      <c r="F142" s="6" t="s">
        <v>3289</v>
      </c>
    </row>
    <row r="143" spans="1:6">
      <c r="A143" s="5" t="s">
        <v>6757</v>
      </c>
      <c r="B143" s="5" t="s">
        <v>6758</v>
      </c>
      <c r="C143" t="s">
        <v>6759</v>
      </c>
      <c r="D143" s="6" t="s">
        <v>6294</v>
      </c>
      <c r="E143" t="s">
        <v>6760</v>
      </c>
      <c r="F143" s="6" t="s">
        <v>1276</v>
      </c>
    </row>
    <row r="144" spans="1:6">
      <c r="A144" s="5" t="s">
        <v>6761</v>
      </c>
      <c r="B144" s="5" t="s">
        <v>6762</v>
      </c>
      <c r="C144" t="s">
        <v>6763</v>
      </c>
      <c r="D144" s="6" t="s">
        <v>5761</v>
      </c>
      <c r="E144" t="s">
        <v>6764</v>
      </c>
      <c r="F144" s="6" t="s">
        <v>1296</v>
      </c>
    </row>
    <row r="145" spans="1:6">
      <c r="A145" s="5" t="s">
        <v>6765</v>
      </c>
      <c r="B145" s="5" t="s">
        <v>6766</v>
      </c>
      <c r="C145" t="s">
        <v>6767</v>
      </c>
      <c r="D145" s="6" t="s">
        <v>2519</v>
      </c>
      <c r="E145" t="s">
        <v>6768</v>
      </c>
      <c r="F145" s="6" t="s">
        <v>6769</v>
      </c>
    </row>
    <row r="146" spans="1:6">
      <c r="A146" s="5" t="s">
        <v>6770</v>
      </c>
      <c r="B146" s="5" t="s">
        <v>6771</v>
      </c>
      <c r="C146" t="s">
        <v>6772</v>
      </c>
      <c r="D146" s="6" t="s">
        <v>5774</v>
      </c>
      <c r="E146" t="s">
        <v>6773</v>
      </c>
      <c r="F146" s="6" t="s">
        <v>1727</v>
      </c>
    </row>
    <row r="147" spans="1:6">
      <c r="A147" s="5" t="s">
        <v>2535</v>
      </c>
      <c r="B147" s="5" t="s">
        <v>2536</v>
      </c>
      <c r="C147" t="s">
        <v>6774</v>
      </c>
      <c r="D147" s="6" t="s">
        <v>5763</v>
      </c>
      <c r="E147" t="s">
        <v>6350</v>
      </c>
      <c r="F147" s="6" t="s">
        <v>153</v>
      </c>
    </row>
    <row r="148" spans="1:6">
      <c r="A148" s="5" t="s">
        <v>6775</v>
      </c>
      <c r="B148" s="5" t="s">
        <v>6776</v>
      </c>
      <c r="C148" t="s">
        <v>6777</v>
      </c>
      <c r="D148" s="6" t="s">
        <v>5879</v>
      </c>
      <c r="E148" t="s">
        <v>6778</v>
      </c>
      <c r="F148" s="6" t="s">
        <v>1600</v>
      </c>
    </row>
    <row r="149" spans="1:6">
      <c r="A149" s="5" t="s">
        <v>2543</v>
      </c>
      <c r="B149" s="5" t="s">
        <v>6779</v>
      </c>
      <c r="C149" t="s">
        <v>6780</v>
      </c>
      <c r="D149" s="6" t="s">
        <v>2545</v>
      </c>
      <c r="E149" t="s">
        <v>6781</v>
      </c>
      <c r="F149" s="6" t="s">
        <v>573</v>
      </c>
    </row>
    <row r="150" spans="1:6">
      <c r="A150" s="5" t="s">
        <v>6782</v>
      </c>
      <c r="B150" s="5" t="s">
        <v>6783</v>
      </c>
      <c r="C150" t="s">
        <v>6784</v>
      </c>
      <c r="D150" s="6" t="s">
        <v>5780</v>
      </c>
      <c r="E150" t="s">
        <v>6785</v>
      </c>
      <c r="F150" s="6" t="s">
        <v>103</v>
      </c>
    </row>
    <row r="151" spans="1:6">
      <c r="A151" s="5" t="s">
        <v>6786</v>
      </c>
      <c r="B151" s="5" t="s">
        <v>6787</v>
      </c>
      <c r="C151" t="s">
        <v>6788</v>
      </c>
      <c r="D151" s="6" t="s">
        <v>5782</v>
      </c>
      <c r="E151" t="s">
        <v>6789</v>
      </c>
      <c r="F151" s="6" t="s">
        <v>103</v>
      </c>
    </row>
    <row r="152" spans="1:6">
      <c r="A152" s="5" t="s">
        <v>6790</v>
      </c>
      <c r="B152" s="5" t="s">
        <v>6791</v>
      </c>
      <c r="C152" t="s">
        <v>6792</v>
      </c>
      <c r="D152" s="6" t="s">
        <v>5782</v>
      </c>
      <c r="E152" t="s">
        <v>6789</v>
      </c>
      <c r="F152" s="6" t="s">
        <v>103</v>
      </c>
    </row>
    <row r="153" spans="1:6">
      <c r="A153" s="5" t="s">
        <v>6793</v>
      </c>
      <c r="B153" s="5" t="s">
        <v>6794</v>
      </c>
      <c r="C153" t="s">
        <v>6795</v>
      </c>
      <c r="D153" s="6" t="s">
        <v>5789</v>
      </c>
      <c r="E153" t="s">
        <v>6796</v>
      </c>
      <c r="F153" s="6" t="s">
        <v>103</v>
      </c>
    </row>
    <row r="154" spans="1:6">
      <c r="A154" s="5" t="s">
        <v>6797</v>
      </c>
      <c r="B154" s="5" t="s">
        <v>6798</v>
      </c>
      <c r="C154" t="s">
        <v>6799</v>
      </c>
      <c r="D154" s="6" t="s">
        <v>1826</v>
      </c>
      <c r="E154" t="s">
        <v>6800</v>
      </c>
      <c r="F154" s="6" t="s">
        <v>6547</v>
      </c>
    </row>
    <row r="155" spans="1:6">
      <c r="A155" s="5" t="s">
        <v>6801</v>
      </c>
      <c r="B155" s="5" t="s">
        <v>6802</v>
      </c>
      <c r="C155" t="s">
        <v>6803</v>
      </c>
      <c r="D155" s="6" t="s">
        <v>6294</v>
      </c>
      <c r="E155" t="s">
        <v>6800</v>
      </c>
      <c r="F155" s="6" t="s">
        <v>6547</v>
      </c>
    </row>
    <row r="156" spans="1:6">
      <c r="A156" s="5" t="s">
        <v>6804</v>
      </c>
      <c r="B156" s="5" t="s">
        <v>6805</v>
      </c>
      <c r="C156" t="s">
        <v>6806</v>
      </c>
      <c r="D156" s="6" t="s">
        <v>6294</v>
      </c>
      <c r="E156" t="s">
        <v>6800</v>
      </c>
      <c r="F156" s="6" t="s">
        <v>6547</v>
      </c>
    </row>
    <row r="157" spans="1:6">
      <c r="A157" s="5" t="s">
        <v>6807</v>
      </c>
      <c r="B157" s="5" t="s">
        <v>6808</v>
      </c>
      <c r="C157" t="s">
        <v>6809</v>
      </c>
      <c r="D157" s="6" t="s">
        <v>6810</v>
      </c>
      <c r="E157" t="s">
        <v>6811</v>
      </c>
      <c r="F157" s="6" t="s">
        <v>6547</v>
      </c>
    </row>
    <row r="158" spans="1:6">
      <c r="A158" s="5" t="s">
        <v>6812</v>
      </c>
      <c r="B158" s="5" t="s">
        <v>6813</v>
      </c>
      <c r="C158" t="s">
        <v>6814</v>
      </c>
      <c r="D158" s="6" t="s">
        <v>70</v>
      </c>
      <c r="E158" t="s">
        <v>6815</v>
      </c>
      <c r="F158" s="6" t="s">
        <v>114</v>
      </c>
    </row>
    <row r="159" spans="1:6">
      <c r="A159" s="5" t="s">
        <v>6816</v>
      </c>
      <c r="B159" s="5" t="s">
        <v>6817</v>
      </c>
      <c r="C159" t="s">
        <v>6818</v>
      </c>
      <c r="D159" s="6" t="s">
        <v>5835</v>
      </c>
      <c r="E159" t="s">
        <v>6819</v>
      </c>
      <c r="F159" s="6" t="s">
        <v>503</v>
      </c>
    </row>
    <row r="160" spans="1:6">
      <c r="A160" s="5" t="s">
        <v>6820</v>
      </c>
      <c r="B160" s="5" t="s">
        <v>6821</v>
      </c>
      <c r="C160" t="s">
        <v>6822</v>
      </c>
      <c r="D160" s="6" t="s">
        <v>5603</v>
      </c>
      <c r="E160" t="s">
        <v>6823</v>
      </c>
      <c r="F160" s="6" t="s">
        <v>1303</v>
      </c>
    </row>
    <row r="161" spans="1:6">
      <c r="A161" s="5" t="s">
        <v>6824</v>
      </c>
      <c r="B161" s="5" t="s">
        <v>6825</v>
      </c>
      <c r="C161" t="s">
        <v>6826</v>
      </c>
      <c r="D161" s="6" t="s">
        <v>6827</v>
      </c>
      <c r="E161" t="s">
        <v>6828</v>
      </c>
      <c r="F161" s="6" t="s">
        <v>1303</v>
      </c>
    </row>
    <row r="162" spans="1:6">
      <c r="A162" s="5" t="s">
        <v>6829</v>
      </c>
      <c r="B162" s="5" t="s">
        <v>6830</v>
      </c>
      <c r="C162" t="s">
        <v>6831</v>
      </c>
      <c r="D162" s="6" t="s">
        <v>5844</v>
      </c>
      <c r="E162" t="s">
        <v>6832</v>
      </c>
      <c r="F162" s="6" t="s">
        <v>314</v>
      </c>
    </row>
    <row r="163" spans="1:6">
      <c r="A163" s="5" t="s">
        <v>6833</v>
      </c>
      <c r="B163" s="5" t="s">
        <v>6834</v>
      </c>
      <c r="C163" t="s">
        <v>6835</v>
      </c>
      <c r="D163" s="6" t="s">
        <v>5831</v>
      </c>
      <c r="E163" t="s">
        <v>6836</v>
      </c>
      <c r="F163" s="6" t="s">
        <v>239</v>
      </c>
    </row>
    <row r="164" spans="1:6">
      <c r="A164" s="5" t="s">
        <v>6837</v>
      </c>
      <c r="B164" s="5" t="s">
        <v>6838</v>
      </c>
      <c r="C164" t="s">
        <v>6839</v>
      </c>
      <c r="D164" s="6" t="s">
        <v>6840</v>
      </c>
      <c r="E164" t="s">
        <v>6841</v>
      </c>
      <c r="F164" s="6" t="s">
        <v>6842</v>
      </c>
    </row>
    <row r="165" spans="1:6">
      <c r="A165" s="5" t="s">
        <v>2725</v>
      </c>
      <c r="B165" s="5" t="s">
        <v>6843</v>
      </c>
      <c r="C165" t="s">
        <v>6844</v>
      </c>
      <c r="D165" s="6" t="s">
        <v>6294</v>
      </c>
      <c r="E165" t="s">
        <v>6845</v>
      </c>
      <c r="F165" s="6" t="s">
        <v>6846</v>
      </c>
    </row>
    <row r="166" spans="1:6">
      <c r="A166" s="5" t="s">
        <v>6847</v>
      </c>
      <c r="B166" s="5" t="s">
        <v>6848</v>
      </c>
      <c r="C166" t="s">
        <v>6849</v>
      </c>
      <c r="D166" s="6" t="s">
        <v>6294</v>
      </c>
      <c r="E166" t="s">
        <v>6850</v>
      </c>
      <c r="F166" s="6" t="s">
        <v>1272</v>
      </c>
    </row>
    <row r="167" spans="1:6">
      <c r="A167" s="5" t="s">
        <v>6851</v>
      </c>
      <c r="B167" s="5" t="s">
        <v>6852</v>
      </c>
      <c r="C167" t="s">
        <v>6853</v>
      </c>
      <c r="D167" s="6" t="s">
        <v>5907</v>
      </c>
      <c r="E167" t="s">
        <v>6854</v>
      </c>
      <c r="F167" s="6" t="s">
        <v>131</v>
      </c>
    </row>
    <row r="168" spans="1:6">
      <c r="A168" s="5" t="s">
        <v>2764</v>
      </c>
      <c r="B168" s="5" t="s">
        <v>6855</v>
      </c>
      <c r="C168" t="s">
        <v>6856</v>
      </c>
      <c r="D168" s="6" t="s">
        <v>5902</v>
      </c>
      <c r="E168" t="s">
        <v>6857</v>
      </c>
      <c r="F168" s="6" t="s">
        <v>6597</v>
      </c>
    </row>
    <row r="169" spans="1:6">
      <c r="A169" s="5" t="s">
        <v>2770</v>
      </c>
      <c r="B169" s="5" t="s">
        <v>6858</v>
      </c>
      <c r="C169" t="s">
        <v>6859</v>
      </c>
      <c r="D169" s="6" t="s">
        <v>2772</v>
      </c>
      <c r="E169" t="s">
        <v>6857</v>
      </c>
      <c r="F169" s="6" t="s">
        <v>1246</v>
      </c>
    </row>
    <row r="170" spans="1:6">
      <c r="A170" s="5" t="s">
        <v>6860</v>
      </c>
      <c r="B170" s="5" t="s">
        <v>6861</v>
      </c>
      <c r="C170" t="s">
        <v>6862</v>
      </c>
      <c r="D170" s="6" t="s">
        <v>6863</v>
      </c>
      <c r="E170" t="s">
        <v>6864</v>
      </c>
      <c r="F170" s="6" t="s">
        <v>1246</v>
      </c>
    </row>
    <row r="171" spans="1:6">
      <c r="A171" s="5" t="s">
        <v>6865</v>
      </c>
      <c r="B171" s="5" t="s">
        <v>6866</v>
      </c>
      <c r="C171" t="s">
        <v>6867</v>
      </c>
      <c r="D171" s="6" t="s">
        <v>5833</v>
      </c>
      <c r="E171" t="s">
        <v>6868</v>
      </c>
      <c r="F171" s="6" t="s">
        <v>239</v>
      </c>
    </row>
    <row r="172" spans="1:6">
      <c r="A172" s="5" t="s">
        <v>6869</v>
      </c>
      <c r="B172" s="5" t="s">
        <v>6870</v>
      </c>
      <c r="C172" t="s">
        <v>6871</v>
      </c>
      <c r="D172" s="6" t="s">
        <v>5829</v>
      </c>
      <c r="E172" t="s">
        <v>6872</v>
      </c>
      <c r="F172" s="6" t="s">
        <v>239</v>
      </c>
    </row>
    <row r="173" spans="1:6">
      <c r="A173" s="5" t="s">
        <v>6873</v>
      </c>
      <c r="B173" s="5" t="s">
        <v>6874</v>
      </c>
      <c r="C173" t="s">
        <v>6875</v>
      </c>
      <c r="D173" s="6" t="s">
        <v>6294</v>
      </c>
      <c r="E173" t="s">
        <v>6876</v>
      </c>
      <c r="F173" s="6" t="s">
        <v>2288</v>
      </c>
    </row>
    <row r="174" spans="1:6">
      <c r="A174" s="5" t="s">
        <v>6877</v>
      </c>
      <c r="B174" s="5" t="s">
        <v>2211</v>
      </c>
      <c r="C174" t="s">
        <v>6878</v>
      </c>
      <c r="D174" s="6" t="s">
        <v>5464</v>
      </c>
      <c r="E174" t="s">
        <v>6879</v>
      </c>
      <c r="F174" s="6" t="s">
        <v>2793</v>
      </c>
    </row>
    <row r="175" spans="1:6">
      <c r="A175" s="5" t="s">
        <v>6880</v>
      </c>
      <c r="B175" s="5" t="s">
        <v>6881</v>
      </c>
      <c r="C175" t="s">
        <v>6882</v>
      </c>
      <c r="D175" s="6" t="s">
        <v>6883</v>
      </c>
      <c r="E175" t="s">
        <v>6884</v>
      </c>
      <c r="F175" s="6" t="s">
        <v>1611</v>
      </c>
    </row>
    <row r="176" spans="1:6">
      <c r="A176" s="5" t="s">
        <v>2788</v>
      </c>
      <c r="B176" s="5" t="s">
        <v>2789</v>
      </c>
      <c r="C176" t="s">
        <v>6885</v>
      </c>
      <c r="D176" s="6" t="s">
        <v>2790</v>
      </c>
      <c r="E176" t="s">
        <v>6886</v>
      </c>
      <c r="F176" s="6" t="s">
        <v>2793</v>
      </c>
    </row>
    <row r="177" spans="1:6">
      <c r="A177" s="5" t="s">
        <v>6887</v>
      </c>
      <c r="B177" s="5" t="s">
        <v>6888</v>
      </c>
      <c r="C177" t="s">
        <v>6889</v>
      </c>
      <c r="D177" s="6" t="s">
        <v>6294</v>
      </c>
      <c r="E177" t="s">
        <v>6890</v>
      </c>
      <c r="F177" s="6" t="s">
        <v>6296</v>
      </c>
    </row>
    <row r="178" spans="1:6">
      <c r="A178" s="5" t="s">
        <v>6891</v>
      </c>
      <c r="B178" s="5" t="s">
        <v>6891</v>
      </c>
      <c r="C178" t="s">
        <v>6892</v>
      </c>
      <c r="D178" s="6" t="s">
        <v>6294</v>
      </c>
      <c r="E178" t="s">
        <v>6893</v>
      </c>
      <c r="F178" s="6" t="s">
        <v>1276</v>
      </c>
    </row>
    <row r="179" spans="1:6">
      <c r="A179" s="5" t="s">
        <v>6894</v>
      </c>
      <c r="B179" s="5" t="s">
        <v>6895</v>
      </c>
      <c r="C179" t="s">
        <v>6896</v>
      </c>
      <c r="D179" s="6" t="s">
        <v>5911</v>
      </c>
      <c r="E179" t="s">
        <v>6897</v>
      </c>
      <c r="F179" s="6" t="s">
        <v>1276</v>
      </c>
    </row>
    <row r="180" spans="1:6">
      <c r="A180" s="5" t="s">
        <v>6898</v>
      </c>
      <c r="B180" s="5" t="s">
        <v>6899</v>
      </c>
      <c r="C180" t="s">
        <v>6900</v>
      </c>
      <c r="D180" s="6" t="s">
        <v>6294</v>
      </c>
      <c r="E180" t="s">
        <v>6901</v>
      </c>
      <c r="F180" s="6" t="s">
        <v>1276</v>
      </c>
    </row>
    <row r="181" spans="1:6">
      <c r="A181" s="5" t="s">
        <v>6902</v>
      </c>
      <c r="B181" s="5" t="s">
        <v>6902</v>
      </c>
      <c r="C181" t="s">
        <v>6903</v>
      </c>
      <c r="D181" s="6" t="s">
        <v>6294</v>
      </c>
      <c r="E181" t="s">
        <v>6904</v>
      </c>
      <c r="F181" s="6" t="s">
        <v>1276</v>
      </c>
    </row>
    <row r="182" spans="1:6">
      <c r="A182" s="5" t="s">
        <v>6905</v>
      </c>
      <c r="B182" s="5" t="s">
        <v>6906</v>
      </c>
      <c r="C182" t="s">
        <v>6907</v>
      </c>
      <c r="D182" s="6" t="s">
        <v>5617</v>
      </c>
      <c r="E182" t="s">
        <v>6908</v>
      </c>
      <c r="F182" s="6" t="s">
        <v>153</v>
      </c>
    </row>
    <row r="183" spans="1:6">
      <c r="A183" s="5" t="s">
        <v>6909</v>
      </c>
      <c r="B183" s="5" t="s">
        <v>6910</v>
      </c>
      <c r="C183" t="s">
        <v>6911</v>
      </c>
      <c r="D183" s="6" t="s">
        <v>6233</v>
      </c>
      <c r="E183" t="s">
        <v>6912</v>
      </c>
      <c r="F183" s="6" t="s">
        <v>648</v>
      </c>
    </row>
    <row r="184" spans="1:6">
      <c r="A184" s="5" t="s">
        <v>6913</v>
      </c>
      <c r="B184" s="5" t="s">
        <v>6914</v>
      </c>
      <c r="C184" t="s">
        <v>6915</v>
      </c>
      <c r="D184" s="6" t="s">
        <v>6916</v>
      </c>
      <c r="E184" t="s">
        <v>4472</v>
      </c>
      <c r="F184" s="6" t="s">
        <v>648</v>
      </c>
    </row>
    <row r="185" spans="1:6">
      <c r="A185" s="5" t="s">
        <v>2818</v>
      </c>
      <c r="B185" s="5" t="s">
        <v>6917</v>
      </c>
      <c r="C185" t="s">
        <v>6918</v>
      </c>
      <c r="D185" s="6" t="s">
        <v>2820</v>
      </c>
      <c r="E185" t="s">
        <v>6919</v>
      </c>
      <c r="F185" s="6" t="s">
        <v>648</v>
      </c>
    </row>
    <row r="186" spans="1:6">
      <c r="A186" s="5" t="s">
        <v>2824</v>
      </c>
      <c r="B186" s="5" t="s">
        <v>6920</v>
      </c>
      <c r="C186" t="s">
        <v>6921</v>
      </c>
      <c r="D186" s="6" t="s">
        <v>2820</v>
      </c>
      <c r="E186" t="s">
        <v>6919</v>
      </c>
      <c r="F186" s="6" t="s">
        <v>648</v>
      </c>
    </row>
    <row r="187" spans="1:6">
      <c r="A187" s="5" t="s">
        <v>2828</v>
      </c>
      <c r="B187" s="5" t="s">
        <v>6922</v>
      </c>
      <c r="C187" t="s">
        <v>6923</v>
      </c>
      <c r="D187" s="6" t="s">
        <v>2820</v>
      </c>
      <c r="E187" t="s">
        <v>6919</v>
      </c>
      <c r="F187" s="6" t="s">
        <v>648</v>
      </c>
    </row>
    <row r="188" spans="1:6">
      <c r="A188" s="5" t="s">
        <v>2832</v>
      </c>
      <c r="B188" s="5" t="s">
        <v>6924</v>
      </c>
      <c r="C188" t="s">
        <v>6925</v>
      </c>
      <c r="D188" s="6" t="s">
        <v>2820</v>
      </c>
      <c r="E188" t="s">
        <v>6919</v>
      </c>
      <c r="F188" s="6" t="s">
        <v>648</v>
      </c>
    </row>
    <row r="189" spans="1:6">
      <c r="A189" s="5" t="s">
        <v>2836</v>
      </c>
      <c r="B189" s="5" t="s">
        <v>6926</v>
      </c>
      <c r="C189" t="s">
        <v>6927</v>
      </c>
      <c r="D189" s="6" t="s">
        <v>2820</v>
      </c>
      <c r="E189" t="s">
        <v>6919</v>
      </c>
      <c r="F189" s="6" t="s">
        <v>648</v>
      </c>
    </row>
    <row r="190" spans="1:6">
      <c r="A190" s="5" t="s">
        <v>2840</v>
      </c>
      <c r="B190" s="5" t="s">
        <v>6928</v>
      </c>
      <c r="C190" t="s">
        <v>6929</v>
      </c>
      <c r="D190" s="6" t="s">
        <v>2820</v>
      </c>
      <c r="E190" t="s">
        <v>6919</v>
      </c>
      <c r="F190" s="6" t="s">
        <v>648</v>
      </c>
    </row>
    <row r="191" spans="1:6">
      <c r="A191" s="5" t="s">
        <v>2844</v>
      </c>
      <c r="B191" s="5" t="s">
        <v>6930</v>
      </c>
      <c r="C191" t="s">
        <v>6931</v>
      </c>
      <c r="D191" s="6" t="s">
        <v>2820</v>
      </c>
      <c r="E191" t="s">
        <v>6919</v>
      </c>
      <c r="F191" s="6" t="s">
        <v>648</v>
      </c>
    </row>
    <row r="192" spans="1:6">
      <c r="A192" s="5" t="s">
        <v>2848</v>
      </c>
      <c r="B192" s="5" t="s">
        <v>6932</v>
      </c>
      <c r="C192" t="s">
        <v>6933</v>
      </c>
      <c r="D192" s="6" t="s">
        <v>2820</v>
      </c>
      <c r="E192" t="s">
        <v>6919</v>
      </c>
      <c r="F192" s="6" t="s">
        <v>648</v>
      </c>
    </row>
    <row r="193" spans="1:6">
      <c r="A193" s="5" t="s">
        <v>2852</v>
      </c>
      <c r="B193" s="5" t="s">
        <v>6934</v>
      </c>
      <c r="C193" t="s">
        <v>6935</v>
      </c>
      <c r="D193" s="6" t="s">
        <v>2820</v>
      </c>
      <c r="E193" t="s">
        <v>6936</v>
      </c>
      <c r="F193" s="6" t="s">
        <v>648</v>
      </c>
    </row>
    <row r="194" spans="1:6">
      <c r="A194" s="5" t="s">
        <v>6937</v>
      </c>
      <c r="B194" s="5" t="s">
        <v>6938</v>
      </c>
      <c r="C194" t="s">
        <v>6939</v>
      </c>
      <c r="D194" s="6" t="s">
        <v>6294</v>
      </c>
      <c r="E194" t="s">
        <v>6940</v>
      </c>
      <c r="F194" s="6" t="s">
        <v>2793</v>
      </c>
    </row>
    <row r="195" spans="1:6">
      <c r="A195" s="5" t="s">
        <v>6941</v>
      </c>
      <c r="B195" s="5" t="s">
        <v>6942</v>
      </c>
      <c r="C195" t="s">
        <v>6943</v>
      </c>
      <c r="D195" s="6" t="s">
        <v>5915</v>
      </c>
      <c r="E195" t="s">
        <v>6944</v>
      </c>
      <c r="F195" s="6" t="s">
        <v>2793</v>
      </c>
    </row>
    <row r="196" spans="1:6">
      <c r="A196" s="5" t="s">
        <v>2862</v>
      </c>
      <c r="B196" s="5" t="s">
        <v>6945</v>
      </c>
      <c r="C196" t="s">
        <v>6946</v>
      </c>
      <c r="D196" s="6" t="s">
        <v>2864</v>
      </c>
      <c r="E196" t="s">
        <v>6947</v>
      </c>
      <c r="F196" s="6" t="s">
        <v>2793</v>
      </c>
    </row>
    <row r="197" spans="1:6">
      <c r="A197" s="5" t="s">
        <v>6948</v>
      </c>
      <c r="B197" s="5" t="s">
        <v>6948</v>
      </c>
      <c r="C197" t="s">
        <v>6949</v>
      </c>
      <c r="D197" s="6" t="s">
        <v>6294</v>
      </c>
      <c r="E197" t="s">
        <v>6950</v>
      </c>
      <c r="F197" s="6" t="s">
        <v>1276</v>
      </c>
    </row>
    <row r="198" spans="1:6">
      <c r="A198" s="5" t="s">
        <v>6951</v>
      </c>
      <c r="B198" s="5" t="s">
        <v>6952</v>
      </c>
      <c r="C198" t="s">
        <v>6953</v>
      </c>
      <c r="D198" s="6" t="s">
        <v>6954</v>
      </c>
      <c r="E198" t="s">
        <v>6955</v>
      </c>
      <c r="F198" s="6" t="s">
        <v>6842</v>
      </c>
    </row>
    <row r="199" spans="1:6">
      <c r="A199" s="5" t="s">
        <v>6956</v>
      </c>
      <c r="B199" s="5" t="s">
        <v>6957</v>
      </c>
      <c r="C199" t="s">
        <v>6958</v>
      </c>
      <c r="D199" s="6" t="s">
        <v>6294</v>
      </c>
      <c r="E199" t="s">
        <v>6959</v>
      </c>
      <c r="F199" s="6" t="s">
        <v>2793</v>
      </c>
    </row>
    <row r="200" spans="1:6">
      <c r="A200" s="5" t="s">
        <v>6960</v>
      </c>
      <c r="B200" s="5" t="s">
        <v>6961</v>
      </c>
      <c r="C200" t="s">
        <v>6962</v>
      </c>
      <c r="D200" s="6" t="s">
        <v>5916</v>
      </c>
      <c r="E200" t="s">
        <v>6963</v>
      </c>
      <c r="F200" s="6" t="s">
        <v>2793</v>
      </c>
    </row>
    <row r="201" spans="1:6">
      <c r="A201" s="5" t="s">
        <v>2897</v>
      </c>
      <c r="B201" s="5" t="s">
        <v>2898</v>
      </c>
      <c r="C201" t="s">
        <v>6964</v>
      </c>
      <c r="D201" s="6" t="s">
        <v>2899</v>
      </c>
      <c r="E201" t="s">
        <v>6965</v>
      </c>
      <c r="F201" s="6" t="s">
        <v>153</v>
      </c>
    </row>
    <row r="202" spans="1:6">
      <c r="A202" s="5" t="s">
        <v>2901</v>
      </c>
      <c r="B202" s="5" t="s">
        <v>2902</v>
      </c>
      <c r="C202" t="s">
        <v>6966</v>
      </c>
      <c r="D202" s="6" t="s">
        <v>5752</v>
      </c>
      <c r="E202" t="s">
        <v>6967</v>
      </c>
      <c r="F202" s="6" t="s">
        <v>153</v>
      </c>
    </row>
    <row r="203" spans="1:6">
      <c r="A203" s="5" t="s">
        <v>6968</v>
      </c>
      <c r="B203" s="5" t="s">
        <v>2894</v>
      </c>
      <c r="C203" t="s">
        <v>6969</v>
      </c>
      <c r="D203" s="6" t="s">
        <v>6294</v>
      </c>
      <c r="E203" t="s">
        <v>6970</v>
      </c>
      <c r="F203" s="6" t="s">
        <v>648</v>
      </c>
    </row>
    <row r="204" spans="1:6">
      <c r="A204" s="5" t="s">
        <v>2905</v>
      </c>
      <c r="B204" s="5" t="s">
        <v>2906</v>
      </c>
      <c r="C204" t="s">
        <v>6971</v>
      </c>
      <c r="D204" s="6" t="s">
        <v>2899</v>
      </c>
      <c r="E204" t="s">
        <v>6972</v>
      </c>
      <c r="F204" s="6" t="s">
        <v>648</v>
      </c>
    </row>
    <row r="205" spans="1:6">
      <c r="A205" s="5" t="s">
        <v>2908</v>
      </c>
      <c r="B205" s="5" t="s">
        <v>2909</v>
      </c>
      <c r="C205" t="s">
        <v>6973</v>
      </c>
      <c r="D205" s="6" t="s">
        <v>5413</v>
      </c>
      <c r="E205" t="s">
        <v>6974</v>
      </c>
      <c r="F205" s="6" t="s">
        <v>648</v>
      </c>
    </row>
    <row r="206" spans="1:6">
      <c r="A206" s="5" t="s">
        <v>2911</v>
      </c>
      <c r="B206" s="5" t="s">
        <v>2912</v>
      </c>
      <c r="C206" t="s">
        <v>6975</v>
      </c>
      <c r="D206" s="6" t="s">
        <v>5372</v>
      </c>
      <c r="E206" t="s">
        <v>6976</v>
      </c>
      <c r="F206" s="6" t="s">
        <v>648</v>
      </c>
    </row>
    <row r="207" spans="1:6">
      <c r="A207" s="5" t="s">
        <v>2915</v>
      </c>
      <c r="B207" s="5" t="s">
        <v>2916</v>
      </c>
      <c r="C207" t="s">
        <v>6977</v>
      </c>
      <c r="D207" s="6" t="s">
        <v>6190</v>
      </c>
      <c r="E207" t="s">
        <v>6978</v>
      </c>
      <c r="F207" s="6" t="s">
        <v>648</v>
      </c>
    </row>
    <row r="208" spans="1:6">
      <c r="A208" s="5" t="s">
        <v>2919</v>
      </c>
      <c r="B208" s="5" t="s">
        <v>2920</v>
      </c>
      <c r="C208" t="s">
        <v>6979</v>
      </c>
      <c r="D208" s="6" t="s">
        <v>5413</v>
      </c>
      <c r="E208" t="s">
        <v>6980</v>
      </c>
      <c r="F208" s="6" t="s">
        <v>153</v>
      </c>
    </row>
    <row r="209" spans="1:6">
      <c r="A209" s="5" t="s">
        <v>2922</v>
      </c>
      <c r="B209" s="5" t="s">
        <v>2923</v>
      </c>
      <c r="C209" t="s">
        <v>6981</v>
      </c>
      <c r="D209" s="6" t="s">
        <v>2899</v>
      </c>
      <c r="E209" t="s">
        <v>6982</v>
      </c>
      <c r="F209" s="6" t="s">
        <v>153</v>
      </c>
    </row>
    <row r="210" spans="1:6">
      <c r="A210" s="5" t="s">
        <v>2925</v>
      </c>
      <c r="B210" s="5" t="s">
        <v>2926</v>
      </c>
      <c r="C210" t="s">
        <v>6983</v>
      </c>
      <c r="D210" s="6" t="s">
        <v>5413</v>
      </c>
      <c r="E210" t="s">
        <v>6965</v>
      </c>
      <c r="F210" s="6" t="s">
        <v>153</v>
      </c>
    </row>
    <row r="211" spans="1:6">
      <c r="A211" s="5" t="s">
        <v>2928</v>
      </c>
      <c r="B211" s="5" t="s">
        <v>2929</v>
      </c>
      <c r="C211" t="s">
        <v>6984</v>
      </c>
      <c r="D211" s="6" t="s">
        <v>2899</v>
      </c>
      <c r="E211" t="s">
        <v>6985</v>
      </c>
      <c r="F211" s="6" t="s">
        <v>153</v>
      </c>
    </row>
    <row r="212" spans="1:6">
      <c r="A212" s="5" t="s">
        <v>6986</v>
      </c>
      <c r="B212" s="5" t="s">
        <v>6987</v>
      </c>
      <c r="C212" t="s">
        <v>6988</v>
      </c>
      <c r="D212" s="6" t="s">
        <v>5298</v>
      </c>
      <c r="E212" t="s">
        <v>6989</v>
      </c>
      <c r="F212" s="6" t="s">
        <v>2311</v>
      </c>
    </row>
    <row r="213" spans="1:6">
      <c r="A213" s="5" t="s">
        <v>6990</v>
      </c>
      <c r="B213" s="5" t="s">
        <v>2240</v>
      </c>
      <c r="C213" t="s">
        <v>6991</v>
      </c>
      <c r="D213" s="6" t="s">
        <v>6992</v>
      </c>
      <c r="E213" t="s">
        <v>6993</v>
      </c>
      <c r="F213" s="6" t="s">
        <v>153</v>
      </c>
    </row>
    <row r="214" spans="1:6">
      <c r="A214" s="5" t="s">
        <v>6994</v>
      </c>
      <c r="B214" s="5" t="s">
        <v>2245</v>
      </c>
      <c r="C214" t="s">
        <v>6995</v>
      </c>
      <c r="D214" s="6" t="s">
        <v>5674</v>
      </c>
      <c r="E214" t="s">
        <v>6996</v>
      </c>
      <c r="F214" s="6" t="s">
        <v>153</v>
      </c>
    </row>
    <row r="215" spans="1:6">
      <c r="A215" s="5" t="s">
        <v>6997</v>
      </c>
      <c r="B215" s="5" t="s">
        <v>2250</v>
      </c>
      <c r="C215" t="s">
        <v>6998</v>
      </c>
      <c r="D215" s="6" t="s">
        <v>5392</v>
      </c>
      <c r="E215" t="s">
        <v>6999</v>
      </c>
      <c r="F215" s="6" t="s">
        <v>648</v>
      </c>
    </row>
    <row r="216" spans="1:6">
      <c r="A216" s="5" t="s">
        <v>7000</v>
      </c>
      <c r="B216" s="5" t="s">
        <v>7001</v>
      </c>
      <c r="C216" t="s">
        <v>7002</v>
      </c>
      <c r="D216" s="6" t="s">
        <v>6243</v>
      </c>
      <c r="E216" t="s">
        <v>6912</v>
      </c>
      <c r="F216" s="6" t="s">
        <v>648</v>
      </c>
    </row>
    <row r="217" spans="1:6">
      <c r="A217" s="5" t="s">
        <v>7003</v>
      </c>
      <c r="B217" s="5" t="s">
        <v>7004</v>
      </c>
      <c r="C217" t="s">
        <v>7005</v>
      </c>
      <c r="D217" s="6" t="s">
        <v>5425</v>
      </c>
      <c r="E217" t="s">
        <v>7006</v>
      </c>
      <c r="F217" s="6" t="s">
        <v>153</v>
      </c>
    </row>
    <row r="218" spans="1:6">
      <c r="A218" s="5" t="s">
        <v>7007</v>
      </c>
      <c r="B218" s="5" t="s">
        <v>7008</v>
      </c>
      <c r="C218" t="s">
        <v>7009</v>
      </c>
      <c r="D218" s="6" t="s">
        <v>5940</v>
      </c>
      <c r="E218" t="s">
        <v>4617</v>
      </c>
      <c r="F218" t="s">
        <v>153</v>
      </c>
    </row>
    <row r="219" spans="1:6">
      <c r="A219" s="5" t="s">
        <v>7010</v>
      </c>
      <c r="B219" s="5" t="s">
        <v>7011</v>
      </c>
      <c r="C219" t="s">
        <v>7012</v>
      </c>
      <c r="D219" s="6" t="s">
        <v>5794</v>
      </c>
      <c r="E219" t="s">
        <v>7006</v>
      </c>
      <c r="F219" t="s">
        <v>153</v>
      </c>
    </row>
    <row r="220" spans="1:6">
      <c r="A220" s="5" t="s">
        <v>7013</v>
      </c>
      <c r="B220" s="5" t="s">
        <v>7014</v>
      </c>
      <c r="C220" t="s">
        <v>7015</v>
      </c>
      <c r="D220" s="6" t="s">
        <v>7016</v>
      </c>
      <c r="E220" t="s">
        <v>7017</v>
      </c>
      <c r="F220" t="s">
        <v>648</v>
      </c>
    </row>
    <row r="221" spans="1:6">
      <c r="A221" s="5" t="s">
        <v>7018</v>
      </c>
      <c r="B221" s="5" t="s">
        <v>7019</v>
      </c>
      <c r="C221" t="s">
        <v>7020</v>
      </c>
      <c r="D221" s="6" t="s">
        <v>7021</v>
      </c>
      <c r="E221" t="s">
        <v>7006</v>
      </c>
      <c r="F221" t="s">
        <v>648</v>
      </c>
    </row>
    <row r="222" spans="1:6">
      <c r="A222" s="5" t="s">
        <v>7022</v>
      </c>
      <c r="B222" s="5" t="s">
        <v>7023</v>
      </c>
      <c r="C222" t="s">
        <v>7024</v>
      </c>
      <c r="D222" s="6" t="s">
        <v>7025</v>
      </c>
      <c r="E222" t="s">
        <v>7026</v>
      </c>
      <c r="F222" t="s">
        <v>153</v>
      </c>
    </row>
    <row r="223" spans="1:6">
      <c r="A223" s="5" t="s">
        <v>7027</v>
      </c>
      <c r="B223" s="5" t="s">
        <v>7028</v>
      </c>
      <c r="C223" t="s">
        <v>7029</v>
      </c>
      <c r="D223" s="6" t="s">
        <v>7025</v>
      </c>
      <c r="E223" t="s">
        <v>7030</v>
      </c>
      <c r="F223" t="s">
        <v>648</v>
      </c>
    </row>
    <row r="224" spans="1:6">
      <c r="A224" s="5" t="s">
        <v>7031</v>
      </c>
      <c r="B224" s="5" t="s">
        <v>7032</v>
      </c>
      <c r="C224" t="s">
        <v>7033</v>
      </c>
      <c r="D224" s="6" t="s">
        <v>6245</v>
      </c>
      <c r="E224" t="s">
        <v>7034</v>
      </c>
      <c r="F224" t="s">
        <v>648</v>
      </c>
    </row>
    <row r="225" spans="1:6">
      <c r="A225" s="5" t="s">
        <v>7035</v>
      </c>
      <c r="B225" s="5" t="s">
        <v>2254</v>
      </c>
      <c r="C225" t="s">
        <v>7036</v>
      </c>
      <c r="D225" s="6" t="s">
        <v>5794</v>
      </c>
      <c r="E225" t="s">
        <v>4617</v>
      </c>
      <c r="F225" t="s">
        <v>153</v>
      </c>
    </row>
    <row r="226" spans="1:6">
      <c r="A226" s="5" t="s">
        <v>7037</v>
      </c>
      <c r="B226" s="5" t="s">
        <v>7038</v>
      </c>
      <c r="C226" t="s">
        <v>7039</v>
      </c>
      <c r="D226" s="6" t="s">
        <v>7040</v>
      </c>
      <c r="E226" t="s">
        <v>7041</v>
      </c>
      <c r="F226" t="s">
        <v>1669</v>
      </c>
    </row>
    <row r="227" spans="1:6">
      <c r="A227" s="5" t="s">
        <v>7042</v>
      </c>
      <c r="B227" s="5" t="s">
        <v>7043</v>
      </c>
      <c r="C227" t="s">
        <v>7044</v>
      </c>
      <c r="D227" s="6" t="s">
        <v>7045</v>
      </c>
      <c r="E227" t="s">
        <v>7041</v>
      </c>
      <c r="F227" t="s">
        <v>1669</v>
      </c>
    </row>
    <row r="228" spans="1:6">
      <c r="A228" s="5" t="s">
        <v>2949</v>
      </c>
      <c r="B228" s="5" t="s">
        <v>7046</v>
      </c>
      <c r="C228" t="s">
        <v>7047</v>
      </c>
      <c r="D228" s="6" t="s">
        <v>2951</v>
      </c>
      <c r="E228" t="s">
        <v>7048</v>
      </c>
      <c r="F228" s="6" t="s">
        <v>648</v>
      </c>
    </row>
    <row r="229" spans="1:6">
      <c r="A229" s="5" t="s">
        <v>7049</v>
      </c>
      <c r="B229" s="5" t="s">
        <v>7050</v>
      </c>
      <c r="C229" t="s">
        <v>7051</v>
      </c>
      <c r="D229" s="6" t="s">
        <v>5952</v>
      </c>
      <c r="E229" t="s">
        <v>7052</v>
      </c>
      <c r="F229" s="6" t="s">
        <v>7053</v>
      </c>
    </row>
    <row r="230" spans="1:6">
      <c r="A230" s="5" t="s">
        <v>2970</v>
      </c>
      <c r="B230" s="5" t="s">
        <v>7054</v>
      </c>
      <c r="C230" t="s">
        <v>7055</v>
      </c>
      <c r="D230" s="6" t="s">
        <v>2972</v>
      </c>
      <c r="E230" t="s">
        <v>7048</v>
      </c>
      <c r="F230" s="6" t="s">
        <v>648</v>
      </c>
    </row>
    <row r="231" spans="1:6">
      <c r="A231" s="5" t="s">
        <v>7056</v>
      </c>
      <c r="B231" s="5" t="s">
        <v>7057</v>
      </c>
      <c r="C231" t="s">
        <v>7058</v>
      </c>
      <c r="D231" s="6" t="s">
        <v>5970</v>
      </c>
      <c r="E231" t="s">
        <v>7059</v>
      </c>
      <c r="F231" s="6" t="s">
        <v>7060</v>
      </c>
    </row>
    <row r="232" spans="1:6">
      <c r="A232" s="5" t="s">
        <v>7061</v>
      </c>
      <c r="B232" s="5" t="s">
        <v>7062</v>
      </c>
      <c r="C232" t="s">
        <v>7063</v>
      </c>
      <c r="D232" s="6" t="s">
        <v>5235</v>
      </c>
      <c r="E232" t="s">
        <v>7064</v>
      </c>
      <c r="F232" t="s">
        <v>153</v>
      </c>
    </row>
    <row r="233" spans="1:6">
      <c r="A233" s="5" t="s">
        <v>7065</v>
      </c>
      <c r="B233" s="5" t="s">
        <v>7062</v>
      </c>
      <c r="C233" t="s">
        <v>7066</v>
      </c>
      <c r="D233" s="6" t="s">
        <v>5612</v>
      </c>
      <c r="E233" t="s">
        <v>7067</v>
      </c>
      <c r="F233" t="s">
        <v>153</v>
      </c>
    </row>
    <row r="234" spans="1:6">
      <c r="A234" s="5" t="s">
        <v>2992</v>
      </c>
      <c r="B234" s="5" t="s">
        <v>7068</v>
      </c>
      <c r="C234" t="s">
        <v>7069</v>
      </c>
      <c r="D234" s="6" t="s">
        <v>7070</v>
      </c>
      <c r="E234" t="s">
        <v>7071</v>
      </c>
      <c r="F234" t="s">
        <v>74</v>
      </c>
    </row>
    <row r="235" spans="1:6">
      <c r="A235" s="5" t="s">
        <v>7072</v>
      </c>
      <c r="B235" s="5" t="s">
        <v>7073</v>
      </c>
      <c r="C235" t="s">
        <v>7074</v>
      </c>
      <c r="D235" s="6" t="s">
        <v>5990</v>
      </c>
      <c r="E235" t="s">
        <v>7075</v>
      </c>
      <c r="F235" s="6" t="s">
        <v>74</v>
      </c>
    </row>
    <row r="236" spans="1:6">
      <c r="A236" s="5" t="s">
        <v>3053</v>
      </c>
      <c r="B236" s="5" t="s">
        <v>3054</v>
      </c>
      <c r="C236" t="s">
        <v>7076</v>
      </c>
      <c r="D236" s="6" t="s">
        <v>3055</v>
      </c>
      <c r="E236" t="s">
        <v>7077</v>
      </c>
      <c r="F236" s="6" t="s">
        <v>393</v>
      </c>
    </row>
    <row r="237" spans="1:6">
      <c r="A237" s="5" t="s">
        <v>3059</v>
      </c>
      <c r="B237" s="5" t="s">
        <v>7078</v>
      </c>
      <c r="C237" t="s">
        <v>7079</v>
      </c>
      <c r="D237" s="6" t="s">
        <v>3061</v>
      </c>
      <c r="E237" t="s">
        <v>7080</v>
      </c>
      <c r="F237" t="s">
        <v>3065</v>
      </c>
    </row>
    <row r="238" spans="1:6">
      <c r="A238" s="5" t="s">
        <v>7081</v>
      </c>
      <c r="B238" s="5" t="s">
        <v>7078</v>
      </c>
      <c r="C238" t="s">
        <v>7079</v>
      </c>
      <c r="D238" s="6" t="s">
        <v>6294</v>
      </c>
      <c r="E238" t="s">
        <v>7082</v>
      </c>
      <c r="F238" t="s">
        <v>3065</v>
      </c>
    </row>
    <row r="239" spans="1:6">
      <c r="A239" s="5" t="s">
        <v>3100</v>
      </c>
      <c r="B239" s="5" t="s">
        <v>7083</v>
      </c>
      <c r="C239" t="s">
        <v>7084</v>
      </c>
      <c r="D239" s="6" t="s">
        <v>7085</v>
      </c>
      <c r="E239" t="s">
        <v>7086</v>
      </c>
      <c r="F239" t="s">
        <v>1276</v>
      </c>
    </row>
    <row r="240" spans="1:6">
      <c r="A240" s="5" t="s">
        <v>7087</v>
      </c>
      <c r="B240" s="5" t="s">
        <v>7088</v>
      </c>
      <c r="C240" t="s">
        <v>7089</v>
      </c>
      <c r="D240" s="6" t="s">
        <v>6294</v>
      </c>
      <c r="E240" t="s">
        <v>7090</v>
      </c>
      <c r="F240" s="6" t="s">
        <v>1276</v>
      </c>
    </row>
    <row r="241" spans="1:6">
      <c r="A241" s="5" t="s">
        <v>7091</v>
      </c>
      <c r="B241" s="5" t="s">
        <v>7092</v>
      </c>
      <c r="C241" t="s">
        <v>7093</v>
      </c>
      <c r="D241" s="6" t="s">
        <v>6294</v>
      </c>
      <c r="E241" t="s">
        <v>7094</v>
      </c>
      <c r="F241" t="s">
        <v>1276</v>
      </c>
    </row>
    <row r="242" spans="1:6">
      <c r="A242" s="5" t="s">
        <v>3114</v>
      </c>
      <c r="B242" s="5" t="s">
        <v>7095</v>
      </c>
      <c r="C242" t="s">
        <v>7096</v>
      </c>
      <c r="D242" s="6" t="s">
        <v>3116</v>
      </c>
      <c r="E242" t="s">
        <v>7097</v>
      </c>
      <c r="F242" s="6" t="s">
        <v>1272</v>
      </c>
    </row>
    <row r="243" spans="1:6">
      <c r="A243" s="5" t="s">
        <v>7098</v>
      </c>
      <c r="B243" s="5" t="s">
        <v>7099</v>
      </c>
      <c r="C243" t="s">
        <v>7100</v>
      </c>
      <c r="D243" s="6" t="s">
        <v>6294</v>
      </c>
      <c r="E243" t="s">
        <v>6959</v>
      </c>
      <c r="F243" t="s">
        <v>2793</v>
      </c>
    </row>
    <row r="244" spans="1:6">
      <c r="A244" s="5" t="s">
        <v>3156</v>
      </c>
      <c r="B244" s="5" t="s">
        <v>7101</v>
      </c>
      <c r="C244" t="s">
        <v>7102</v>
      </c>
      <c r="D244" s="6" t="s">
        <v>3158</v>
      </c>
      <c r="E244" t="s">
        <v>7103</v>
      </c>
      <c r="F244" s="6" t="s">
        <v>6842</v>
      </c>
    </row>
    <row r="245" spans="1:6">
      <c r="A245" s="5" t="s">
        <v>7104</v>
      </c>
      <c r="B245" s="5" t="s">
        <v>7105</v>
      </c>
      <c r="C245" t="s">
        <v>7106</v>
      </c>
      <c r="D245" s="6" t="s">
        <v>6294</v>
      </c>
      <c r="E245" t="s">
        <v>7107</v>
      </c>
      <c r="F245" t="s">
        <v>6842</v>
      </c>
    </row>
    <row r="246" spans="1:6">
      <c r="A246" s="5" t="s">
        <v>3166</v>
      </c>
      <c r="B246" s="5" t="s">
        <v>7108</v>
      </c>
      <c r="C246" t="s">
        <v>7109</v>
      </c>
      <c r="D246" s="6" t="s">
        <v>3168</v>
      </c>
      <c r="E246" t="s">
        <v>7110</v>
      </c>
      <c r="F246" t="s">
        <v>131</v>
      </c>
    </row>
    <row r="247" spans="1:6">
      <c r="A247" s="5" t="s">
        <v>7111</v>
      </c>
      <c r="B247" s="5" t="s">
        <v>7112</v>
      </c>
      <c r="C247" t="s">
        <v>7113</v>
      </c>
      <c r="D247" s="6" t="s">
        <v>6035</v>
      </c>
      <c r="E247" t="s">
        <v>7114</v>
      </c>
      <c r="F247" s="6" t="s">
        <v>7115</v>
      </c>
    </row>
    <row r="248" spans="1:6">
      <c r="A248" s="5" t="s">
        <v>7116</v>
      </c>
      <c r="B248" s="5" t="s">
        <v>7117</v>
      </c>
      <c r="C248" t="s">
        <v>7118</v>
      </c>
      <c r="D248" s="6" t="s">
        <v>1324</v>
      </c>
      <c r="E248" t="s">
        <v>6661</v>
      </c>
      <c r="F248" s="6" t="s">
        <v>153</v>
      </c>
    </row>
    <row r="249" spans="1:6">
      <c r="A249" s="5" t="s">
        <v>7119</v>
      </c>
      <c r="B249" s="5" t="s">
        <v>2308</v>
      </c>
      <c r="C249" t="s">
        <v>7120</v>
      </c>
      <c r="D249" s="6" t="s">
        <v>6294</v>
      </c>
      <c r="E249" t="s">
        <v>7121</v>
      </c>
      <c r="F249" t="s">
        <v>2311</v>
      </c>
    </row>
    <row r="250" spans="1:6">
      <c r="A250" s="5" t="s">
        <v>7122</v>
      </c>
      <c r="B250" s="5" t="s">
        <v>7123</v>
      </c>
      <c r="C250" t="s">
        <v>7124</v>
      </c>
      <c r="D250" s="6" t="s">
        <v>6034</v>
      </c>
      <c r="E250" t="s">
        <v>7125</v>
      </c>
      <c r="F250" s="6" t="s">
        <v>3325</v>
      </c>
    </row>
    <row r="251" spans="1:6">
      <c r="A251" s="5" t="s">
        <v>7126</v>
      </c>
      <c r="B251" s="5" t="s">
        <v>7126</v>
      </c>
      <c r="C251" t="s">
        <v>7127</v>
      </c>
      <c r="D251" s="6" t="s">
        <v>6294</v>
      </c>
      <c r="E251" t="s">
        <v>7128</v>
      </c>
      <c r="F251" t="s">
        <v>314</v>
      </c>
    </row>
    <row r="252" spans="1:6">
      <c r="A252" s="5" t="s">
        <v>7129</v>
      </c>
      <c r="B252" s="5" t="s">
        <v>7130</v>
      </c>
      <c r="C252" t="s">
        <v>7131</v>
      </c>
      <c r="D252" s="6" t="s">
        <v>7132</v>
      </c>
      <c r="E252" t="s">
        <v>7133</v>
      </c>
      <c r="F252" t="s">
        <v>74</v>
      </c>
    </row>
    <row r="253" spans="1:6">
      <c r="A253" s="5" t="s">
        <v>3205</v>
      </c>
      <c r="B253" s="5" t="s">
        <v>7134</v>
      </c>
      <c r="C253" t="s">
        <v>7135</v>
      </c>
      <c r="D253" s="6" t="s">
        <v>3207</v>
      </c>
      <c r="E253" t="s">
        <v>7136</v>
      </c>
      <c r="F253" t="s">
        <v>153</v>
      </c>
    </row>
    <row r="254" spans="1:6">
      <c r="A254" s="5" t="s">
        <v>7137</v>
      </c>
      <c r="B254" s="5" t="s">
        <v>7138</v>
      </c>
      <c r="C254" t="s">
        <v>7139</v>
      </c>
      <c r="D254" s="6" t="s">
        <v>6042</v>
      </c>
      <c r="E254" t="s">
        <v>7140</v>
      </c>
      <c r="F254" t="s">
        <v>1727</v>
      </c>
    </row>
    <row r="255" spans="1:6">
      <c r="A255" s="5" t="s">
        <v>7141</v>
      </c>
      <c r="B255" s="5" t="s">
        <v>7142</v>
      </c>
      <c r="C255" t="s">
        <v>7139</v>
      </c>
      <c r="D255" s="6" t="s">
        <v>6042</v>
      </c>
      <c r="E255" t="s">
        <v>7143</v>
      </c>
      <c r="F255" t="s">
        <v>1727</v>
      </c>
    </row>
    <row r="256" spans="1:6">
      <c r="A256" s="5" t="s">
        <v>7144</v>
      </c>
      <c r="B256" s="5" t="s">
        <v>7145</v>
      </c>
      <c r="C256" t="s">
        <v>7146</v>
      </c>
      <c r="D256" s="6" t="s">
        <v>6045</v>
      </c>
      <c r="E256" t="s">
        <v>7140</v>
      </c>
      <c r="F256" t="s">
        <v>1727</v>
      </c>
    </row>
    <row r="257" spans="1:6">
      <c r="A257" s="5" t="s">
        <v>7147</v>
      </c>
      <c r="B257" s="5" t="s">
        <v>7148</v>
      </c>
      <c r="C257" t="s">
        <v>7149</v>
      </c>
      <c r="D257" s="6" t="s">
        <v>6058</v>
      </c>
      <c r="E257" t="s">
        <v>7150</v>
      </c>
      <c r="F257" s="6" t="s">
        <v>1727</v>
      </c>
    </row>
    <row r="258" spans="1:6">
      <c r="A258" s="5" t="s">
        <v>3236</v>
      </c>
      <c r="B258" s="5" t="s">
        <v>7151</v>
      </c>
      <c r="C258" t="s">
        <v>7152</v>
      </c>
      <c r="D258" s="6" t="s">
        <v>3238</v>
      </c>
      <c r="E258" t="s">
        <v>7153</v>
      </c>
      <c r="F258" t="s">
        <v>153</v>
      </c>
    </row>
    <row r="259" spans="1:6">
      <c r="A259" s="5" t="s">
        <v>7154</v>
      </c>
      <c r="B259" s="5" t="s">
        <v>7155</v>
      </c>
      <c r="C259" t="s">
        <v>7156</v>
      </c>
      <c r="D259" s="6" t="s">
        <v>3249</v>
      </c>
      <c r="E259" t="s">
        <v>7157</v>
      </c>
      <c r="F259" t="s">
        <v>131</v>
      </c>
    </row>
    <row r="260" spans="1:6">
      <c r="A260" s="5" t="s">
        <v>3258</v>
      </c>
      <c r="B260" s="5" t="s">
        <v>7158</v>
      </c>
      <c r="C260" t="s">
        <v>7159</v>
      </c>
      <c r="D260" s="6" t="s">
        <v>3260</v>
      </c>
      <c r="E260" t="s">
        <v>6959</v>
      </c>
      <c r="F260" t="s">
        <v>153</v>
      </c>
    </row>
    <row r="261" spans="1:6">
      <c r="A261" s="5" t="s">
        <v>7160</v>
      </c>
      <c r="B261" s="5" t="s">
        <v>7158</v>
      </c>
      <c r="C261" t="s">
        <v>7159</v>
      </c>
      <c r="D261" s="6" t="s">
        <v>6294</v>
      </c>
      <c r="E261" t="s">
        <v>6959</v>
      </c>
      <c r="F261" t="s">
        <v>153</v>
      </c>
    </row>
    <row r="262" spans="1:6">
      <c r="A262" s="5" t="s">
        <v>3266</v>
      </c>
      <c r="B262" s="5" t="s">
        <v>7161</v>
      </c>
      <c r="C262" t="s">
        <v>7162</v>
      </c>
      <c r="D262" s="6" t="s">
        <v>7163</v>
      </c>
      <c r="E262" t="s">
        <v>6959</v>
      </c>
      <c r="F262" t="s">
        <v>153</v>
      </c>
    </row>
    <row r="263" spans="1:6">
      <c r="A263" s="5" t="s">
        <v>7164</v>
      </c>
      <c r="B263" s="5" t="s">
        <v>7161</v>
      </c>
      <c r="C263" t="s">
        <v>7165</v>
      </c>
      <c r="D263" s="6" t="s">
        <v>6294</v>
      </c>
      <c r="E263" t="s">
        <v>6959</v>
      </c>
      <c r="F263" t="s">
        <v>153</v>
      </c>
    </row>
    <row r="264" spans="1:6">
      <c r="A264" s="5" t="s">
        <v>3274</v>
      </c>
      <c r="B264" s="5" t="s">
        <v>7166</v>
      </c>
      <c r="C264" t="s">
        <v>7167</v>
      </c>
      <c r="D264" s="6" t="s">
        <v>7163</v>
      </c>
      <c r="E264" t="s">
        <v>6959</v>
      </c>
      <c r="F264" t="s">
        <v>153</v>
      </c>
    </row>
    <row r="265" spans="1:6">
      <c r="A265" s="5" t="s">
        <v>7168</v>
      </c>
      <c r="B265" s="5" t="s">
        <v>7166</v>
      </c>
      <c r="C265" t="s">
        <v>7167</v>
      </c>
      <c r="D265" s="6" t="s">
        <v>6294</v>
      </c>
      <c r="E265" t="s">
        <v>6959</v>
      </c>
      <c r="F265" t="s">
        <v>153</v>
      </c>
    </row>
    <row r="266" spans="1:6">
      <c r="A266" s="5" t="s">
        <v>3280</v>
      </c>
      <c r="B266" s="5" t="s">
        <v>7169</v>
      </c>
      <c r="C266" t="s">
        <v>7170</v>
      </c>
      <c r="D266" s="6" t="s">
        <v>7171</v>
      </c>
      <c r="E266" t="s">
        <v>6959</v>
      </c>
      <c r="F266" t="s">
        <v>153</v>
      </c>
    </row>
    <row r="267" spans="1:6">
      <c r="A267" s="5" t="s">
        <v>7172</v>
      </c>
      <c r="B267" s="5" t="s">
        <v>7169</v>
      </c>
      <c r="C267" t="s">
        <v>7170</v>
      </c>
      <c r="D267" s="6" t="s">
        <v>6294</v>
      </c>
      <c r="E267" t="s">
        <v>6959</v>
      </c>
      <c r="F267" t="s">
        <v>153</v>
      </c>
    </row>
    <row r="268" spans="1:6">
      <c r="A268" s="5" t="s">
        <v>7173</v>
      </c>
      <c r="B268" s="5" t="s">
        <v>7174</v>
      </c>
      <c r="C268" t="s">
        <v>7175</v>
      </c>
      <c r="D268" s="6" t="s">
        <v>3299</v>
      </c>
      <c r="E268" t="s">
        <v>7176</v>
      </c>
      <c r="F268" t="s">
        <v>330</v>
      </c>
    </row>
    <row r="269" spans="1:6">
      <c r="A269" s="5" t="s">
        <v>7177</v>
      </c>
      <c r="B269" s="5" t="s">
        <v>7178</v>
      </c>
      <c r="C269" t="s">
        <v>7179</v>
      </c>
      <c r="D269" s="6" t="s">
        <v>3299</v>
      </c>
      <c r="E269" t="s">
        <v>7180</v>
      </c>
      <c r="F269" t="s">
        <v>330</v>
      </c>
    </row>
    <row r="270" spans="1:6">
      <c r="A270" s="5" t="s">
        <v>7181</v>
      </c>
      <c r="B270" s="5" t="s">
        <v>7182</v>
      </c>
      <c r="C270" t="s">
        <v>7183</v>
      </c>
      <c r="D270" s="6" t="s">
        <v>3299</v>
      </c>
      <c r="E270" t="s">
        <v>7176</v>
      </c>
      <c r="F270" t="s">
        <v>330</v>
      </c>
    </row>
    <row r="271" spans="1:6">
      <c r="A271" s="5" t="s">
        <v>7184</v>
      </c>
      <c r="B271" s="5" t="s">
        <v>7185</v>
      </c>
      <c r="C271" t="s">
        <v>7186</v>
      </c>
      <c r="D271" s="6" t="s">
        <v>3299</v>
      </c>
      <c r="E271" t="s">
        <v>7176</v>
      </c>
      <c r="F271" t="s">
        <v>330</v>
      </c>
    </row>
    <row r="272" spans="1:6">
      <c r="A272" s="5" t="s">
        <v>3682</v>
      </c>
      <c r="B272" s="5" t="s">
        <v>7187</v>
      </c>
      <c r="C272" t="s">
        <v>7188</v>
      </c>
      <c r="D272" s="6" t="s">
        <v>3684</v>
      </c>
      <c r="E272" t="s">
        <v>7189</v>
      </c>
      <c r="F272" t="s">
        <v>387</v>
      </c>
    </row>
    <row r="273" spans="1:6">
      <c r="A273" s="5" t="s">
        <v>3719</v>
      </c>
      <c r="B273" s="5" t="s">
        <v>7190</v>
      </c>
      <c r="C273" t="s">
        <v>7191</v>
      </c>
      <c r="D273" s="6" t="s">
        <v>3721</v>
      </c>
      <c r="E273" t="s">
        <v>7192</v>
      </c>
      <c r="F273" t="s">
        <v>153</v>
      </c>
    </row>
    <row r="274" spans="1:6">
      <c r="A274" s="5" t="s">
        <v>3725</v>
      </c>
      <c r="B274" s="5" t="s">
        <v>7193</v>
      </c>
      <c r="C274" t="s">
        <v>7194</v>
      </c>
      <c r="D274" s="6" t="s">
        <v>3721</v>
      </c>
      <c r="E274" t="s">
        <v>7195</v>
      </c>
      <c r="F274" t="s">
        <v>153</v>
      </c>
    </row>
    <row r="275" spans="1:6">
      <c r="A275" s="5" t="s">
        <v>3730</v>
      </c>
      <c r="B275" s="5" t="s">
        <v>7196</v>
      </c>
      <c r="C275" t="s">
        <v>7197</v>
      </c>
      <c r="D275" s="6" t="s">
        <v>3721</v>
      </c>
      <c r="E275" t="s">
        <v>7195</v>
      </c>
      <c r="F275" t="s">
        <v>648</v>
      </c>
    </row>
    <row r="276" spans="1:6">
      <c r="A276" s="5" t="s">
        <v>3734</v>
      </c>
      <c r="B276" s="5" t="s">
        <v>7198</v>
      </c>
      <c r="C276" t="s">
        <v>7199</v>
      </c>
      <c r="D276" s="6" t="s">
        <v>3721</v>
      </c>
      <c r="E276" t="s">
        <v>7192</v>
      </c>
      <c r="F276" t="s">
        <v>648</v>
      </c>
    </row>
    <row r="277" spans="1:6">
      <c r="A277" s="5" t="s">
        <v>3738</v>
      </c>
      <c r="B277" s="5" t="s">
        <v>7200</v>
      </c>
      <c r="C277" t="s">
        <v>7201</v>
      </c>
      <c r="D277" s="6" t="s">
        <v>3740</v>
      </c>
      <c r="E277" t="s">
        <v>7202</v>
      </c>
      <c r="F277" t="s">
        <v>153</v>
      </c>
    </row>
    <row r="278" spans="1:6">
      <c r="A278" s="5" t="s">
        <v>3744</v>
      </c>
      <c r="B278" s="5" t="s">
        <v>7203</v>
      </c>
      <c r="C278" t="s">
        <v>7204</v>
      </c>
      <c r="D278" s="6" t="s">
        <v>3740</v>
      </c>
      <c r="E278" t="s">
        <v>7202</v>
      </c>
      <c r="F278" t="s">
        <v>153</v>
      </c>
    </row>
    <row r="279" spans="1:6">
      <c r="A279" s="5" t="s">
        <v>3748</v>
      </c>
      <c r="B279" s="5" t="s">
        <v>7205</v>
      </c>
      <c r="C279" t="s">
        <v>7206</v>
      </c>
      <c r="D279" s="6" t="s">
        <v>3740</v>
      </c>
      <c r="E279" t="s">
        <v>7202</v>
      </c>
      <c r="F279" t="s">
        <v>648</v>
      </c>
    </row>
    <row r="280" spans="1:6">
      <c r="A280" s="5" t="s">
        <v>3752</v>
      </c>
      <c r="B280" s="5" t="s">
        <v>7207</v>
      </c>
      <c r="C280" t="s">
        <v>7208</v>
      </c>
      <c r="D280" s="6" t="s">
        <v>3740</v>
      </c>
      <c r="E280" t="s">
        <v>7202</v>
      </c>
      <c r="F280" t="s">
        <v>648</v>
      </c>
    </row>
    <row r="281" spans="1:6">
      <c r="A281" s="5" t="s">
        <v>7209</v>
      </c>
      <c r="B281" s="5" t="s">
        <v>7210</v>
      </c>
      <c r="C281" t="s">
        <v>7211</v>
      </c>
      <c r="D281" s="6" t="s">
        <v>6148</v>
      </c>
      <c r="E281" t="s">
        <v>6340</v>
      </c>
      <c r="F281" s="6" t="s">
        <v>153</v>
      </c>
    </row>
    <row r="282" spans="1:6">
      <c r="A282" s="5" t="s">
        <v>7212</v>
      </c>
      <c r="B282" s="5" t="s">
        <v>7213</v>
      </c>
      <c r="C282" t="s">
        <v>7214</v>
      </c>
      <c r="D282" s="6" t="s">
        <v>6148</v>
      </c>
      <c r="E282" t="s">
        <v>7215</v>
      </c>
      <c r="F282" t="s">
        <v>679</v>
      </c>
    </row>
    <row r="283" spans="1:6">
      <c r="A283" s="5" t="s">
        <v>7216</v>
      </c>
      <c r="B283" s="5" t="s">
        <v>7217</v>
      </c>
      <c r="C283" t="s">
        <v>7218</v>
      </c>
      <c r="D283" s="6" t="s">
        <v>6294</v>
      </c>
      <c r="E283" t="s">
        <v>7219</v>
      </c>
      <c r="F283" s="6" t="s">
        <v>1276</v>
      </c>
    </row>
    <row r="284" spans="1:6">
      <c r="A284" s="5" t="s">
        <v>7220</v>
      </c>
      <c r="B284" s="5" t="s">
        <v>7221</v>
      </c>
      <c r="C284" t="s">
        <v>7222</v>
      </c>
      <c r="D284" s="6" t="s">
        <v>5229</v>
      </c>
      <c r="E284" t="s">
        <v>7223</v>
      </c>
      <c r="F284" t="s">
        <v>239</v>
      </c>
    </row>
    <row r="285" spans="1:6">
      <c r="A285" s="5" t="s">
        <v>7224</v>
      </c>
      <c r="B285" s="5" t="s">
        <v>7225</v>
      </c>
      <c r="C285" t="s">
        <v>7226</v>
      </c>
      <c r="D285" s="6" t="s">
        <v>6294</v>
      </c>
      <c r="E285" t="s">
        <v>7227</v>
      </c>
      <c r="F285" t="s">
        <v>1276</v>
      </c>
    </row>
    <row r="286" spans="1:6">
      <c r="A286" s="5" t="s">
        <v>7228</v>
      </c>
      <c r="B286" s="5" t="s">
        <v>7229</v>
      </c>
      <c r="C286" t="s">
        <v>7230</v>
      </c>
      <c r="D286" s="6" t="s">
        <v>6201</v>
      </c>
      <c r="E286" t="s">
        <v>7231</v>
      </c>
      <c r="F286" t="s">
        <v>1276</v>
      </c>
    </row>
    <row r="287" spans="1:6">
      <c r="A287" s="5" t="s">
        <v>7232</v>
      </c>
      <c r="B287" s="5" t="s">
        <v>7233</v>
      </c>
      <c r="C287" t="s">
        <v>7234</v>
      </c>
      <c r="D287" s="6" t="s">
        <v>7235</v>
      </c>
      <c r="E287" t="s">
        <v>7236</v>
      </c>
      <c r="F287" t="s">
        <v>244</v>
      </c>
    </row>
    <row r="288" spans="1:6">
      <c r="A288" s="5" t="s">
        <v>7237</v>
      </c>
      <c r="B288" s="5" t="s">
        <v>7238</v>
      </c>
      <c r="C288" t="s">
        <v>7239</v>
      </c>
      <c r="D288" s="6" t="s">
        <v>7240</v>
      </c>
      <c r="E288" t="s">
        <v>7241</v>
      </c>
      <c r="F288" t="s">
        <v>1611</v>
      </c>
    </row>
    <row r="289" spans="1:6">
      <c r="A289" s="5" t="s">
        <v>7242</v>
      </c>
      <c r="B289" s="5" t="s">
        <v>7243</v>
      </c>
      <c r="C289" t="s">
        <v>7244</v>
      </c>
      <c r="D289" s="6" t="s">
        <v>7245</v>
      </c>
      <c r="E289" t="s">
        <v>7246</v>
      </c>
      <c r="F289" t="s">
        <v>244</v>
      </c>
    </row>
    <row r="290" spans="1:6">
      <c r="A290" s="5" t="s">
        <v>7247</v>
      </c>
      <c r="B290" s="5" t="s">
        <v>7248</v>
      </c>
      <c r="C290" t="s">
        <v>7249</v>
      </c>
      <c r="D290" s="6" t="s">
        <v>6294</v>
      </c>
      <c r="E290" t="s">
        <v>6526</v>
      </c>
      <c r="F290" t="s">
        <v>648</v>
      </c>
    </row>
    <row r="291" spans="1:6">
      <c r="A291" s="5" t="s">
        <v>3912</v>
      </c>
      <c r="B291" s="5" t="s">
        <v>7250</v>
      </c>
      <c r="C291" t="s">
        <v>7251</v>
      </c>
      <c r="D291" s="6" t="s">
        <v>3914</v>
      </c>
      <c r="E291" t="s">
        <v>7252</v>
      </c>
      <c r="F291" t="s">
        <v>244</v>
      </c>
    </row>
    <row r="292" spans="1:6">
      <c r="A292" s="5" t="s">
        <v>3921</v>
      </c>
      <c r="B292" s="5" t="s">
        <v>7253</v>
      </c>
      <c r="C292" t="s">
        <v>7254</v>
      </c>
      <c r="D292" s="6" t="s">
        <v>3923</v>
      </c>
      <c r="E292" t="s">
        <v>7255</v>
      </c>
      <c r="F292" t="s">
        <v>648</v>
      </c>
    </row>
    <row r="293" spans="1:6">
      <c r="A293" s="5" t="s">
        <v>3933</v>
      </c>
      <c r="B293" s="5" t="s">
        <v>7256</v>
      </c>
      <c r="C293" t="s">
        <v>7257</v>
      </c>
      <c r="D293" s="6" t="s">
        <v>3935</v>
      </c>
      <c r="E293" t="s">
        <v>7258</v>
      </c>
      <c r="F293" s="6" t="s">
        <v>330</v>
      </c>
    </row>
    <row r="294" spans="1:6">
      <c r="A294" s="5" t="s">
        <v>3939</v>
      </c>
      <c r="B294" s="5" t="s">
        <v>7259</v>
      </c>
      <c r="C294" t="s">
        <v>7260</v>
      </c>
      <c r="D294" s="6" t="s">
        <v>6168</v>
      </c>
      <c r="E294" t="s">
        <v>7261</v>
      </c>
      <c r="F294" t="s">
        <v>6842</v>
      </c>
    </row>
    <row r="295" spans="1:6">
      <c r="A295" s="5" t="s">
        <v>7262</v>
      </c>
      <c r="B295" s="5" t="s">
        <v>7263</v>
      </c>
      <c r="C295" t="s">
        <v>7264</v>
      </c>
      <c r="D295" s="6" t="s">
        <v>6176</v>
      </c>
      <c r="E295" t="s">
        <v>7265</v>
      </c>
      <c r="F295" s="6" t="s">
        <v>1310</v>
      </c>
    </row>
    <row r="296" spans="1:6">
      <c r="A296" s="5" t="s">
        <v>3983</v>
      </c>
      <c r="B296" s="5" t="s">
        <v>3984</v>
      </c>
      <c r="C296" t="s">
        <v>7266</v>
      </c>
      <c r="D296" s="6" t="s">
        <v>3985</v>
      </c>
      <c r="E296" t="s">
        <v>7267</v>
      </c>
      <c r="F296" t="s">
        <v>2294</v>
      </c>
    </row>
    <row r="297" spans="1:6">
      <c r="A297" s="5" t="s">
        <v>7268</v>
      </c>
      <c r="B297" s="5" t="s">
        <v>7269</v>
      </c>
      <c r="C297" t="s">
        <v>7270</v>
      </c>
      <c r="D297" s="6" t="s">
        <v>6294</v>
      </c>
      <c r="E297" t="s">
        <v>6302</v>
      </c>
      <c r="F297" s="6" t="s">
        <v>648</v>
      </c>
    </row>
    <row r="298" spans="1:6">
      <c r="A298" s="5" t="s">
        <v>7271</v>
      </c>
      <c r="B298" s="5" t="s">
        <v>7272</v>
      </c>
      <c r="C298" t="s">
        <v>7273</v>
      </c>
      <c r="D298" s="6" t="s">
        <v>6294</v>
      </c>
      <c r="E298" t="s">
        <v>6302</v>
      </c>
      <c r="F298" s="6" t="s">
        <v>648</v>
      </c>
    </row>
    <row r="299" spans="1:6">
      <c r="A299" s="5" t="s">
        <v>4030</v>
      </c>
      <c r="B299" s="5" t="s">
        <v>3339</v>
      </c>
      <c r="C299" t="s">
        <v>7274</v>
      </c>
      <c r="D299" s="6" t="s">
        <v>3340</v>
      </c>
      <c r="E299" t="s">
        <v>7275</v>
      </c>
      <c r="F299" s="6" t="s">
        <v>1370</v>
      </c>
    </row>
    <row r="300" spans="1:6">
      <c r="A300" s="5" t="s">
        <v>7276</v>
      </c>
      <c r="B300" s="5" t="s">
        <v>7277</v>
      </c>
      <c r="C300" t="s">
        <v>7278</v>
      </c>
      <c r="D300" s="6" t="s">
        <v>6294</v>
      </c>
      <c r="E300" t="s">
        <v>6302</v>
      </c>
      <c r="F300" s="6" t="s">
        <v>648</v>
      </c>
    </row>
    <row r="301" spans="1:6">
      <c r="A301" s="5" t="s">
        <v>7279</v>
      </c>
      <c r="B301" s="5" t="s">
        <v>7280</v>
      </c>
      <c r="C301" t="s">
        <v>7281</v>
      </c>
      <c r="D301" s="6" t="s">
        <v>5158</v>
      </c>
      <c r="E301" t="s">
        <v>7282</v>
      </c>
      <c r="F301" t="s">
        <v>131</v>
      </c>
    </row>
    <row r="302" spans="1:6">
      <c r="A302" s="5" t="s">
        <v>4063</v>
      </c>
      <c r="B302" s="5" t="s">
        <v>7283</v>
      </c>
      <c r="C302" t="s">
        <v>7284</v>
      </c>
      <c r="D302" s="6" t="s">
        <v>4065</v>
      </c>
      <c r="E302" t="s">
        <v>7285</v>
      </c>
      <c r="F302" s="6" t="s">
        <v>648</v>
      </c>
    </row>
    <row r="303" spans="1:6">
      <c r="A303" s="5" t="s">
        <v>7286</v>
      </c>
      <c r="B303" s="5" t="s">
        <v>7287</v>
      </c>
      <c r="C303" t="s">
        <v>7288</v>
      </c>
      <c r="D303" s="6" t="s">
        <v>6294</v>
      </c>
      <c r="E303" t="s">
        <v>7289</v>
      </c>
      <c r="F303" s="6" t="s">
        <v>1276</v>
      </c>
    </row>
    <row r="304" spans="1:6">
      <c r="A304" s="5" t="s">
        <v>4069</v>
      </c>
      <c r="B304" s="5" t="s">
        <v>7290</v>
      </c>
      <c r="C304" t="s">
        <v>7291</v>
      </c>
      <c r="D304" s="6" t="s">
        <v>6294</v>
      </c>
      <c r="E304" t="s">
        <v>7292</v>
      </c>
      <c r="F304" s="6" t="s">
        <v>1276</v>
      </c>
    </row>
    <row r="305" spans="1:6">
      <c r="A305" s="5" t="s">
        <v>7293</v>
      </c>
      <c r="B305" s="5" t="s">
        <v>7294</v>
      </c>
      <c r="C305" t="s">
        <v>7295</v>
      </c>
      <c r="D305" s="6" t="s">
        <v>7296</v>
      </c>
      <c r="E305" t="s">
        <v>7297</v>
      </c>
      <c r="F305" t="s">
        <v>2288</v>
      </c>
    </row>
    <row r="306" spans="1:6">
      <c r="A306" s="5" t="s">
        <v>7298</v>
      </c>
      <c r="B306" s="5" t="s">
        <v>7299</v>
      </c>
      <c r="C306" t="s">
        <v>7300</v>
      </c>
      <c r="D306" s="6" t="s">
        <v>6236</v>
      </c>
      <c r="E306" t="s">
        <v>6395</v>
      </c>
      <c r="F306" s="6" t="s">
        <v>6396</v>
      </c>
    </row>
    <row r="307" spans="1:6">
      <c r="A307" s="5" t="s">
        <v>7301</v>
      </c>
      <c r="B307" s="5" t="s">
        <v>7302</v>
      </c>
      <c r="C307" t="s">
        <v>7303</v>
      </c>
      <c r="D307" s="6" t="s">
        <v>7304</v>
      </c>
      <c r="E307" t="s">
        <v>7305</v>
      </c>
      <c r="F307" t="s">
        <v>648</v>
      </c>
    </row>
    <row r="308" spans="1:6">
      <c r="A308" s="5" t="s">
        <v>4079</v>
      </c>
      <c r="B308" s="5" t="s">
        <v>7306</v>
      </c>
      <c r="C308" t="s">
        <v>7307</v>
      </c>
      <c r="D308" s="6" t="s">
        <v>5275</v>
      </c>
      <c r="E308" t="s">
        <v>6433</v>
      </c>
      <c r="F308" t="s">
        <v>648</v>
      </c>
    </row>
    <row r="309" spans="1:6">
      <c r="A309" s="5" t="s">
        <v>7308</v>
      </c>
      <c r="B309" s="5" t="s">
        <v>7309</v>
      </c>
      <c r="C309" t="s">
        <v>7307</v>
      </c>
      <c r="D309" s="6" t="s">
        <v>6294</v>
      </c>
      <c r="E309" t="s">
        <v>6302</v>
      </c>
      <c r="F309" t="s">
        <v>648</v>
      </c>
    </row>
    <row r="310" spans="1:6">
      <c r="A310" s="5" t="s">
        <v>4083</v>
      </c>
      <c r="B310" s="5" t="s">
        <v>7310</v>
      </c>
      <c r="C310" t="s">
        <v>7311</v>
      </c>
      <c r="D310" s="6" t="s">
        <v>4085</v>
      </c>
      <c r="E310" t="s">
        <v>6433</v>
      </c>
      <c r="F310" t="s">
        <v>648</v>
      </c>
    </row>
    <row r="311" spans="1:6">
      <c r="A311" s="5" t="s">
        <v>7312</v>
      </c>
      <c r="B311" s="5" t="s">
        <v>7310</v>
      </c>
      <c r="C311" t="s">
        <v>7311</v>
      </c>
      <c r="D311" s="6" t="s">
        <v>6294</v>
      </c>
      <c r="E311" t="s">
        <v>6302</v>
      </c>
      <c r="F311" t="s">
        <v>648</v>
      </c>
    </row>
    <row r="312" spans="1:6">
      <c r="A312" s="5" t="s">
        <v>4088</v>
      </c>
      <c r="B312" s="5" t="s">
        <v>7313</v>
      </c>
      <c r="C312" t="s">
        <v>7314</v>
      </c>
      <c r="D312" s="6" t="s">
        <v>4085</v>
      </c>
      <c r="E312" t="s">
        <v>6302</v>
      </c>
      <c r="F312" t="s">
        <v>648</v>
      </c>
    </row>
    <row r="313" spans="1:6">
      <c r="A313" s="5" t="s">
        <v>7315</v>
      </c>
      <c r="B313" s="5" t="s">
        <v>7313</v>
      </c>
      <c r="C313" t="s">
        <v>7314</v>
      </c>
      <c r="D313" s="6" t="s">
        <v>6294</v>
      </c>
      <c r="E313" t="s">
        <v>6302</v>
      </c>
      <c r="F313" t="s">
        <v>648</v>
      </c>
    </row>
    <row r="314" spans="1:6">
      <c r="A314" s="5" t="s">
        <v>4100</v>
      </c>
      <c r="B314" s="5" t="s">
        <v>7316</v>
      </c>
      <c r="C314" t="s">
        <v>7317</v>
      </c>
      <c r="D314" s="6" t="s">
        <v>6294</v>
      </c>
      <c r="E314" t="s">
        <v>7318</v>
      </c>
      <c r="F314" s="6" t="s">
        <v>1276</v>
      </c>
    </row>
    <row r="315" spans="1:6">
      <c r="A315" s="5" t="s">
        <v>7319</v>
      </c>
      <c r="B315" s="5" t="s">
        <v>7319</v>
      </c>
      <c r="C315" t="s">
        <v>7320</v>
      </c>
      <c r="D315" s="6" t="s">
        <v>6294</v>
      </c>
      <c r="E315" t="s">
        <v>7321</v>
      </c>
      <c r="F315" s="6" t="s">
        <v>1276</v>
      </c>
    </row>
    <row r="316" spans="1:6">
      <c r="A316" s="5" t="s">
        <v>4105</v>
      </c>
      <c r="B316" s="5" t="s">
        <v>7322</v>
      </c>
      <c r="C316" t="s">
        <v>7323</v>
      </c>
      <c r="D316" s="6" t="s">
        <v>6251</v>
      </c>
      <c r="E316" t="s">
        <v>7324</v>
      </c>
      <c r="F316" t="s">
        <v>153</v>
      </c>
    </row>
    <row r="317" spans="1:6">
      <c r="A317" s="5" t="s">
        <v>7325</v>
      </c>
      <c r="B317" s="5" t="s">
        <v>7326</v>
      </c>
      <c r="C317" t="s">
        <v>7327</v>
      </c>
      <c r="D317" s="6" t="s">
        <v>3299</v>
      </c>
      <c r="E317" t="s">
        <v>7180</v>
      </c>
      <c r="F317" t="s">
        <v>330</v>
      </c>
    </row>
  </sheetData>
  <autoFilter xmlns:etc="http://www.wps.cn/officeDocument/2017/etCustomData" ref="A1:U317"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08"/>
  <sheetViews>
    <sheetView workbookViewId="0">
      <selection activeCell="B32" sqref="B32"/>
    </sheetView>
  </sheetViews>
  <sheetFormatPr defaultColWidth="8.72727272727273" defaultRowHeight="14" outlineLevelCol="1"/>
  <cols>
    <col min="1" max="1" width="38.8181818181818" customWidth="1"/>
    <col min="2" max="2" width="115.272727272727" customWidth="1"/>
  </cols>
  <sheetData>
    <row r="1" ht="14.5" spans="1:2">
      <c r="A1" s="1" t="s">
        <v>1</v>
      </c>
      <c r="B1" s="1" t="s">
        <v>19</v>
      </c>
    </row>
    <row r="2" spans="1:2">
      <c r="A2" s="2" t="s">
        <v>4190</v>
      </c>
      <c r="B2" s="2" t="s">
        <v>49</v>
      </c>
    </row>
    <row r="3" spans="1:2">
      <c r="A3" s="2" t="s">
        <v>7328</v>
      </c>
      <c r="B3" s="2" t="s">
        <v>49</v>
      </c>
    </row>
    <row r="4" spans="1:2">
      <c r="A4" s="2" t="s">
        <v>5175</v>
      </c>
      <c r="B4" s="2" t="s">
        <v>49</v>
      </c>
    </row>
    <row r="5" spans="1:2">
      <c r="A5" s="2" t="s">
        <v>4297</v>
      </c>
      <c r="B5" s="2" t="s">
        <v>49</v>
      </c>
    </row>
    <row r="6" spans="1:2">
      <c r="A6" s="2" t="s">
        <v>7329</v>
      </c>
      <c r="B6" s="2" t="s">
        <v>49</v>
      </c>
    </row>
    <row r="7" spans="1:2">
      <c r="A7" s="2" t="s">
        <v>5253</v>
      </c>
      <c r="B7" s="2" t="s">
        <v>49</v>
      </c>
    </row>
    <row r="8" spans="1:2">
      <c r="A8" s="2" t="s">
        <v>5254</v>
      </c>
      <c r="B8" s="2" t="s">
        <v>49</v>
      </c>
    </row>
    <row r="9" spans="1:2">
      <c r="A9" s="2" t="s">
        <v>5256</v>
      </c>
      <c r="B9" s="2" t="s">
        <v>49</v>
      </c>
    </row>
    <row r="10" spans="1:2">
      <c r="A10" s="2" t="s">
        <v>5260</v>
      </c>
      <c r="B10" s="2" t="s">
        <v>49</v>
      </c>
    </row>
    <row r="11" spans="1:2">
      <c r="A11" s="2" t="s">
        <v>7330</v>
      </c>
      <c r="B11" s="2" t="s">
        <v>49</v>
      </c>
    </row>
    <row r="12" spans="1:2">
      <c r="A12" s="2" t="s">
        <v>5262</v>
      </c>
      <c r="B12" s="2" t="s">
        <v>49</v>
      </c>
    </row>
    <row r="13" spans="1:2">
      <c r="A13" s="2" t="s">
        <v>5264</v>
      </c>
      <c r="B13" s="2" t="s">
        <v>49</v>
      </c>
    </row>
    <row r="14" spans="1:2">
      <c r="A14" s="2" t="s">
        <v>5161</v>
      </c>
      <c r="B14" s="2" t="s">
        <v>49</v>
      </c>
    </row>
    <row r="15" spans="1:2">
      <c r="A15" s="2" t="s">
        <v>5163</v>
      </c>
      <c r="B15" s="2" t="s">
        <v>49</v>
      </c>
    </row>
    <row r="16" spans="1:2">
      <c r="A16" s="2" t="s">
        <v>4325</v>
      </c>
      <c r="B16" s="2" t="s">
        <v>49</v>
      </c>
    </row>
    <row r="17" spans="1:2">
      <c r="A17" s="2" t="s">
        <v>4331</v>
      </c>
      <c r="B17" s="2" t="s">
        <v>49</v>
      </c>
    </row>
    <row r="18" spans="1:2">
      <c r="A18" s="2" t="s">
        <v>4333</v>
      </c>
      <c r="B18" s="2" t="s">
        <v>49</v>
      </c>
    </row>
    <row r="19" spans="1:2">
      <c r="A19" s="2" t="s">
        <v>5056</v>
      </c>
      <c r="B19" s="2" t="s">
        <v>1303</v>
      </c>
    </row>
    <row r="20" spans="1:2">
      <c r="A20" s="2" t="s">
        <v>5096</v>
      </c>
      <c r="B20" s="2" t="s">
        <v>1303</v>
      </c>
    </row>
    <row r="21" spans="1:2">
      <c r="A21" s="2" t="s">
        <v>5097</v>
      </c>
      <c r="B21" s="2" t="s">
        <v>1303</v>
      </c>
    </row>
    <row r="22" spans="1:2">
      <c r="A22" s="2" t="s">
        <v>1348</v>
      </c>
      <c r="B22" s="2" t="s">
        <v>1303</v>
      </c>
    </row>
    <row r="23" spans="1:2">
      <c r="A23" s="2" t="s">
        <v>6654</v>
      </c>
      <c r="B23" s="2" t="s">
        <v>1303</v>
      </c>
    </row>
    <row r="24" spans="1:2">
      <c r="A24" s="2" t="s">
        <v>1421</v>
      </c>
      <c r="B24" s="2" t="s">
        <v>1303</v>
      </c>
    </row>
    <row r="25" spans="1:2">
      <c r="A25" s="2" t="s">
        <v>6820</v>
      </c>
      <c r="B25" s="2" t="s">
        <v>1303</v>
      </c>
    </row>
    <row r="26" spans="1:2">
      <c r="A26" s="2" t="s">
        <v>6824</v>
      </c>
      <c r="B26" s="2" t="s">
        <v>1303</v>
      </c>
    </row>
    <row r="27" spans="1:2">
      <c r="A27" s="2" t="s">
        <v>6206</v>
      </c>
      <c r="B27" s="2" t="s">
        <v>1303</v>
      </c>
    </row>
    <row r="28" spans="1:2">
      <c r="A28" s="2" t="s">
        <v>7331</v>
      </c>
      <c r="B28" s="2" t="s">
        <v>1303</v>
      </c>
    </row>
    <row r="29" spans="1:2">
      <c r="A29" s="2" t="s">
        <v>6208</v>
      </c>
      <c r="B29" s="2" t="s">
        <v>1303</v>
      </c>
    </row>
    <row r="30" spans="1:2">
      <c r="A30" s="2" t="s">
        <v>6211</v>
      </c>
      <c r="B30" s="2" t="s">
        <v>1303</v>
      </c>
    </row>
    <row r="31" spans="1:2">
      <c r="A31" s="2" t="s">
        <v>6231</v>
      </c>
      <c r="B31" s="2" t="s">
        <v>1303</v>
      </c>
    </row>
    <row r="32" spans="1:2">
      <c r="A32" s="2" t="s">
        <v>5048</v>
      </c>
      <c r="B32" s="2" t="s">
        <v>2288</v>
      </c>
    </row>
    <row r="33" spans="1:2">
      <c r="A33" s="2" t="s">
        <v>5050</v>
      </c>
      <c r="B33" s="2" t="s">
        <v>2288</v>
      </c>
    </row>
    <row r="34" spans="1:2">
      <c r="A34" s="2" t="s">
        <v>92</v>
      </c>
      <c r="B34" s="2" t="s">
        <v>2288</v>
      </c>
    </row>
    <row r="35" spans="1:2">
      <c r="A35" s="2" t="s">
        <v>5165</v>
      </c>
      <c r="B35" s="2" t="s">
        <v>2288</v>
      </c>
    </row>
    <row r="36" spans="1:2">
      <c r="A36" s="2" t="s">
        <v>5166</v>
      </c>
      <c r="B36" s="2" t="s">
        <v>2288</v>
      </c>
    </row>
    <row r="37" spans="1:2">
      <c r="A37" s="2" t="s">
        <v>5219</v>
      </c>
      <c r="B37" s="2" t="s">
        <v>2288</v>
      </c>
    </row>
    <row r="38" spans="1:2">
      <c r="A38" s="2" t="s">
        <v>5224</v>
      </c>
      <c r="B38" s="2" t="s">
        <v>2288</v>
      </c>
    </row>
    <row r="39" spans="1:2">
      <c r="A39" s="2" t="s">
        <v>5225</v>
      </c>
      <c r="B39" s="2" t="s">
        <v>2288</v>
      </c>
    </row>
    <row r="40" spans="1:2">
      <c r="A40" s="2" t="s">
        <v>402</v>
      </c>
      <c r="B40" s="2" t="s">
        <v>2288</v>
      </c>
    </row>
    <row r="41" spans="1:2">
      <c r="A41" s="2" t="s">
        <v>5246</v>
      </c>
      <c r="B41" s="2" t="s">
        <v>2288</v>
      </c>
    </row>
    <row r="42" spans="1:2">
      <c r="A42" s="2" t="s">
        <v>7332</v>
      </c>
      <c r="B42" s="2" t="s">
        <v>2288</v>
      </c>
    </row>
    <row r="43" spans="1:2">
      <c r="A43" s="2" t="s">
        <v>5581</v>
      </c>
      <c r="B43" s="2" t="s">
        <v>2288</v>
      </c>
    </row>
    <row r="44" spans="1:2">
      <c r="A44" s="2" t="s">
        <v>5582</v>
      </c>
      <c r="B44" s="2" t="s">
        <v>2288</v>
      </c>
    </row>
    <row r="45" spans="1:2">
      <c r="A45" s="2" t="s">
        <v>5583</v>
      </c>
      <c r="B45" s="2" t="s">
        <v>2288</v>
      </c>
    </row>
    <row r="46" spans="1:2">
      <c r="A46" s="2" t="s">
        <v>1342</v>
      </c>
      <c r="B46" s="2" t="s">
        <v>2288</v>
      </c>
    </row>
    <row r="47" spans="1:2">
      <c r="A47" s="2" t="s">
        <v>5591</v>
      </c>
      <c r="B47" s="2" t="s">
        <v>2288</v>
      </c>
    </row>
    <row r="48" spans="1:2">
      <c r="A48" s="2" t="s">
        <v>7333</v>
      </c>
      <c r="B48" s="2" t="s">
        <v>2288</v>
      </c>
    </row>
    <row r="49" spans="1:2">
      <c r="A49" s="2" t="s">
        <v>7334</v>
      </c>
      <c r="B49" s="2" t="s">
        <v>2288</v>
      </c>
    </row>
    <row r="50" spans="1:2">
      <c r="A50" s="2" t="s">
        <v>6873</v>
      </c>
      <c r="B50" s="2" t="s">
        <v>2288</v>
      </c>
    </row>
    <row r="51" spans="1:2">
      <c r="A51" s="2" t="s">
        <v>5931</v>
      </c>
      <c r="B51" s="2" t="s">
        <v>2288</v>
      </c>
    </row>
    <row r="52" spans="1:2">
      <c r="A52" s="2" t="s">
        <v>5933</v>
      </c>
      <c r="B52" s="2" t="s">
        <v>2288</v>
      </c>
    </row>
    <row r="53" spans="1:2">
      <c r="A53" s="2" t="s">
        <v>5934</v>
      </c>
      <c r="B53" s="2" t="s">
        <v>2288</v>
      </c>
    </row>
    <row r="54" spans="1:2">
      <c r="A54" s="2" t="s">
        <v>5953</v>
      </c>
      <c r="B54" s="2" t="s">
        <v>2288</v>
      </c>
    </row>
    <row r="55" spans="1:2">
      <c r="A55" s="2" t="s">
        <v>7335</v>
      </c>
      <c r="B55" s="2" t="s">
        <v>2288</v>
      </c>
    </row>
    <row r="56" spans="1:2">
      <c r="A56" s="2" t="s">
        <v>5956</v>
      </c>
      <c r="B56" s="2" t="s">
        <v>2288</v>
      </c>
    </row>
    <row r="57" spans="1:2">
      <c r="A57" s="2" t="s">
        <v>5957</v>
      </c>
      <c r="B57" s="2" t="s">
        <v>2288</v>
      </c>
    </row>
    <row r="58" spans="1:2">
      <c r="A58" s="2" t="s">
        <v>7336</v>
      </c>
      <c r="B58" s="2" t="s">
        <v>2288</v>
      </c>
    </row>
    <row r="59" spans="1:2">
      <c r="A59" s="2" t="s">
        <v>4820</v>
      </c>
      <c r="B59" s="2" t="s">
        <v>2288</v>
      </c>
    </row>
    <row r="60" spans="1:2">
      <c r="A60" s="2" t="s">
        <v>7337</v>
      </c>
      <c r="B60" s="2" t="s">
        <v>2288</v>
      </c>
    </row>
    <row r="61" spans="1:2">
      <c r="A61" s="2" t="s">
        <v>4822</v>
      </c>
      <c r="B61" s="2" t="s">
        <v>2288</v>
      </c>
    </row>
    <row r="62" spans="1:2">
      <c r="A62" s="2" t="s">
        <v>7338</v>
      </c>
      <c r="B62" s="2" t="s">
        <v>2288</v>
      </c>
    </row>
    <row r="63" spans="1:2">
      <c r="A63" s="2" t="s">
        <v>7293</v>
      </c>
      <c r="B63" s="2" t="s">
        <v>2288</v>
      </c>
    </row>
    <row r="64" spans="1:2">
      <c r="A64" s="2" t="s">
        <v>412</v>
      </c>
      <c r="B64" s="2" t="s">
        <v>2288</v>
      </c>
    </row>
    <row r="65" spans="1:2">
      <c r="A65" s="2" t="s">
        <v>418</v>
      </c>
      <c r="B65" s="2" t="s">
        <v>2288</v>
      </c>
    </row>
    <row r="66" spans="1:2">
      <c r="A66" s="2" t="s">
        <v>1474</v>
      </c>
      <c r="B66" s="2" t="s">
        <v>2288</v>
      </c>
    </row>
    <row r="67" spans="1:2">
      <c r="A67" s="2" t="s">
        <v>5943</v>
      </c>
      <c r="B67" s="2" t="s">
        <v>2288</v>
      </c>
    </row>
    <row r="68" spans="1:2">
      <c r="A68" s="2" t="s">
        <v>5944</v>
      </c>
      <c r="B68" s="2" t="s">
        <v>2288</v>
      </c>
    </row>
    <row r="69" spans="1:2">
      <c r="A69" s="2" t="s">
        <v>5945</v>
      </c>
      <c r="B69" s="2" t="s">
        <v>2288</v>
      </c>
    </row>
    <row r="70" spans="1:2">
      <c r="A70" s="2" t="s">
        <v>6275</v>
      </c>
      <c r="B70" s="2" t="s">
        <v>96</v>
      </c>
    </row>
    <row r="71" spans="1:2">
      <c r="A71" s="2" t="s">
        <v>229</v>
      </c>
      <c r="B71" s="2" t="s">
        <v>96</v>
      </c>
    </row>
    <row r="72" spans="1:2">
      <c r="A72" s="2" t="s">
        <v>5251</v>
      </c>
      <c r="B72" s="2" t="s">
        <v>7339</v>
      </c>
    </row>
    <row r="73" spans="1:2">
      <c r="A73" s="2" t="s">
        <v>7340</v>
      </c>
      <c r="B73" s="2" t="s">
        <v>7339</v>
      </c>
    </row>
    <row r="74" spans="1:2">
      <c r="A74" s="2" t="s">
        <v>7341</v>
      </c>
      <c r="B74" s="2" t="s">
        <v>7339</v>
      </c>
    </row>
    <row r="75" spans="1:2">
      <c r="A75" s="2" t="s">
        <v>7342</v>
      </c>
      <c r="B75" s="2" t="s">
        <v>7339</v>
      </c>
    </row>
    <row r="76" spans="1:2">
      <c r="A76" s="2" t="s">
        <v>7343</v>
      </c>
      <c r="B76" s="2" t="s">
        <v>7339</v>
      </c>
    </row>
    <row r="77" spans="1:2">
      <c r="A77" s="2" t="s">
        <v>5597</v>
      </c>
      <c r="B77" s="2" t="s">
        <v>7339</v>
      </c>
    </row>
    <row r="78" spans="1:2">
      <c r="A78" s="2" t="s">
        <v>7344</v>
      </c>
      <c r="B78" s="2" t="s">
        <v>7339</v>
      </c>
    </row>
    <row r="79" spans="1:2">
      <c r="A79" s="2" t="s">
        <v>7345</v>
      </c>
      <c r="B79" s="2" t="s">
        <v>7339</v>
      </c>
    </row>
    <row r="80" spans="1:2">
      <c r="A80" s="2" t="s">
        <v>7346</v>
      </c>
      <c r="B80" s="2" t="s">
        <v>7339</v>
      </c>
    </row>
    <row r="81" spans="1:2">
      <c r="A81" s="2" t="s">
        <v>7347</v>
      </c>
      <c r="B81" s="2" t="s">
        <v>7339</v>
      </c>
    </row>
    <row r="82" spans="1:2">
      <c r="A82" s="2" t="s">
        <v>7348</v>
      </c>
      <c r="B82" s="2" t="s">
        <v>7339</v>
      </c>
    </row>
    <row r="83" spans="1:2">
      <c r="A83" s="2" t="s">
        <v>5669</v>
      </c>
      <c r="B83" s="2" t="s">
        <v>7339</v>
      </c>
    </row>
    <row r="84" spans="1:2">
      <c r="A84" s="2" t="s">
        <v>7349</v>
      </c>
      <c r="B84" s="2" t="s">
        <v>7339</v>
      </c>
    </row>
    <row r="85" spans="1:2">
      <c r="A85" s="2" t="s">
        <v>4954</v>
      </c>
      <c r="B85" s="2" t="s">
        <v>7339</v>
      </c>
    </row>
    <row r="86" spans="1:2">
      <c r="A86" s="2" t="s">
        <v>7350</v>
      </c>
      <c r="B86" s="2" t="s">
        <v>3345</v>
      </c>
    </row>
    <row r="87" spans="1:2">
      <c r="A87" s="2" t="s">
        <v>5249</v>
      </c>
      <c r="B87" s="2" t="s">
        <v>3345</v>
      </c>
    </row>
    <row r="88" spans="1:2">
      <c r="A88" s="2" t="s">
        <v>5305</v>
      </c>
      <c r="B88" s="2" t="s">
        <v>3345</v>
      </c>
    </row>
    <row r="89" spans="1:2">
      <c r="A89" s="2" t="s">
        <v>7351</v>
      </c>
      <c r="B89" s="2" t="s">
        <v>3345</v>
      </c>
    </row>
    <row r="90" spans="1:2">
      <c r="A90" s="2" t="s">
        <v>7352</v>
      </c>
      <c r="B90" s="2" t="s">
        <v>3345</v>
      </c>
    </row>
    <row r="91" spans="1:2">
      <c r="A91" s="2" t="s">
        <v>7353</v>
      </c>
      <c r="B91" s="2" t="s">
        <v>3345</v>
      </c>
    </row>
    <row r="92" spans="1:2">
      <c r="A92" s="2" t="s">
        <v>4727</v>
      </c>
      <c r="B92" s="2" t="s">
        <v>3345</v>
      </c>
    </row>
    <row r="93" spans="1:2">
      <c r="A93" s="2" t="s">
        <v>5960</v>
      </c>
      <c r="B93" s="2" t="s">
        <v>3345</v>
      </c>
    </row>
    <row r="94" spans="1:2">
      <c r="A94" s="2" t="s">
        <v>6031</v>
      </c>
      <c r="B94" s="2" t="s">
        <v>3345</v>
      </c>
    </row>
    <row r="95" spans="1:2">
      <c r="A95" s="2" t="s">
        <v>5341</v>
      </c>
      <c r="B95" s="2" t="s">
        <v>3345</v>
      </c>
    </row>
    <row r="96" spans="1:2">
      <c r="A96" s="2" t="s">
        <v>5433</v>
      </c>
      <c r="B96" s="2" t="s">
        <v>3345</v>
      </c>
    </row>
    <row r="97" spans="1:2">
      <c r="A97" s="2" t="s">
        <v>5438</v>
      </c>
      <c r="B97" s="2" t="s">
        <v>3345</v>
      </c>
    </row>
    <row r="98" spans="1:2">
      <c r="A98" s="2" t="s">
        <v>7354</v>
      </c>
      <c r="B98" s="2" t="s">
        <v>7355</v>
      </c>
    </row>
    <row r="99" spans="1:2">
      <c r="A99" s="2" t="s">
        <v>7356</v>
      </c>
      <c r="B99" s="2" t="s">
        <v>7355</v>
      </c>
    </row>
    <row r="100" spans="1:2">
      <c r="A100" s="2" t="s">
        <v>7357</v>
      </c>
      <c r="B100" s="2" t="s">
        <v>7355</v>
      </c>
    </row>
    <row r="101" spans="1:2">
      <c r="A101" s="2" t="s">
        <v>7358</v>
      </c>
      <c r="B101" s="2" t="s">
        <v>7359</v>
      </c>
    </row>
    <row r="102" spans="1:2">
      <c r="A102" s="2" t="s">
        <v>7360</v>
      </c>
      <c r="B102" s="2" t="s">
        <v>7359</v>
      </c>
    </row>
    <row r="103" spans="1:2">
      <c r="A103" s="2" t="s">
        <v>7361</v>
      </c>
      <c r="B103" s="2" t="s">
        <v>7359</v>
      </c>
    </row>
    <row r="104" spans="1:2">
      <c r="A104" s="2" t="s">
        <v>7362</v>
      </c>
      <c r="B104" s="2" t="s">
        <v>7359</v>
      </c>
    </row>
    <row r="105" spans="1:2">
      <c r="A105" s="2" t="s">
        <v>7363</v>
      </c>
      <c r="B105" s="2" t="s">
        <v>7359</v>
      </c>
    </row>
    <row r="106" spans="1:2">
      <c r="A106" s="2" t="s">
        <v>5342</v>
      </c>
      <c r="B106" s="2" t="s">
        <v>7359</v>
      </c>
    </row>
    <row r="107" spans="1:2">
      <c r="A107" s="2" t="s">
        <v>4366</v>
      </c>
      <c r="B107" s="2" t="s">
        <v>7359</v>
      </c>
    </row>
    <row r="108" spans="1:2">
      <c r="A108" s="2" t="s">
        <v>4370</v>
      </c>
      <c r="B108" s="2" t="s">
        <v>7359</v>
      </c>
    </row>
    <row r="109" spans="1:2">
      <c r="A109" s="2" t="s">
        <v>4380</v>
      </c>
      <c r="B109" s="2" t="s">
        <v>7359</v>
      </c>
    </row>
    <row r="110" spans="1:2">
      <c r="A110" s="2" t="s">
        <v>4382</v>
      </c>
      <c r="B110" s="2" t="s">
        <v>7359</v>
      </c>
    </row>
    <row r="111" spans="1:2">
      <c r="A111" s="2" t="s">
        <v>5361</v>
      </c>
      <c r="B111" s="2" t="s">
        <v>7359</v>
      </c>
    </row>
    <row r="112" spans="1:2">
      <c r="A112" s="2" t="s">
        <v>5370</v>
      </c>
      <c r="B112" s="2" t="s">
        <v>7359</v>
      </c>
    </row>
    <row r="113" spans="1:2">
      <c r="A113" s="2" t="s">
        <v>5374</v>
      </c>
      <c r="B113" s="2" t="s">
        <v>7359</v>
      </c>
    </row>
    <row r="114" spans="1:2">
      <c r="A114" s="2" t="s">
        <v>5395</v>
      </c>
      <c r="B114" s="2" t="s">
        <v>7359</v>
      </c>
    </row>
    <row r="115" spans="1:2">
      <c r="A115" s="2" t="s">
        <v>5397</v>
      </c>
      <c r="B115" s="2" t="s">
        <v>7359</v>
      </c>
    </row>
    <row r="116" spans="1:2">
      <c r="A116" s="2" t="s">
        <v>7364</v>
      </c>
      <c r="B116" s="2" t="s">
        <v>7359</v>
      </c>
    </row>
    <row r="117" spans="1:2">
      <c r="A117" s="2" t="s">
        <v>7365</v>
      </c>
      <c r="B117" s="2" t="s">
        <v>7359</v>
      </c>
    </row>
    <row r="118" spans="1:2">
      <c r="A118" s="2" t="s">
        <v>5423</v>
      </c>
      <c r="B118" s="2" t="s">
        <v>7359</v>
      </c>
    </row>
    <row r="119" spans="1:2">
      <c r="A119" s="2" t="s">
        <v>7366</v>
      </c>
      <c r="B119" s="2" t="s">
        <v>7359</v>
      </c>
    </row>
    <row r="120" spans="1:2">
      <c r="A120" s="2" t="s">
        <v>5472</v>
      </c>
      <c r="B120" s="2" t="s">
        <v>7359</v>
      </c>
    </row>
    <row r="121" spans="1:2">
      <c r="A121" s="2" t="s">
        <v>5480</v>
      </c>
      <c r="B121" s="2" t="s">
        <v>7359</v>
      </c>
    </row>
    <row r="122" spans="1:2">
      <c r="A122" s="2" t="s">
        <v>5482</v>
      </c>
      <c r="B122" s="2" t="s">
        <v>7359</v>
      </c>
    </row>
    <row r="123" spans="1:2">
      <c r="A123" s="2" t="s">
        <v>5562</v>
      </c>
      <c r="B123" s="2" t="s">
        <v>7359</v>
      </c>
    </row>
    <row r="124" spans="1:2">
      <c r="A124" s="2" t="s">
        <v>5563</v>
      </c>
      <c r="B124" s="2" t="s">
        <v>7359</v>
      </c>
    </row>
    <row r="125" spans="1:2">
      <c r="A125" s="2" t="s">
        <v>5622</v>
      </c>
      <c r="B125" s="2" t="s">
        <v>7359</v>
      </c>
    </row>
    <row r="126" spans="1:2">
      <c r="A126" s="2" t="s">
        <v>5623</v>
      </c>
      <c r="B126" s="2" t="s">
        <v>7359</v>
      </c>
    </row>
    <row r="127" spans="1:2">
      <c r="A127" s="2" t="s">
        <v>5662</v>
      </c>
      <c r="B127" s="2" t="s">
        <v>7359</v>
      </c>
    </row>
    <row r="128" spans="1:2">
      <c r="A128" s="2" t="s">
        <v>5663</v>
      </c>
      <c r="B128" s="2" t="s">
        <v>7359</v>
      </c>
    </row>
    <row r="129" spans="1:2">
      <c r="A129" s="2" t="s">
        <v>5714</v>
      </c>
      <c r="B129" s="2" t="s">
        <v>7359</v>
      </c>
    </row>
    <row r="130" spans="1:2">
      <c r="A130" s="2" t="s">
        <v>5746</v>
      </c>
      <c r="B130" s="2" t="s">
        <v>7359</v>
      </c>
    </row>
    <row r="131" spans="1:2">
      <c r="A131" s="2" t="s">
        <v>7367</v>
      </c>
      <c r="B131" s="2" t="s">
        <v>7359</v>
      </c>
    </row>
    <row r="132" spans="1:2">
      <c r="A132" s="2" t="s">
        <v>5766</v>
      </c>
      <c r="B132" s="2" t="s">
        <v>7359</v>
      </c>
    </row>
    <row r="133" spans="1:2">
      <c r="A133" s="2" t="s">
        <v>5767</v>
      </c>
      <c r="B133" s="2" t="s">
        <v>7359</v>
      </c>
    </row>
    <row r="134" spans="1:2">
      <c r="A134" s="2" t="s">
        <v>5770</v>
      </c>
      <c r="B134" s="2" t="s">
        <v>7359</v>
      </c>
    </row>
    <row r="135" spans="1:2">
      <c r="A135" s="2" t="s">
        <v>5772</v>
      </c>
      <c r="B135" s="2" t="s">
        <v>7359</v>
      </c>
    </row>
    <row r="136" spans="1:2">
      <c r="A136" s="2" t="s">
        <v>7368</v>
      </c>
      <c r="B136" s="2" t="s">
        <v>7359</v>
      </c>
    </row>
    <row r="137" spans="1:2">
      <c r="A137" s="2" t="s">
        <v>5821</v>
      </c>
      <c r="B137" s="2" t="s">
        <v>7359</v>
      </c>
    </row>
    <row r="138" spans="1:2">
      <c r="A138" s="2" t="s">
        <v>5823</v>
      </c>
      <c r="B138" s="2" t="s">
        <v>7359</v>
      </c>
    </row>
    <row r="139" spans="1:2">
      <c r="A139" s="2" t="s">
        <v>5849</v>
      </c>
      <c r="B139" s="2" t="s">
        <v>7359</v>
      </c>
    </row>
    <row r="140" spans="1:2">
      <c r="A140" s="2" t="s">
        <v>5866</v>
      </c>
      <c r="B140" s="2" t="s">
        <v>7359</v>
      </c>
    </row>
    <row r="141" spans="1:2">
      <c r="A141" s="2" t="s">
        <v>4686</v>
      </c>
      <c r="B141" s="2" t="s">
        <v>7359</v>
      </c>
    </row>
    <row r="142" spans="1:2">
      <c r="A142" s="2" t="s">
        <v>4688</v>
      </c>
      <c r="B142" s="2" t="s">
        <v>7359</v>
      </c>
    </row>
    <row r="143" spans="1:2">
      <c r="A143" s="2" t="s">
        <v>5941</v>
      </c>
      <c r="B143" s="2" t="s">
        <v>7359</v>
      </c>
    </row>
    <row r="144" spans="1:2">
      <c r="A144" s="2" t="s">
        <v>4832</v>
      </c>
      <c r="B144" s="2" t="s">
        <v>7359</v>
      </c>
    </row>
    <row r="145" spans="1:2">
      <c r="A145" s="2" t="s">
        <v>6138</v>
      </c>
      <c r="B145" s="2" t="s">
        <v>7359</v>
      </c>
    </row>
    <row r="146" spans="1:2">
      <c r="A146" s="2" t="s">
        <v>4877</v>
      </c>
      <c r="B146" s="2" t="s">
        <v>7359</v>
      </c>
    </row>
    <row r="147" spans="1:2">
      <c r="A147" s="2" t="s">
        <v>6165</v>
      </c>
      <c r="B147" s="2" t="s">
        <v>7359</v>
      </c>
    </row>
    <row r="148" spans="1:2">
      <c r="A148" s="2" t="s">
        <v>6167</v>
      </c>
      <c r="B148" s="2" t="s">
        <v>7359</v>
      </c>
    </row>
    <row r="149" spans="1:2">
      <c r="A149" s="2" t="s">
        <v>7369</v>
      </c>
      <c r="B149" s="2" t="s">
        <v>7359</v>
      </c>
    </row>
    <row r="150" spans="1:2">
      <c r="A150" s="2" t="s">
        <v>6186</v>
      </c>
      <c r="B150" s="2" t="s">
        <v>7359</v>
      </c>
    </row>
    <row r="151" spans="1:2">
      <c r="A151" s="2" t="s">
        <v>6188</v>
      </c>
      <c r="B151" s="2" t="s">
        <v>7359</v>
      </c>
    </row>
    <row r="152" spans="1:2">
      <c r="A152" s="2" t="s">
        <v>7370</v>
      </c>
      <c r="B152" s="2" t="s">
        <v>7359</v>
      </c>
    </row>
    <row r="153" spans="1:2">
      <c r="A153" s="2" t="s">
        <v>6253</v>
      </c>
      <c r="B153" s="2" t="s">
        <v>7359</v>
      </c>
    </row>
    <row r="154" spans="1:2">
      <c r="A154" s="2" t="s">
        <v>5016</v>
      </c>
      <c r="B154" s="2" t="s">
        <v>7371</v>
      </c>
    </row>
    <row r="155" spans="1:2">
      <c r="A155" s="2" t="s">
        <v>4166</v>
      </c>
      <c r="B155" s="2" t="s">
        <v>7371</v>
      </c>
    </row>
    <row r="156" spans="1:2">
      <c r="A156" s="2" t="s">
        <v>4392</v>
      </c>
      <c r="B156" s="2" t="s">
        <v>7371</v>
      </c>
    </row>
    <row r="157" spans="1:2">
      <c r="A157" s="2" t="s">
        <v>5519</v>
      </c>
      <c r="B157" s="2" t="s">
        <v>7371</v>
      </c>
    </row>
    <row r="158" spans="1:2">
      <c r="A158" s="2" t="s">
        <v>5521</v>
      </c>
      <c r="B158" s="2" t="s">
        <v>7371</v>
      </c>
    </row>
    <row r="159" spans="1:2">
      <c r="A159" s="2" t="s">
        <v>4486</v>
      </c>
      <c r="B159" s="2" t="s">
        <v>7371</v>
      </c>
    </row>
    <row r="160" spans="1:2">
      <c r="A160" s="2" t="s">
        <v>4488</v>
      </c>
      <c r="B160" s="2" t="s">
        <v>7371</v>
      </c>
    </row>
    <row r="161" spans="1:2">
      <c r="A161" s="2" t="s">
        <v>4489</v>
      </c>
      <c r="B161" s="2" t="s">
        <v>7371</v>
      </c>
    </row>
    <row r="162" spans="1:2">
      <c r="A162" s="2" t="s">
        <v>4490</v>
      </c>
      <c r="B162" s="2" t="s">
        <v>7371</v>
      </c>
    </row>
    <row r="163" spans="1:2">
      <c r="A163" s="2" t="s">
        <v>4491</v>
      </c>
      <c r="B163" s="2" t="s">
        <v>7371</v>
      </c>
    </row>
    <row r="164" spans="1:2">
      <c r="A164" s="2" t="s">
        <v>4492</v>
      </c>
      <c r="B164" s="2" t="s">
        <v>7371</v>
      </c>
    </row>
    <row r="165" spans="1:2">
      <c r="A165" s="2" t="s">
        <v>4635</v>
      </c>
      <c r="B165" s="2" t="s">
        <v>7371</v>
      </c>
    </row>
    <row r="166" spans="1:2">
      <c r="A166" s="2" t="s">
        <v>5194</v>
      </c>
      <c r="B166" s="2" t="s">
        <v>3383</v>
      </c>
    </row>
    <row r="167" spans="1:2">
      <c r="A167" s="2" t="s">
        <v>5226</v>
      </c>
      <c r="B167" s="2" t="s">
        <v>3383</v>
      </c>
    </row>
    <row r="168" spans="1:2">
      <c r="A168" s="2" t="s">
        <v>7372</v>
      </c>
      <c r="B168" s="2" t="s">
        <v>3383</v>
      </c>
    </row>
    <row r="169" spans="1:2">
      <c r="A169" s="2" t="s">
        <v>7373</v>
      </c>
      <c r="B169" s="2" t="s">
        <v>3383</v>
      </c>
    </row>
    <row r="170" spans="1:2">
      <c r="A170" s="2" t="s">
        <v>7374</v>
      </c>
      <c r="B170" s="2" t="s">
        <v>3383</v>
      </c>
    </row>
    <row r="171" spans="1:2">
      <c r="A171" s="2" t="s">
        <v>7375</v>
      </c>
      <c r="B171" s="2" t="s">
        <v>3383</v>
      </c>
    </row>
    <row r="172" spans="1:2">
      <c r="A172" s="2" t="s">
        <v>7376</v>
      </c>
      <c r="B172" s="2" t="s">
        <v>3383</v>
      </c>
    </row>
    <row r="173" spans="1:2">
      <c r="A173" s="2" t="s">
        <v>5415</v>
      </c>
      <c r="B173" s="2" t="s">
        <v>3383</v>
      </c>
    </row>
    <row r="174" spans="1:2">
      <c r="A174" s="2" t="s">
        <v>5523</v>
      </c>
      <c r="B174" s="2" t="s">
        <v>3383</v>
      </c>
    </row>
    <row r="175" spans="1:2">
      <c r="A175" s="2" t="s">
        <v>5526</v>
      </c>
      <c r="B175" s="2" t="s">
        <v>3383</v>
      </c>
    </row>
    <row r="176" spans="1:2">
      <c r="A176" s="2" t="s">
        <v>7377</v>
      </c>
      <c r="B176" s="2" t="s">
        <v>3383</v>
      </c>
    </row>
    <row r="177" spans="1:2">
      <c r="A177" s="2" t="s">
        <v>5946</v>
      </c>
      <c r="B177" s="2" t="s">
        <v>3383</v>
      </c>
    </row>
    <row r="178" spans="1:2">
      <c r="A178" s="2" t="s">
        <v>7378</v>
      </c>
      <c r="B178" s="2" t="s">
        <v>3383</v>
      </c>
    </row>
    <row r="179" spans="1:2">
      <c r="A179" s="2" t="s">
        <v>4715</v>
      </c>
      <c r="B179" s="2" t="s">
        <v>3383</v>
      </c>
    </row>
    <row r="180" spans="1:2">
      <c r="A180" s="2" t="s">
        <v>5951</v>
      </c>
      <c r="B180" s="2" t="s">
        <v>3383</v>
      </c>
    </row>
    <row r="181" spans="1:2">
      <c r="A181" s="2" t="s">
        <v>7379</v>
      </c>
      <c r="B181" s="2" t="s">
        <v>3383</v>
      </c>
    </row>
    <row r="182" spans="1:2">
      <c r="A182" s="2" t="s">
        <v>4717</v>
      </c>
      <c r="B182" s="2" t="s">
        <v>3383</v>
      </c>
    </row>
    <row r="183" spans="1:2">
      <c r="A183" s="2" t="s">
        <v>6013</v>
      </c>
      <c r="B183" s="2" t="s">
        <v>3383</v>
      </c>
    </row>
    <row r="184" spans="1:2">
      <c r="A184" s="2" t="s">
        <v>5233</v>
      </c>
      <c r="B184" s="2" t="s">
        <v>114</v>
      </c>
    </row>
    <row r="185" spans="1:2">
      <c r="A185" s="2" t="s">
        <v>5234</v>
      </c>
      <c r="B185" s="2" t="s">
        <v>114</v>
      </c>
    </row>
    <row r="186" spans="1:2">
      <c r="A186" s="2" t="s">
        <v>5307</v>
      </c>
      <c r="B186" s="2" t="s">
        <v>114</v>
      </c>
    </row>
    <row r="187" spans="1:2">
      <c r="A187" s="2" t="s">
        <v>5309</v>
      </c>
      <c r="B187" s="2" t="s">
        <v>114</v>
      </c>
    </row>
    <row r="188" spans="1:2">
      <c r="A188" s="2" t="s">
        <v>6406</v>
      </c>
      <c r="B188" s="2" t="s">
        <v>114</v>
      </c>
    </row>
    <row r="189" spans="1:2">
      <c r="A189" s="2" t="s">
        <v>5325</v>
      </c>
      <c r="B189" s="2" t="s">
        <v>114</v>
      </c>
    </row>
    <row r="190" spans="1:2">
      <c r="A190" s="2" t="s">
        <v>5327</v>
      </c>
      <c r="B190" s="2" t="s">
        <v>114</v>
      </c>
    </row>
    <row r="191" spans="1:2">
      <c r="A191" s="2" t="s">
        <v>6409</v>
      </c>
      <c r="B191" s="2" t="s">
        <v>114</v>
      </c>
    </row>
    <row r="192" spans="1:2">
      <c r="A192" s="2" t="s">
        <v>5337</v>
      </c>
      <c r="B192" s="2" t="s">
        <v>114</v>
      </c>
    </row>
    <row r="193" spans="1:2">
      <c r="A193" s="2" t="s">
        <v>5339</v>
      </c>
      <c r="B193" s="2" t="s">
        <v>114</v>
      </c>
    </row>
    <row r="194" spans="1:2">
      <c r="A194" s="2" t="s">
        <v>5692</v>
      </c>
      <c r="B194" s="2" t="s">
        <v>114</v>
      </c>
    </row>
    <row r="195" spans="1:2">
      <c r="A195" s="2" t="s">
        <v>5693</v>
      </c>
      <c r="B195" s="2" t="s">
        <v>114</v>
      </c>
    </row>
    <row r="196" spans="1:2">
      <c r="A196" s="2" t="s">
        <v>5695</v>
      </c>
      <c r="B196" s="2" t="s">
        <v>114</v>
      </c>
    </row>
    <row r="197" spans="1:2">
      <c r="A197" s="2" t="s">
        <v>5696</v>
      </c>
      <c r="B197" s="2" t="s">
        <v>114</v>
      </c>
    </row>
    <row r="198" spans="1:2">
      <c r="A198" s="2" t="s">
        <v>5697</v>
      </c>
      <c r="B198" s="2" t="s">
        <v>114</v>
      </c>
    </row>
    <row r="199" spans="1:2">
      <c r="A199" s="2" t="s">
        <v>5699</v>
      </c>
      <c r="B199" s="2" t="s">
        <v>114</v>
      </c>
    </row>
    <row r="200" spans="1:2">
      <c r="A200" s="2" t="s">
        <v>5700</v>
      </c>
      <c r="B200" s="2" t="s">
        <v>114</v>
      </c>
    </row>
    <row r="201" spans="1:2">
      <c r="A201" s="2" t="s">
        <v>5701</v>
      </c>
      <c r="B201" s="2" t="s">
        <v>114</v>
      </c>
    </row>
    <row r="202" spans="1:2">
      <c r="A202" s="2" t="s">
        <v>5703</v>
      </c>
      <c r="B202" s="2" t="s">
        <v>114</v>
      </c>
    </row>
    <row r="203" spans="1:2">
      <c r="A203" s="2" t="s">
        <v>6812</v>
      </c>
      <c r="B203" s="2" t="s">
        <v>114</v>
      </c>
    </row>
    <row r="204" spans="1:2">
      <c r="A204" s="2" t="s">
        <v>6145</v>
      </c>
      <c r="B204" s="2" t="s">
        <v>114</v>
      </c>
    </row>
    <row r="205" spans="1:2">
      <c r="A205" s="2" t="s">
        <v>6147</v>
      </c>
      <c r="B205" s="2" t="s">
        <v>114</v>
      </c>
    </row>
    <row r="206" spans="1:2">
      <c r="A206" s="2" t="s">
        <v>4368</v>
      </c>
      <c r="B206" s="2" t="s">
        <v>1310</v>
      </c>
    </row>
    <row r="207" spans="1:2">
      <c r="A207" s="2" t="s">
        <v>7380</v>
      </c>
      <c r="B207" s="2" t="s">
        <v>1310</v>
      </c>
    </row>
    <row r="208" spans="1:2">
      <c r="A208" s="2" t="s">
        <v>4296</v>
      </c>
      <c r="B208" t="s">
        <v>7381</v>
      </c>
    </row>
    <row r="209" spans="1:2">
      <c r="A209" s="2" t="s">
        <v>4503</v>
      </c>
      <c r="B209" t="s">
        <v>7381</v>
      </c>
    </row>
    <row r="210" spans="1:2">
      <c r="A210" s="2" t="s">
        <v>7382</v>
      </c>
      <c r="B210" t="s">
        <v>7381</v>
      </c>
    </row>
    <row r="211" spans="1:2">
      <c r="A211" s="2" t="s">
        <v>5604</v>
      </c>
      <c r="B211" t="s">
        <v>7381</v>
      </c>
    </row>
    <row r="212" spans="1:2">
      <c r="A212" s="2" t="s">
        <v>1665</v>
      </c>
      <c r="B212" t="s">
        <v>7381</v>
      </c>
    </row>
    <row r="213" spans="1:2">
      <c r="A213" s="2" t="s">
        <v>5706</v>
      </c>
      <c r="B213" t="s">
        <v>7381</v>
      </c>
    </row>
    <row r="214" spans="1:2">
      <c r="A214" s="2" t="s">
        <v>4588</v>
      </c>
      <c r="B214" t="s">
        <v>7381</v>
      </c>
    </row>
    <row r="215" spans="1:2">
      <c r="A215" s="2" t="s">
        <v>5854</v>
      </c>
      <c r="B215" t="s">
        <v>7381</v>
      </c>
    </row>
    <row r="216" spans="1:2">
      <c r="A216" s="2" t="s">
        <v>5858</v>
      </c>
      <c r="B216" t="s">
        <v>7381</v>
      </c>
    </row>
    <row r="217" spans="1:2">
      <c r="A217" s="2" t="s">
        <v>4811</v>
      </c>
      <c r="B217" t="s">
        <v>7381</v>
      </c>
    </row>
    <row r="218" spans="1:2">
      <c r="A218" s="2" t="s">
        <v>7111</v>
      </c>
      <c r="B218" t="s">
        <v>7381</v>
      </c>
    </row>
    <row r="219" spans="1:2">
      <c r="A219" s="2" t="s">
        <v>4813</v>
      </c>
      <c r="B219" t="s">
        <v>7381</v>
      </c>
    </row>
    <row r="220" spans="1:2">
      <c r="A220" s="2" t="s">
        <v>6061</v>
      </c>
      <c r="B220" t="s">
        <v>7381</v>
      </c>
    </row>
    <row r="221" spans="1:2">
      <c r="A221" s="2" t="s">
        <v>4848</v>
      </c>
      <c r="B221" t="s">
        <v>7381</v>
      </c>
    </row>
    <row r="222" spans="1:2">
      <c r="A222" s="2" t="s">
        <v>6098</v>
      </c>
      <c r="B222" t="s">
        <v>7381</v>
      </c>
    </row>
    <row r="223" spans="1:2">
      <c r="A223" s="2" t="s">
        <v>6631</v>
      </c>
      <c r="B223" t="s">
        <v>7381</v>
      </c>
    </row>
    <row r="224" spans="1:2">
      <c r="A224" s="2" t="s">
        <v>4326</v>
      </c>
      <c r="B224" t="s">
        <v>7381</v>
      </c>
    </row>
    <row r="225" spans="1:2">
      <c r="A225" s="2" t="s">
        <v>4650</v>
      </c>
      <c r="B225" t="s">
        <v>7381</v>
      </c>
    </row>
    <row r="226" spans="1:2">
      <c r="A226" s="2" t="s">
        <v>5213</v>
      </c>
      <c r="B226" s="2" t="s">
        <v>7383</v>
      </c>
    </row>
    <row r="227" spans="1:2">
      <c r="A227" s="2" t="s">
        <v>5215</v>
      </c>
      <c r="B227" s="2" t="s">
        <v>7383</v>
      </c>
    </row>
    <row r="228" spans="1:2">
      <c r="A228" s="2" t="s">
        <v>7384</v>
      </c>
      <c r="B228" s="2" t="s">
        <v>7383</v>
      </c>
    </row>
    <row r="229" spans="1:2">
      <c r="A229" s="2" t="s">
        <v>7385</v>
      </c>
      <c r="B229" s="2" t="s">
        <v>7383</v>
      </c>
    </row>
    <row r="230" spans="1:2">
      <c r="A230" s="2" t="s">
        <v>7386</v>
      </c>
      <c r="B230" s="2" t="s">
        <v>7383</v>
      </c>
    </row>
    <row r="231" spans="1:2">
      <c r="A231" s="2" t="s">
        <v>5367</v>
      </c>
      <c r="B231" s="2" t="s">
        <v>7383</v>
      </c>
    </row>
    <row r="232" spans="1:2">
      <c r="A232" s="2" t="s">
        <v>4383</v>
      </c>
      <c r="B232" s="2" t="s">
        <v>7383</v>
      </c>
    </row>
    <row r="233" spans="1:2">
      <c r="A233" s="2" t="s">
        <v>5393</v>
      </c>
      <c r="B233" s="2" t="s">
        <v>7383</v>
      </c>
    </row>
    <row r="234" spans="1:2">
      <c r="A234" s="2" t="s">
        <v>7387</v>
      </c>
      <c r="B234" s="2" t="s">
        <v>7383</v>
      </c>
    </row>
    <row r="235" spans="1:2">
      <c r="A235" s="2" t="s">
        <v>7388</v>
      </c>
      <c r="B235" s="2" t="s">
        <v>7383</v>
      </c>
    </row>
    <row r="236" spans="1:2">
      <c r="A236" s="2" t="s">
        <v>5806</v>
      </c>
      <c r="B236" s="2" t="s">
        <v>7383</v>
      </c>
    </row>
    <row r="237" spans="1:2">
      <c r="A237" s="2" t="s">
        <v>5808</v>
      </c>
      <c r="B237" s="2" t="s">
        <v>7383</v>
      </c>
    </row>
    <row r="238" spans="1:2">
      <c r="A238" s="2" t="s">
        <v>4625</v>
      </c>
      <c r="B238" s="2" t="s">
        <v>7383</v>
      </c>
    </row>
    <row r="239" spans="1:2">
      <c r="A239" s="2" t="s">
        <v>4627</v>
      </c>
      <c r="B239" s="2" t="s">
        <v>7383</v>
      </c>
    </row>
    <row r="240" spans="1:2">
      <c r="A240" s="2" t="s">
        <v>5810</v>
      </c>
      <c r="B240" s="2" t="s">
        <v>7383</v>
      </c>
    </row>
    <row r="241" spans="1:2">
      <c r="A241" s="2" t="s">
        <v>7389</v>
      </c>
      <c r="B241" s="2" t="s">
        <v>7383</v>
      </c>
    </row>
    <row r="242" spans="1:2">
      <c r="A242" s="2" t="s">
        <v>5918</v>
      </c>
      <c r="B242" s="2" t="s">
        <v>7383</v>
      </c>
    </row>
    <row r="243" spans="1:2">
      <c r="A243" s="2" t="s">
        <v>7390</v>
      </c>
      <c r="B243" s="2" t="s">
        <v>7383</v>
      </c>
    </row>
    <row r="244" spans="1:2">
      <c r="A244" s="2" t="s">
        <v>7391</v>
      </c>
      <c r="B244" s="2" t="s">
        <v>7383</v>
      </c>
    </row>
    <row r="245" spans="1:2">
      <c r="A245" s="2" t="s">
        <v>7392</v>
      </c>
      <c r="B245" s="2" t="s">
        <v>7383</v>
      </c>
    </row>
    <row r="246" spans="1:2">
      <c r="A246" s="2" t="s">
        <v>7393</v>
      </c>
      <c r="B246" s="2" t="s">
        <v>7383</v>
      </c>
    </row>
    <row r="247" spans="1:2">
      <c r="A247" s="2" t="s">
        <v>7394</v>
      </c>
      <c r="B247" s="2" t="s">
        <v>7383</v>
      </c>
    </row>
    <row r="248" spans="1:2">
      <c r="A248" s="2" t="s">
        <v>7395</v>
      </c>
      <c r="B248" s="2" t="s">
        <v>7383</v>
      </c>
    </row>
    <row r="249" spans="1:2">
      <c r="A249" s="2" t="s">
        <v>7396</v>
      </c>
      <c r="B249" s="2" t="s">
        <v>7383</v>
      </c>
    </row>
    <row r="250" spans="1:2">
      <c r="A250" s="2" t="s">
        <v>6246</v>
      </c>
      <c r="B250" s="2" t="s">
        <v>7383</v>
      </c>
    </row>
    <row r="251" spans="1:2">
      <c r="A251" s="2" t="s">
        <v>6252</v>
      </c>
      <c r="B251" s="2" t="s">
        <v>7383</v>
      </c>
    </row>
    <row r="252" spans="1:2">
      <c r="A252" s="2" t="s">
        <v>7397</v>
      </c>
      <c r="B252" s="2" t="s">
        <v>7383</v>
      </c>
    </row>
    <row r="253" spans="1:2">
      <c r="A253" s="2" t="s">
        <v>4986</v>
      </c>
      <c r="B253" s="2" t="s">
        <v>7383</v>
      </c>
    </row>
    <row r="254" spans="1:2">
      <c r="A254" s="2" t="s">
        <v>6270</v>
      </c>
      <c r="B254" s="2" t="s">
        <v>6274</v>
      </c>
    </row>
    <row r="255" spans="1:2">
      <c r="A255" s="2" t="s">
        <v>4413</v>
      </c>
      <c r="B255" s="2" t="s">
        <v>6842</v>
      </c>
    </row>
    <row r="256" spans="1:2">
      <c r="A256" s="2" t="s">
        <v>7398</v>
      </c>
      <c r="B256" s="2" t="s">
        <v>6842</v>
      </c>
    </row>
    <row r="257" spans="1:2">
      <c r="A257" s="2" t="s">
        <v>7399</v>
      </c>
      <c r="B257" s="2" t="s">
        <v>6842</v>
      </c>
    </row>
    <row r="258" spans="1:2">
      <c r="A258" s="2" t="s">
        <v>7400</v>
      </c>
      <c r="B258" s="2" t="s">
        <v>6842</v>
      </c>
    </row>
    <row r="259" spans="1:2">
      <c r="A259" s="2" t="s">
        <v>5037</v>
      </c>
      <c r="B259" s="2" t="s">
        <v>239</v>
      </c>
    </row>
    <row r="260" spans="1:2">
      <c r="A260" s="2" t="s">
        <v>5039</v>
      </c>
      <c r="B260" s="2" t="s">
        <v>239</v>
      </c>
    </row>
    <row r="261" spans="1:2">
      <c r="A261" s="2" t="s">
        <v>4267</v>
      </c>
      <c r="B261" s="2" t="s">
        <v>239</v>
      </c>
    </row>
    <row r="262" spans="1:2">
      <c r="A262" s="2" t="s">
        <v>4269</v>
      </c>
      <c r="B262" s="2" t="s">
        <v>239</v>
      </c>
    </row>
    <row r="263" spans="1:2">
      <c r="A263" s="2" t="s">
        <v>4271</v>
      </c>
      <c r="B263" s="2" t="s">
        <v>239</v>
      </c>
    </row>
    <row r="264" spans="1:2">
      <c r="A264" s="2" t="s">
        <v>6322</v>
      </c>
      <c r="B264" s="2" t="s">
        <v>239</v>
      </c>
    </row>
    <row r="265" spans="1:2">
      <c r="A265" s="2" t="s">
        <v>4397</v>
      </c>
      <c r="B265" s="2" t="s">
        <v>239</v>
      </c>
    </row>
    <row r="266" spans="1:2">
      <c r="A266" s="2" t="s">
        <v>4398</v>
      </c>
      <c r="B266" s="2" t="s">
        <v>239</v>
      </c>
    </row>
    <row r="267" spans="1:2">
      <c r="A267" s="2" t="s">
        <v>4412</v>
      </c>
      <c r="B267" s="2" t="s">
        <v>239</v>
      </c>
    </row>
    <row r="268" spans="1:2">
      <c r="A268" s="2" t="s">
        <v>6833</v>
      </c>
      <c r="B268" s="2" t="s">
        <v>239</v>
      </c>
    </row>
    <row r="269" spans="1:2">
      <c r="A269" s="2" t="s">
        <v>7401</v>
      </c>
      <c r="B269" s="2" t="s">
        <v>239</v>
      </c>
    </row>
    <row r="270" spans="1:2">
      <c r="A270" s="2" t="s">
        <v>6865</v>
      </c>
      <c r="B270" s="2" t="s">
        <v>239</v>
      </c>
    </row>
    <row r="271" spans="1:2">
      <c r="A271" s="2" t="s">
        <v>6869</v>
      </c>
      <c r="B271" s="2" t="s">
        <v>239</v>
      </c>
    </row>
    <row r="272" spans="1:2">
      <c r="A272" s="2" t="s">
        <v>6123</v>
      </c>
      <c r="B272" s="2" t="s">
        <v>239</v>
      </c>
    </row>
    <row r="273" spans="1:2">
      <c r="A273" s="2" t="s">
        <v>6124</v>
      </c>
      <c r="B273" s="2" t="s">
        <v>239</v>
      </c>
    </row>
    <row r="274" spans="1:2">
      <c r="A274" s="2" t="s">
        <v>6126</v>
      </c>
      <c r="B274" s="2" t="s">
        <v>239</v>
      </c>
    </row>
    <row r="275" spans="1:2">
      <c r="A275" s="2" t="s">
        <v>7220</v>
      </c>
      <c r="B275" s="2" t="s">
        <v>239</v>
      </c>
    </row>
    <row r="276" spans="1:2">
      <c r="A276" s="2" t="s">
        <v>4192</v>
      </c>
      <c r="B276" s="2" t="s">
        <v>239</v>
      </c>
    </row>
    <row r="277" spans="1:2">
      <c r="A277" s="2" t="s">
        <v>4194</v>
      </c>
      <c r="B277" s="2" t="s">
        <v>239</v>
      </c>
    </row>
    <row r="278" spans="1:2">
      <c r="A278" s="2" t="s">
        <v>4195</v>
      </c>
      <c r="B278" s="2" t="s">
        <v>239</v>
      </c>
    </row>
    <row r="279" spans="1:2">
      <c r="A279" s="2" t="s">
        <v>4196</v>
      </c>
      <c r="B279" s="2" t="s">
        <v>239</v>
      </c>
    </row>
    <row r="280" spans="1:2">
      <c r="A280" s="2" t="s">
        <v>5390</v>
      </c>
      <c r="B280" s="2" t="s">
        <v>239</v>
      </c>
    </row>
    <row r="281" spans="1:2">
      <c r="A281" s="2" t="s">
        <v>4405</v>
      </c>
      <c r="B281" s="2" t="s">
        <v>239</v>
      </c>
    </row>
    <row r="282" spans="1:2">
      <c r="A282" s="2" t="s">
        <v>4407</v>
      </c>
      <c r="B282" s="2" t="s">
        <v>239</v>
      </c>
    </row>
    <row r="283" spans="1:2">
      <c r="A283" s="2" t="s">
        <v>4408</v>
      </c>
      <c r="B283" s="2" t="s">
        <v>239</v>
      </c>
    </row>
    <row r="284" spans="1:2">
      <c r="A284" s="2" t="s">
        <v>663</v>
      </c>
      <c r="B284" s="2" t="s">
        <v>239</v>
      </c>
    </row>
    <row r="285" spans="1:2">
      <c r="A285" s="2" t="s">
        <v>4410</v>
      </c>
      <c r="B285" s="2" t="s">
        <v>239</v>
      </c>
    </row>
    <row r="286" spans="1:2">
      <c r="A286" s="2" t="s">
        <v>7402</v>
      </c>
      <c r="B286" s="2" t="s">
        <v>239</v>
      </c>
    </row>
    <row r="287" spans="1:2">
      <c r="A287" s="2" t="s">
        <v>5405</v>
      </c>
      <c r="B287" s="2" t="s">
        <v>239</v>
      </c>
    </row>
    <row r="288" spans="1:2">
      <c r="A288" s="2" t="s">
        <v>5407</v>
      </c>
      <c r="B288" s="2" t="s">
        <v>239</v>
      </c>
    </row>
    <row r="289" spans="1:2">
      <c r="A289" s="2" t="s">
        <v>4857</v>
      </c>
      <c r="B289" s="2" t="s">
        <v>239</v>
      </c>
    </row>
    <row r="290" spans="1:2">
      <c r="A290" s="2" t="s">
        <v>4859</v>
      </c>
      <c r="B290" s="2" t="s">
        <v>239</v>
      </c>
    </row>
    <row r="291" spans="1:2">
      <c r="A291" s="2" t="s">
        <v>7403</v>
      </c>
      <c r="B291" s="2" t="s">
        <v>7404</v>
      </c>
    </row>
    <row r="292" spans="1:2">
      <c r="A292" s="2" t="s">
        <v>7405</v>
      </c>
      <c r="B292" s="2" t="s">
        <v>7404</v>
      </c>
    </row>
    <row r="293" spans="1:2">
      <c r="A293" s="2" t="s">
        <v>7406</v>
      </c>
      <c r="B293" s="2" t="s">
        <v>7404</v>
      </c>
    </row>
    <row r="294" spans="1:2">
      <c r="A294" s="2" t="s">
        <v>7407</v>
      </c>
      <c r="B294" s="2" t="s">
        <v>7404</v>
      </c>
    </row>
    <row r="295" spans="1:2">
      <c r="A295" s="2" t="s">
        <v>7408</v>
      </c>
      <c r="B295" s="2" t="s">
        <v>7404</v>
      </c>
    </row>
    <row r="296" spans="1:2">
      <c r="A296" s="2" t="s">
        <v>7409</v>
      </c>
      <c r="B296" s="2" t="s">
        <v>7404</v>
      </c>
    </row>
    <row r="297" spans="1:2">
      <c r="A297" s="2" t="s">
        <v>7410</v>
      </c>
      <c r="B297" s="2" t="s">
        <v>7404</v>
      </c>
    </row>
    <row r="298" spans="1:2">
      <c r="A298" s="2" t="s">
        <v>7411</v>
      </c>
      <c r="B298" s="2" t="s">
        <v>7404</v>
      </c>
    </row>
    <row r="299" spans="1:2">
      <c r="A299" s="2" t="s">
        <v>7412</v>
      </c>
      <c r="B299" s="2" t="s">
        <v>7404</v>
      </c>
    </row>
    <row r="300" spans="1:2">
      <c r="A300" s="2" t="s">
        <v>7413</v>
      </c>
      <c r="B300" s="2" t="s">
        <v>7404</v>
      </c>
    </row>
    <row r="301" spans="1:2">
      <c r="A301" s="2" t="s">
        <v>7414</v>
      </c>
      <c r="B301" s="2" t="s">
        <v>7404</v>
      </c>
    </row>
    <row r="302" spans="1:2">
      <c r="A302" s="2" t="s">
        <v>7415</v>
      </c>
      <c r="B302" s="2" t="s">
        <v>7404</v>
      </c>
    </row>
    <row r="303" spans="1:2">
      <c r="A303" s="2" t="s">
        <v>7416</v>
      </c>
      <c r="B303" s="2" t="s">
        <v>7404</v>
      </c>
    </row>
    <row r="304" spans="1:2">
      <c r="A304" s="2" t="s">
        <v>7417</v>
      </c>
      <c r="B304" s="2" t="s">
        <v>7404</v>
      </c>
    </row>
    <row r="305" spans="1:2">
      <c r="A305" s="2" t="s">
        <v>7418</v>
      </c>
      <c r="B305" s="2" t="s">
        <v>7404</v>
      </c>
    </row>
    <row r="306" spans="1:2">
      <c r="A306" s="2" t="s">
        <v>7419</v>
      </c>
      <c r="B306" s="2" t="s">
        <v>7404</v>
      </c>
    </row>
    <row r="307" spans="1:2">
      <c r="A307" s="2" t="s">
        <v>7420</v>
      </c>
      <c r="B307" s="2" t="s">
        <v>7404</v>
      </c>
    </row>
    <row r="308" spans="1:2">
      <c r="A308" s="2" t="s">
        <v>7421</v>
      </c>
      <c r="B308" s="2" t="s">
        <v>7404</v>
      </c>
    </row>
    <row r="309" spans="1:2">
      <c r="A309" s="2" t="s">
        <v>7422</v>
      </c>
      <c r="B309" s="2" t="s">
        <v>7404</v>
      </c>
    </row>
    <row r="310" spans="1:2">
      <c r="A310" s="2" t="s">
        <v>7423</v>
      </c>
      <c r="B310" s="2" t="s">
        <v>7404</v>
      </c>
    </row>
    <row r="311" spans="1:2">
      <c r="A311" s="2" t="s">
        <v>7424</v>
      </c>
      <c r="B311" s="2" t="s">
        <v>7404</v>
      </c>
    </row>
    <row r="312" spans="1:2">
      <c r="A312" s="2" t="s">
        <v>7425</v>
      </c>
      <c r="B312" s="2" t="s">
        <v>7404</v>
      </c>
    </row>
    <row r="313" spans="1:2">
      <c r="A313" s="2" t="s">
        <v>7426</v>
      </c>
      <c r="B313" s="2" t="s">
        <v>7404</v>
      </c>
    </row>
    <row r="314" spans="1:2">
      <c r="A314" s="2" t="s">
        <v>7427</v>
      </c>
      <c r="B314" s="2" t="s">
        <v>7404</v>
      </c>
    </row>
    <row r="315" spans="1:2">
      <c r="A315" s="2" t="s">
        <v>7428</v>
      </c>
      <c r="B315" s="2" t="s">
        <v>7404</v>
      </c>
    </row>
    <row r="316" spans="1:2">
      <c r="A316" s="2" t="s">
        <v>7429</v>
      </c>
      <c r="B316" s="2" t="s">
        <v>7404</v>
      </c>
    </row>
    <row r="317" spans="1:2">
      <c r="A317" s="2" t="s">
        <v>7430</v>
      </c>
      <c r="B317" s="2" t="s">
        <v>7404</v>
      </c>
    </row>
    <row r="318" spans="1:2">
      <c r="A318" s="2" t="s">
        <v>7431</v>
      </c>
      <c r="B318" s="2" t="s">
        <v>7404</v>
      </c>
    </row>
    <row r="319" spans="1:2">
      <c r="A319" s="2" t="s">
        <v>7432</v>
      </c>
      <c r="B319" s="2" t="s">
        <v>7404</v>
      </c>
    </row>
    <row r="320" spans="1:2">
      <c r="A320" s="2" t="s">
        <v>7433</v>
      </c>
      <c r="B320" s="2" t="s">
        <v>7404</v>
      </c>
    </row>
    <row r="321" spans="1:2">
      <c r="A321" s="2" t="s">
        <v>7434</v>
      </c>
      <c r="B321" s="2" t="s">
        <v>7404</v>
      </c>
    </row>
    <row r="322" spans="1:2">
      <c r="A322" s="2" t="s">
        <v>7435</v>
      </c>
      <c r="B322" s="2" t="s">
        <v>7404</v>
      </c>
    </row>
    <row r="323" spans="1:2">
      <c r="A323" s="2" t="s">
        <v>7436</v>
      </c>
      <c r="B323" s="2" t="s">
        <v>7404</v>
      </c>
    </row>
    <row r="324" spans="1:2">
      <c r="A324" s="2" t="s">
        <v>7437</v>
      </c>
      <c r="B324" s="2" t="s">
        <v>7404</v>
      </c>
    </row>
    <row r="325" spans="1:2">
      <c r="A325" s="2" t="s">
        <v>7438</v>
      </c>
      <c r="B325" s="2" t="s">
        <v>7404</v>
      </c>
    </row>
    <row r="326" spans="1:2">
      <c r="A326" s="2" t="s">
        <v>7439</v>
      </c>
      <c r="B326" s="2" t="s">
        <v>7404</v>
      </c>
    </row>
    <row r="327" spans="1:2">
      <c r="A327" s="2" t="s">
        <v>4385</v>
      </c>
      <c r="B327" s="2" t="s">
        <v>7440</v>
      </c>
    </row>
    <row r="328" spans="1:2">
      <c r="A328" s="2" t="s">
        <v>4387</v>
      </c>
      <c r="B328" s="2" t="s">
        <v>7440</v>
      </c>
    </row>
    <row r="329" spans="1:2">
      <c r="A329" s="2" t="s">
        <v>4389</v>
      </c>
      <c r="B329" s="2" t="s">
        <v>7440</v>
      </c>
    </row>
    <row r="330" spans="1:2">
      <c r="A330" s="2" t="s">
        <v>7441</v>
      </c>
      <c r="B330" s="2" t="s">
        <v>7440</v>
      </c>
    </row>
    <row r="331" spans="1:2">
      <c r="A331" s="2" t="s">
        <v>5421</v>
      </c>
      <c r="B331" s="2" t="s">
        <v>7440</v>
      </c>
    </row>
    <row r="332" spans="1:2">
      <c r="A332" s="2" t="s">
        <v>4468</v>
      </c>
      <c r="B332" s="2" t="s">
        <v>7440</v>
      </c>
    </row>
    <row r="333" spans="1:2">
      <c r="A333" s="2" t="s">
        <v>5452</v>
      </c>
      <c r="B333" s="2" t="s">
        <v>7440</v>
      </c>
    </row>
    <row r="334" spans="1:2">
      <c r="A334" s="2" t="s">
        <v>5814</v>
      </c>
      <c r="B334" s="2" t="s">
        <v>7440</v>
      </c>
    </row>
    <row r="335" spans="1:2">
      <c r="A335" s="2" t="s">
        <v>4630</v>
      </c>
      <c r="B335" s="2" t="s">
        <v>7440</v>
      </c>
    </row>
    <row r="336" spans="1:2">
      <c r="A336" s="2" t="s">
        <v>4631</v>
      </c>
      <c r="B336" s="2" t="s">
        <v>7440</v>
      </c>
    </row>
    <row r="337" spans="1:2">
      <c r="A337" s="2" t="s">
        <v>5865</v>
      </c>
      <c r="B337" s="2" t="s">
        <v>7440</v>
      </c>
    </row>
    <row r="338" spans="1:2">
      <c r="A338" s="2" t="s">
        <v>5040</v>
      </c>
      <c r="B338" s="2" t="s">
        <v>7442</v>
      </c>
    </row>
    <row r="339" spans="1:2">
      <c r="A339" s="2" t="s">
        <v>5042</v>
      </c>
      <c r="B339" s="2" t="s">
        <v>7442</v>
      </c>
    </row>
    <row r="340" spans="1:2">
      <c r="A340" s="2" t="s">
        <v>5044</v>
      </c>
      <c r="B340" s="2" t="s">
        <v>7442</v>
      </c>
    </row>
    <row r="341" spans="1:2">
      <c r="A341" s="2" t="s">
        <v>4172</v>
      </c>
      <c r="B341" s="2" t="s">
        <v>7442</v>
      </c>
    </row>
    <row r="342" spans="1:2">
      <c r="A342" s="2" t="s">
        <v>5045</v>
      </c>
      <c r="B342" s="2" t="s">
        <v>7442</v>
      </c>
    </row>
    <row r="343" spans="1:2">
      <c r="A343" s="2" t="s">
        <v>5046</v>
      </c>
      <c r="B343" s="2" t="s">
        <v>7442</v>
      </c>
    </row>
    <row r="344" spans="1:2">
      <c r="A344" s="2" t="s">
        <v>5157</v>
      </c>
      <c r="B344" s="2" t="s">
        <v>7442</v>
      </c>
    </row>
    <row r="345" spans="1:2">
      <c r="A345" s="2" t="s">
        <v>5408</v>
      </c>
      <c r="B345" s="2" t="s">
        <v>7442</v>
      </c>
    </row>
    <row r="346" spans="1:2">
      <c r="A346" s="2" t="s">
        <v>4938</v>
      </c>
      <c r="B346" s="2" t="s">
        <v>7442</v>
      </c>
    </row>
    <row r="347" spans="1:2">
      <c r="A347" s="2" t="s">
        <v>4940</v>
      </c>
      <c r="B347" s="2" t="s">
        <v>7442</v>
      </c>
    </row>
    <row r="348" spans="1:2">
      <c r="A348" s="2" t="s">
        <v>6574</v>
      </c>
      <c r="B348" s="2" t="s">
        <v>6359</v>
      </c>
    </row>
    <row r="349" spans="1:2">
      <c r="A349" s="2" t="s">
        <v>6585</v>
      </c>
      <c r="B349" s="2" t="s">
        <v>7443</v>
      </c>
    </row>
    <row r="350" spans="1:2">
      <c r="A350" s="2" t="s">
        <v>6986</v>
      </c>
      <c r="B350" s="2" t="s">
        <v>2311</v>
      </c>
    </row>
    <row r="351" spans="1:2">
      <c r="A351" s="2" t="s">
        <v>7119</v>
      </c>
      <c r="B351" s="2" t="s">
        <v>2311</v>
      </c>
    </row>
    <row r="352" spans="1:2">
      <c r="A352" s="2" t="s">
        <v>7444</v>
      </c>
      <c r="B352" s="2" t="s">
        <v>7445</v>
      </c>
    </row>
    <row r="353" spans="1:2">
      <c r="A353" s="2" t="s">
        <v>7446</v>
      </c>
      <c r="B353" s="2" t="s">
        <v>7445</v>
      </c>
    </row>
    <row r="354" spans="1:2">
      <c r="A354" s="2" t="s">
        <v>7447</v>
      </c>
      <c r="B354" s="2" t="s">
        <v>7445</v>
      </c>
    </row>
    <row r="355" spans="1:2">
      <c r="A355" s="2" t="s">
        <v>7448</v>
      </c>
      <c r="B355" s="2" t="s">
        <v>7445</v>
      </c>
    </row>
    <row r="356" spans="1:2">
      <c r="A356" s="2" t="s">
        <v>7449</v>
      </c>
      <c r="B356" s="2" t="s">
        <v>7445</v>
      </c>
    </row>
    <row r="357" spans="1:2">
      <c r="A357" s="2" t="s">
        <v>7450</v>
      </c>
      <c r="B357" s="2" t="s">
        <v>7445</v>
      </c>
    </row>
    <row r="358" spans="1:2">
      <c r="A358" s="2" t="s">
        <v>7451</v>
      </c>
      <c r="B358" s="2" t="s">
        <v>7445</v>
      </c>
    </row>
    <row r="359" spans="1:2">
      <c r="A359" s="2" t="s">
        <v>7452</v>
      </c>
      <c r="B359" s="2" t="s">
        <v>7445</v>
      </c>
    </row>
    <row r="360" spans="1:2">
      <c r="A360" s="2" t="s">
        <v>7453</v>
      </c>
      <c r="B360" s="2" t="s">
        <v>7445</v>
      </c>
    </row>
    <row r="361" spans="1:2">
      <c r="A361" s="2" t="s">
        <v>7454</v>
      </c>
      <c r="B361" s="2" t="s">
        <v>7445</v>
      </c>
    </row>
    <row r="362" spans="1:2">
      <c r="A362" s="2" t="s">
        <v>7455</v>
      </c>
      <c r="B362" s="2" t="s">
        <v>7445</v>
      </c>
    </row>
    <row r="363" spans="1:2">
      <c r="A363" s="2" t="s">
        <v>7456</v>
      </c>
      <c r="B363" s="2" t="s">
        <v>7445</v>
      </c>
    </row>
    <row r="364" spans="1:2">
      <c r="A364" s="2" t="s">
        <v>7457</v>
      </c>
      <c r="B364" s="2" t="s">
        <v>7445</v>
      </c>
    </row>
    <row r="365" spans="1:2">
      <c r="A365" s="2" t="s">
        <v>7458</v>
      </c>
      <c r="B365" s="2" t="s">
        <v>7445</v>
      </c>
    </row>
    <row r="366" spans="1:2">
      <c r="A366" s="2" t="s">
        <v>7459</v>
      </c>
      <c r="B366" s="2" t="s">
        <v>7445</v>
      </c>
    </row>
    <row r="367" spans="1:2">
      <c r="A367" s="2" t="s">
        <v>7460</v>
      </c>
      <c r="B367" s="2" t="s">
        <v>7445</v>
      </c>
    </row>
    <row r="368" spans="1:2">
      <c r="A368" s="2" t="s">
        <v>7461</v>
      </c>
      <c r="B368" s="2" t="s">
        <v>7445</v>
      </c>
    </row>
    <row r="369" spans="1:2">
      <c r="A369" s="2" t="s">
        <v>7462</v>
      </c>
      <c r="B369" s="2" t="s">
        <v>7445</v>
      </c>
    </row>
    <row r="370" spans="1:2">
      <c r="A370" s="2" t="s">
        <v>7463</v>
      </c>
      <c r="B370" s="2" t="s">
        <v>7445</v>
      </c>
    </row>
    <row r="371" spans="1:2">
      <c r="A371" s="2" t="s">
        <v>7464</v>
      </c>
      <c r="B371" s="2" t="s">
        <v>7445</v>
      </c>
    </row>
    <row r="372" spans="1:2">
      <c r="A372" s="2" t="s">
        <v>7465</v>
      </c>
      <c r="B372" s="2" t="s">
        <v>7445</v>
      </c>
    </row>
    <row r="373" spans="1:2">
      <c r="A373" s="2" t="s">
        <v>7466</v>
      </c>
      <c r="B373" s="2" t="s">
        <v>7445</v>
      </c>
    </row>
    <row r="374" spans="1:2">
      <c r="A374" s="2" t="s">
        <v>7467</v>
      </c>
      <c r="B374" s="2" t="s">
        <v>7445</v>
      </c>
    </row>
    <row r="375" spans="1:2">
      <c r="A375" s="2" t="s">
        <v>7468</v>
      </c>
      <c r="B375" s="2" t="s">
        <v>7445</v>
      </c>
    </row>
    <row r="376" spans="1:2">
      <c r="A376" s="2" t="s">
        <v>7469</v>
      </c>
      <c r="B376" s="2" t="s">
        <v>7445</v>
      </c>
    </row>
    <row r="377" spans="1:2">
      <c r="A377" s="2" t="s">
        <v>7470</v>
      </c>
      <c r="B377" s="2" t="s">
        <v>7445</v>
      </c>
    </row>
    <row r="378" spans="1:2">
      <c r="A378" s="2" t="s">
        <v>7471</v>
      </c>
      <c r="B378" s="2" t="s">
        <v>7445</v>
      </c>
    </row>
    <row r="379" spans="1:2">
      <c r="A379" s="2" t="s">
        <v>7472</v>
      </c>
      <c r="B379" s="2" t="s">
        <v>7445</v>
      </c>
    </row>
    <row r="380" spans="1:2">
      <c r="A380" s="2" t="s">
        <v>7473</v>
      </c>
      <c r="B380" s="2" t="s">
        <v>7445</v>
      </c>
    </row>
    <row r="381" spans="1:2">
      <c r="A381" s="2" t="s">
        <v>7474</v>
      </c>
      <c r="B381" s="2" t="s">
        <v>7445</v>
      </c>
    </row>
    <row r="382" spans="1:2">
      <c r="A382" s="2" t="s">
        <v>7475</v>
      </c>
      <c r="B382" s="2" t="s">
        <v>7445</v>
      </c>
    </row>
    <row r="383" spans="1:2">
      <c r="A383" s="2" t="s">
        <v>7476</v>
      </c>
      <c r="B383" s="2" t="s">
        <v>7445</v>
      </c>
    </row>
    <row r="384" spans="1:2">
      <c r="A384" s="2" t="s">
        <v>7477</v>
      </c>
      <c r="B384" s="2" t="s">
        <v>7445</v>
      </c>
    </row>
    <row r="385" spans="1:2">
      <c r="A385" s="2" t="s">
        <v>7478</v>
      </c>
      <c r="B385" s="2" t="s">
        <v>7445</v>
      </c>
    </row>
    <row r="386" spans="1:2">
      <c r="A386" s="2" t="s">
        <v>7479</v>
      </c>
      <c r="B386" s="2" t="s">
        <v>7445</v>
      </c>
    </row>
    <row r="387" spans="1:2">
      <c r="A387" s="2" t="s">
        <v>7480</v>
      </c>
      <c r="B387" s="2" t="s">
        <v>7445</v>
      </c>
    </row>
    <row r="388" spans="1:2">
      <c r="A388" s="2" t="s">
        <v>7481</v>
      </c>
      <c r="B388" s="2" t="s">
        <v>7445</v>
      </c>
    </row>
    <row r="389" spans="1:2">
      <c r="A389" s="2" t="s">
        <v>7482</v>
      </c>
      <c r="B389" s="2" t="s">
        <v>7445</v>
      </c>
    </row>
    <row r="390" spans="1:2">
      <c r="A390" s="2" t="s">
        <v>7483</v>
      </c>
      <c r="B390" s="2" t="s">
        <v>7445</v>
      </c>
    </row>
    <row r="391" spans="1:2">
      <c r="A391" s="2" t="s">
        <v>7484</v>
      </c>
      <c r="B391" s="2" t="s">
        <v>7445</v>
      </c>
    </row>
    <row r="392" spans="1:2">
      <c r="A392" s="2" t="s">
        <v>7485</v>
      </c>
      <c r="B392" s="2" t="s">
        <v>7445</v>
      </c>
    </row>
    <row r="393" spans="1:2">
      <c r="A393" s="2" t="s">
        <v>7486</v>
      </c>
      <c r="B393" s="2" t="s">
        <v>7445</v>
      </c>
    </row>
    <row r="394" spans="1:2">
      <c r="A394" s="2" t="s">
        <v>7487</v>
      </c>
      <c r="B394" s="2" t="s">
        <v>7445</v>
      </c>
    </row>
    <row r="395" spans="1:2">
      <c r="A395" s="2" t="s">
        <v>7488</v>
      </c>
      <c r="B395" s="2" t="s">
        <v>7445</v>
      </c>
    </row>
    <row r="396" spans="1:2">
      <c r="A396" s="2" t="s">
        <v>7489</v>
      </c>
      <c r="B396" s="2" t="s">
        <v>7445</v>
      </c>
    </row>
    <row r="397" spans="1:2">
      <c r="A397" s="2" t="s">
        <v>7490</v>
      </c>
      <c r="B397" s="2" t="s">
        <v>7445</v>
      </c>
    </row>
    <row r="398" spans="1:2">
      <c r="A398" s="2" t="s">
        <v>7491</v>
      </c>
      <c r="B398" s="2" t="s">
        <v>7445</v>
      </c>
    </row>
    <row r="399" spans="1:2">
      <c r="A399" s="2" t="s">
        <v>7492</v>
      </c>
      <c r="B399" s="2" t="s">
        <v>7445</v>
      </c>
    </row>
    <row r="400" spans="1:2">
      <c r="A400" s="2" t="s">
        <v>7493</v>
      </c>
      <c r="B400" s="2" t="s">
        <v>7445</v>
      </c>
    </row>
    <row r="401" spans="1:2">
      <c r="A401" s="2" t="s">
        <v>7494</v>
      </c>
      <c r="B401" s="2" t="s">
        <v>7445</v>
      </c>
    </row>
    <row r="402" spans="1:2">
      <c r="A402" s="2" t="s">
        <v>7495</v>
      </c>
      <c r="B402" s="2" t="s">
        <v>7445</v>
      </c>
    </row>
    <row r="403" spans="1:2">
      <c r="A403" s="2" t="s">
        <v>7496</v>
      </c>
      <c r="B403" s="2" t="s">
        <v>7445</v>
      </c>
    </row>
    <row r="404" spans="1:2">
      <c r="A404" s="2" t="s">
        <v>7497</v>
      </c>
      <c r="B404" s="2" t="s">
        <v>7445</v>
      </c>
    </row>
    <row r="405" spans="1:2">
      <c r="A405" s="2" t="s">
        <v>7498</v>
      </c>
      <c r="B405" s="2" t="s">
        <v>7445</v>
      </c>
    </row>
    <row r="406" spans="1:2">
      <c r="A406" s="2" t="s">
        <v>7499</v>
      </c>
      <c r="B406" s="2" t="s">
        <v>7445</v>
      </c>
    </row>
    <row r="407" spans="1:2">
      <c r="A407" s="2" t="s">
        <v>5002</v>
      </c>
      <c r="B407" s="2" t="s">
        <v>6547</v>
      </c>
    </row>
    <row r="408" spans="1:2">
      <c r="A408" s="2" t="s">
        <v>5004</v>
      </c>
      <c r="B408" s="2" t="s">
        <v>6547</v>
      </c>
    </row>
    <row r="409" spans="1:2">
      <c r="A409" s="2" t="s">
        <v>5005</v>
      </c>
      <c r="B409" s="2" t="s">
        <v>6547</v>
      </c>
    </row>
    <row r="410" spans="1:2">
      <c r="A410" s="2" t="s">
        <v>5007</v>
      </c>
      <c r="B410" s="2" t="s">
        <v>6547</v>
      </c>
    </row>
    <row r="411" spans="1:2">
      <c r="A411" s="2" t="s">
        <v>5008</v>
      </c>
      <c r="B411" s="2" t="s">
        <v>6547</v>
      </c>
    </row>
    <row r="412" spans="1:2">
      <c r="A412" s="2" t="s">
        <v>5010</v>
      </c>
      <c r="B412" s="2" t="s">
        <v>6547</v>
      </c>
    </row>
    <row r="413" spans="1:2">
      <c r="A413" s="2" t="s">
        <v>5011</v>
      </c>
      <c r="B413" s="2" t="s">
        <v>6547</v>
      </c>
    </row>
    <row r="414" spans="1:2">
      <c r="A414" s="2" t="s">
        <v>5012</v>
      </c>
      <c r="B414" s="2" t="s">
        <v>6547</v>
      </c>
    </row>
    <row r="415" spans="1:2">
      <c r="A415" s="2" t="s">
        <v>5014</v>
      </c>
      <c r="B415" s="2" t="s">
        <v>6547</v>
      </c>
    </row>
    <row r="416" spans="1:2">
      <c r="A416" s="2" t="s">
        <v>5019</v>
      </c>
      <c r="B416" s="2" t="s">
        <v>6547</v>
      </c>
    </row>
    <row r="417" spans="1:2">
      <c r="A417" s="2" t="s">
        <v>5021</v>
      </c>
      <c r="B417" s="2" t="s">
        <v>6547</v>
      </c>
    </row>
    <row r="418" spans="1:2">
      <c r="A418" s="2" t="s">
        <v>5022</v>
      </c>
      <c r="B418" s="2" t="s">
        <v>6547</v>
      </c>
    </row>
    <row r="419" spans="1:2">
      <c r="A419" s="2" t="s">
        <v>5023</v>
      </c>
      <c r="B419" s="2" t="s">
        <v>6547</v>
      </c>
    </row>
    <row r="420" spans="1:2">
      <c r="A420" s="2" t="s">
        <v>5024</v>
      </c>
      <c r="B420" s="2" t="s">
        <v>6547</v>
      </c>
    </row>
    <row r="421" spans="1:2">
      <c r="A421" s="2" t="s">
        <v>5025</v>
      </c>
      <c r="B421" s="2" t="s">
        <v>6547</v>
      </c>
    </row>
    <row r="422" spans="1:2">
      <c r="A422" s="2" t="s">
        <v>5026</v>
      </c>
      <c r="B422" s="2" t="s">
        <v>6547</v>
      </c>
    </row>
    <row r="423" spans="1:2">
      <c r="A423" s="2" t="s">
        <v>5027</v>
      </c>
      <c r="B423" s="2" t="s">
        <v>6547</v>
      </c>
    </row>
    <row r="424" spans="1:2">
      <c r="A424" s="2" t="s">
        <v>5028</v>
      </c>
      <c r="B424" s="2" t="s">
        <v>6547</v>
      </c>
    </row>
    <row r="425" spans="1:2">
      <c r="A425" s="2" t="s">
        <v>5029</v>
      </c>
      <c r="B425" s="2" t="s">
        <v>6547</v>
      </c>
    </row>
    <row r="426" spans="1:2">
      <c r="A426" s="2" t="s">
        <v>5030</v>
      </c>
      <c r="B426" s="2" t="s">
        <v>6547</v>
      </c>
    </row>
    <row r="427" spans="1:2">
      <c r="A427" s="2" t="s">
        <v>5031</v>
      </c>
      <c r="B427" s="2" t="s">
        <v>6547</v>
      </c>
    </row>
    <row r="428" spans="1:2">
      <c r="A428" s="2" t="s">
        <v>5032</v>
      </c>
      <c r="B428" s="2" t="s">
        <v>6547</v>
      </c>
    </row>
    <row r="429" spans="1:2">
      <c r="A429" s="2" t="s">
        <v>5033</v>
      </c>
      <c r="B429" s="2" t="s">
        <v>6547</v>
      </c>
    </row>
    <row r="430" spans="1:2">
      <c r="A430" s="2" t="s">
        <v>5034</v>
      </c>
      <c r="B430" s="2" t="s">
        <v>6547</v>
      </c>
    </row>
    <row r="431" spans="1:2">
      <c r="A431" s="2" t="s">
        <v>5035</v>
      </c>
      <c r="B431" s="2" t="s">
        <v>6547</v>
      </c>
    </row>
    <row r="432" spans="1:2">
      <c r="A432" s="2" t="s">
        <v>5036</v>
      </c>
      <c r="B432" s="2" t="s">
        <v>6547</v>
      </c>
    </row>
    <row r="433" spans="1:2">
      <c r="A433" s="2" t="s">
        <v>86</v>
      </c>
      <c r="B433" s="2" t="s">
        <v>6547</v>
      </c>
    </row>
    <row r="434" spans="1:2">
      <c r="A434" s="2" t="s">
        <v>5090</v>
      </c>
      <c r="B434" s="2" t="s">
        <v>6547</v>
      </c>
    </row>
    <row r="435" spans="1:2">
      <c r="A435" s="2" t="s">
        <v>5114</v>
      </c>
      <c r="B435" s="2" t="s">
        <v>6547</v>
      </c>
    </row>
    <row r="436" spans="1:2">
      <c r="A436" s="2" t="s">
        <v>4259</v>
      </c>
      <c r="B436" s="2" t="s">
        <v>6547</v>
      </c>
    </row>
    <row r="437" spans="1:2">
      <c r="A437" s="2" t="s">
        <v>4261</v>
      </c>
      <c r="B437" s="2" t="s">
        <v>6547</v>
      </c>
    </row>
    <row r="438" spans="1:2">
      <c r="A438" s="2" t="s">
        <v>5331</v>
      </c>
      <c r="B438" s="2" t="s">
        <v>6547</v>
      </c>
    </row>
    <row r="439" spans="1:2">
      <c r="A439" s="2" t="s">
        <v>5333</v>
      </c>
      <c r="B439" s="2" t="s">
        <v>6547</v>
      </c>
    </row>
    <row r="440" spans="1:2">
      <c r="A440" s="2" t="s">
        <v>5483</v>
      </c>
      <c r="B440" s="2" t="s">
        <v>6547</v>
      </c>
    </row>
    <row r="441" spans="1:2">
      <c r="A441" s="2" t="s">
        <v>5484</v>
      </c>
      <c r="B441" s="2" t="s">
        <v>6547</v>
      </c>
    </row>
    <row r="442" spans="1:2">
      <c r="A442" s="2" t="s">
        <v>5485</v>
      </c>
      <c r="B442" s="2" t="s">
        <v>6547</v>
      </c>
    </row>
    <row r="443" spans="1:2">
      <c r="A443" s="2" t="s">
        <v>5486</v>
      </c>
      <c r="B443" s="2" t="s">
        <v>6547</v>
      </c>
    </row>
    <row r="444" spans="1:2">
      <c r="A444" s="2" t="s">
        <v>5487</v>
      </c>
      <c r="B444" s="2" t="s">
        <v>6547</v>
      </c>
    </row>
    <row r="445" spans="1:2">
      <c r="A445" s="2" t="s">
        <v>5488</v>
      </c>
      <c r="B445" s="2" t="s">
        <v>6547</v>
      </c>
    </row>
    <row r="446" spans="1:2">
      <c r="A446" s="2" t="s">
        <v>5489</v>
      </c>
      <c r="B446" s="2" t="s">
        <v>6547</v>
      </c>
    </row>
    <row r="447" spans="1:2">
      <c r="A447" s="2" t="s">
        <v>5490</v>
      </c>
      <c r="B447" s="2" t="s">
        <v>6547</v>
      </c>
    </row>
    <row r="448" spans="1:2">
      <c r="A448" s="2" t="s">
        <v>5491</v>
      </c>
      <c r="B448" s="2" t="s">
        <v>6547</v>
      </c>
    </row>
    <row r="449" spans="1:2">
      <c r="A449" s="2" t="s">
        <v>5492</v>
      </c>
      <c r="B449" s="2" t="s">
        <v>6547</v>
      </c>
    </row>
    <row r="450" spans="1:2">
      <c r="A450" s="2" t="s">
        <v>5493</v>
      </c>
      <c r="B450" s="2" t="s">
        <v>6547</v>
      </c>
    </row>
    <row r="451" spans="1:2">
      <c r="A451" s="2" t="s">
        <v>5494</v>
      </c>
      <c r="B451" s="2" t="s">
        <v>6547</v>
      </c>
    </row>
    <row r="452" spans="1:2">
      <c r="A452" s="2" t="s">
        <v>5495</v>
      </c>
      <c r="B452" s="2" t="s">
        <v>6547</v>
      </c>
    </row>
    <row r="453" spans="1:2">
      <c r="A453" s="2" t="s">
        <v>5496</v>
      </c>
      <c r="B453" s="2" t="s">
        <v>6547</v>
      </c>
    </row>
    <row r="454" spans="1:2">
      <c r="A454" s="2" t="s">
        <v>5497</v>
      </c>
      <c r="B454" s="2" t="s">
        <v>6547</v>
      </c>
    </row>
    <row r="455" spans="1:2">
      <c r="A455" s="2" t="s">
        <v>5498</v>
      </c>
      <c r="B455" s="2" t="s">
        <v>6547</v>
      </c>
    </row>
    <row r="456" spans="1:2">
      <c r="A456" s="2" t="s">
        <v>5499</v>
      </c>
      <c r="B456" s="2" t="s">
        <v>6547</v>
      </c>
    </row>
    <row r="457" spans="1:2">
      <c r="A457" s="2" t="s">
        <v>5528</v>
      </c>
      <c r="B457" s="2" t="s">
        <v>6547</v>
      </c>
    </row>
    <row r="458" spans="1:2">
      <c r="A458" s="2" t="s">
        <v>5529</v>
      </c>
      <c r="B458" s="2" t="s">
        <v>6547</v>
      </c>
    </row>
    <row r="459" spans="1:2">
      <c r="A459" s="2" t="s">
        <v>5530</v>
      </c>
      <c r="B459" s="2" t="s">
        <v>6547</v>
      </c>
    </row>
    <row r="460" spans="1:2">
      <c r="A460" s="2" t="s">
        <v>5532</v>
      </c>
      <c r="B460" s="2" t="s">
        <v>6547</v>
      </c>
    </row>
    <row r="461" spans="1:2">
      <c r="A461" s="2" t="s">
        <v>5533</v>
      </c>
      <c r="B461" s="2" t="s">
        <v>6547</v>
      </c>
    </row>
    <row r="462" spans="1:2">
      <c r="A462" s="2" t="s">
        <v>5534</v>
      </c>
      <c r="B462" s="2" t="s">
        <v>6547</v>
      </c>
    </row>
    <row r="463" spans="1:2">
      <c r="A463" s="2" t="s">
        <v>7500</v>
      </c>
      <c r="B463" s="2" t="s">
        <v>6547</v>
      </c>
    </row>
    <row r="464" spans="1:2">
      <c r="A464" s="2" t="s">
        <v>5535</v>
      </c>
      <c r="B464" s="2" t="s">
        <v>6547</v>
      </c>
    </row>
    <row r="465" spans="1:2">
      <c r="A465" s="2" t="s">
        <v>5536</v>
      </c>
      <c r="B465" s="2" t="s">
        <v>6547</v>
      </c>
    </row>
    <row r="466" spans="1:2">
      <c r="A466" s="2" t="s">
        <v>6542</v>
      </c>
      <c r="B466" s="2" t="s">
        <v>6547</v>
      </c>
    </row>
    <row r="467" spans="1:2">
      <c r="A467" s="2" t="s">
        <v>6548</v>
      </c>
      <c r="B467" s="2" t="s">
        <v>6547</v>
      </c>
    </row>
    <row r="468" spans="1:2">
      <c r="A468" s="2" t="s">
        <v>6797</v>
      </c>
      <c r="B468" s="2" t="s">
        <v>6547</v>
      </c>
    </row>
    <row r="469" spans="1:2">
      <c r="A469" s="2" t="s">
        <v>4619</v>
      </c>
      <c r="B469" s="2" t="s">
        <v>6547</v>
      </c>
    </row>
    <row r="470" spans="1:2">
      <c r="A470" s="2" t="s">
        <v>6801</v>
      </c>
      <c r="B470" s="2" t="s">
        <v>6547</v>
      </c>
    </row>
    <row r="471" spans="1:2">
      <c r="A471" s="2" t="s">
        <v>6804</v>
      </c>
      <c r="B471" s="2" t="s">
        <v>6547</v>
      </c>
    </row>
    <row r="472" spans="1:2">
      <c r="A472" s="2" t="s">
        <v>6807</v>
      </c>
      <c r="B472" s="2" t="s">
        <v>6547</v>
      </c>
    </row>
    <row r="473" spans="1:2">
      <c r="A473" s="2" t="s">
        <v>2668</v>
      </c>
      <c r="B473" s="2" t="s">
        <v>6547</v>
      </c>
    </row>
    <row r="474" spans="1:2">
      <c r="A474" s="2" t="s">
        <v>4649</v>
      </c>
      <c r="B474" s="2" t="s">
        <v>6547</v>
      </c>
    </row>
    <row r="475" spans="1:2">
      <c r="A475" s="2" t="s">
        <v>6717</v>
      </c>
      <c r="B475" s="2" t="s">
        <v>6720</v>
      </c>
    </row>
    <row r="476" spans="1:2">
      <c r="A476" s="2" t="s">
        <v>5074</v>
      </c>
      <c r="B476" s="2" t="s">
        <v>7501</v>
      </c>
    </row>
    <row r="477" spans="1:2">
      <c r="A477" s="2" t="s">
        <v>5076</v>
      </c>
      <c r="B477" s="2" t="s">
        <v>7501</v>
      </c>
    </row>
    <row r="478" spans="1:2">
      <c r="A478" s="2" t="s">
        <v>5078</v>
      </c>
      <c r="B478" s="2" t="s">
        <v>7501</v>
      </c>
    </row>
    <row r="479" spans="1:2">
      <c r="A479" s="2" t="s">
        <v>5080</v>
      </c>
      <c r="B479" s="2" t="s">
        <v>7501</v>
      </c>
    </row>
    <row r="480" spans="1:2">
      <c r="A480" s="2" t="s">
        <v>5082</v>
      </c>
      <c r="B480" s="2" t="s">
        <v>7501</v>
      </c>
    </row>
    <row r="481" spans="1:2">
      <c r="A481" s="2" t="s">
        <v>5085</v>
      </c>
      <c r="B481" s="2" t="s">
        <v>7501</v>
      </c>
    </row>
    <row r="482" spans="1:2">
      <c r="A482" s="2" t="s">
        <v>5106</v>
      </c>
      <c r="B482" s="2" t="s">
        <v>7501</v>
      </c>
    </row>
    <row r="483" spans="1:2">
      <c r="A483" s="2" t="s">
        <v>5108</v>
      </c>
      <c r="B483" s="2" t="s">
        <v>7501</v>
      </c>
    </row>
    <row r="484" spans="1:2">
      <c r="A484" s="2" t="s">
        <v>5110</v>
      </c>
      <c r="B484" s="2" t="s">
        <v>7501</v>
      </c>
    </row>
    <row r="485" spans="1:2">
      <c r="A485" s="2" t="s">
        <v>5111</v>
      </c>
      <c r="B485" s="2" t="s">
        <v>7501</v>
      </c>
    </row>
    <row r="486" spans="1:2">
      <c r="A486" s="2" t="s">
        <v>5112</v>
      </c>
      <c r="B486" s="2" t="s">
        <v>7501</v>
      </c>
    </row>
    <row r="487" spans="1:2">
      <c r="A487" s="2" t="s">
        <v>5113</v>
      </c>
      <c r="B487" s="2" t="s">
        <v>7501</v>
      </c>
    </row>
    <row r="488" spans="1:2">
      <c r="A488" s="2" t="s">
        <v>5508</v>
      </c>
      <c r="B488" s="2" t="s">
        <v>7501</v>
      </c>
    </row>
    <row r="489" spans="1:2">
      <c r="A489" s="2" t="s">
        <v>5510</v>
      </c>
      <c r="B489" s="2" t="s">
        <v>7501</v>
      </c>
    </row>
    <row r="490" spans="1:2">
      <c r="A490" s="2" t="s">
        <v>5512</v>
      </c>
      <c r="B490" s="2" t="s">
        <v>7501</v>
      </c>
    </row>
    <row r="491" spans="1:2">
      <c r="A491" s="2" t="s">
        <v>5514</v>
      </c>
      <c r="B491" s="2" t="s">
        <v>7501</v>
      </c>
    </row>
    <row r="492" spans="1:2">
      <c r="A492" s="2" t="s">
        <v>5516</v>
      </c>
      <c r="B492" s="2" t="s">
        <v>7501</v>
      </c>
    </row>
    <row r="493" spans="1:2">
      <c r="A493" s="2" t="s">
        <v>5518</v>
      </c>
      <c r="B493" s="2" t="s">
        <v>7501</v>
      </c>
    </row>
    <row r="494" spans="1:2">
      <c r="A494" s="2" t="s">
        <v>5681</v>
      </c>
      <c r="B494" s="2" t="s">
        <v>7501</v>
      </c>
    </row>
    <row r="495" spans="1:2">
      <c r="A495" s="2" t="s">
        <v>5683</v>
      </c>
      <c r="B495" s="2" t="s">
        <v>7501</v>
      </c>
    </row>
    <row r="496" spans="1:2">
      <c r="A496" s="2" t="s">
        <v>5685</v>
      </c>
      <c r="B496" s="2" t="s">
        <v>7501</v>
      </c>
    </row>
    <row r="497" spans="1:2">
      <c r="A497" s="2" t="s">
        <v>5687</v>
      </c>
      <c r="B497" s="2" t="s">
        <v>7501</v>
      </c>
    </row>
    <row r="498" spans="1:2">
      <c r="A498" s="2" t="s">
        <v>5689</v>
      </c>
      <c r="B498" s="2" t="s">
        <v>7501</v>
      </c>
    </row>
    <row r="499" spans="1:2">
      <c r="A499" s="2" t="s">
        <v>5691</v>
      </c>
      <c r="B499" s="2" t="s">
        <v>7501</v>
      </c>
    </row>
    <row r="500" spans="1:2">
      <c r="A500" s="2" t="s">
        <v>7502</v>
      </c>
      <c r="B500" t="s">
        <v>6547</v>
      </c>
    </row>
    <row r="501" spans="1:2">
      <c r="A501" s="2" t="s">
        <v>5052</v>
      </c>
      <c r="B501" t="s">
        <v>6547</v>
      </c>
    </row>
    <row r="502" spans="1:2">
      <c r="A502" s="2" t="s">
        <v>5054</v>
      </c>
      <c r="B502" t="s">
        <v>6547</v>
      </c>
    </row>
    <row r="503" spans="1:2">
      <c r="A503" s="2" t="s">
        <v>7503</v>
      </c>
      <c r="B503" t="s">
        <v>6547</v>
      </c>
    </row>
    <row r="504" spans="1:2">
      <c r="A504" s="2" t="s">
        <v>7504</v>
      </c>
      <c r="B504" t="s">
        <v>6547</v>
      </c>
    </row>
    <row r="505" spans="1:2">
      <c r="A505" s="2" t="s">
        <v>5055</v>
      </c>
      <c r="B505" t="s">
        <v>6547</v>
      </c>
    </row>
    <row r="506" spans="1:2">
      <c r="A506" s="2" t="s">
        <v>5072</v>
      </c>
      <c r="B506" t="s">
        <v>6720</v>
      </c>
    </row>
    <row r="507" spans="1:2">
      <c r="A507" s="2" t="s">
        <v>4197</v>
      </c>
      <c r="B507" t="s">
        <v>6720</v>
      </c>
    </row>
    <row r="508" spans="1:2">
      <c r="A508" s="2" t="s">
        <v>5075</v>
      </c>
      <c r="B508" t="s">
        <v>6720</v>
      </c>
    </row>
    <row r="509" spans="1:2">
      <c r="A509" s="2" t="s">
        <v>5077</v>
      </c>
      <c r="B509" t="s">
        <v>6720</v>
      </c>
    </row>
    <row r="510" spans="1:2">
      <c r="A510" s="2" t="s">
        <v>5079</v>
      </c>
      <c r="B510" t="s">
        <v>6720</v>
      </c>
    </row>
    <row r="511" spans="1:2">
      <c r="A511" s="2" t="s">
        <v>5081</v>
      </c>
      <c r="B511" t="s">
        <v>6720</v>
      </c>
    </row>
    <row r="512" spans="1:2">
      <c r="A512" s="2" t="s">
        <v>5083</v>
      </c>
      <c r="B512" t="s">
        <v>6720</v>
      </c>
    </row>
    <row r="513" spans="1:2">
      <c r="A513" s="2" t="s">
        <v>4208</v>
      </c>
      <c r="B513" t="s">
        <v>7501</v>
      </c>
    </row>
    <row r="514" spans="1:2">
      <c r="A514" s="2" t="s">
        <v>4210</v>
      </c>
      <c r="B514" t="s">
        <v>7501</v>
      </c>
    </row>
    <row r="515" spans="1:2">
      <c r="A515" s="2" t="s">
        <v>4211</v>
      </c>
      <c r="B515" t="s">
        <v>7501</v>
      </c>
    </row>
    <row r="516" spans="1:2">
      <c r="A516" s="2" t="s">
        <v>4212</v>
      </c>
      <c r="B516" t="s">
        <v>7501</v>
      </c>
    </row>
    <row r="517" spans="1:2">
      <c r="A517" s="2" t="s">
        <v>4213</v>
      </c>
      <c r="B517" t="s">
        <v>7501</v>
      </c>
    </row>
    <row r="518" spans="1:2">
      <c r="A518" s="2" t="s">
        <v>4214</v>
      </c>
      <c r="B518" t="s">
        <v>7501</v>
      </c>
    </row>
    <row r="519" spans="1:2">
      <c r="A519" s="2" t="s">
        <v>4215</v>
      </c>
      <c r="B519" t="s">
        <v>7501</v>
      </c>
    </row>
    <row r="520" spans="1:2">
      <c r="A520" s="2" t="s">
        <v>4364</v>
      </c>
      <c r="B520" t="s">
        <v>6720</v>
      </c>
    </row>
    <row r="521" spans="1:2">
      <c r="A521" s="2" t="s">
        <v>5410</v>
      </c>
      <c r="B521" t="s">
        <v>7371</v>
      </c>
    </row>
    <row r="522" spans="1:2">
      <c r="A522" s="2" t="s">
        <v>5504</v>
      </c>
      <c r="B522" t="s">
        <v>6720</v>
      </c>
    </row>
    <row r="523" spans="1:2">
      <c r="A523" s="2" t="s">
        <v>5506</v>
      </c>
      <c r="B523" t="s">
        <v>6720</v>
      </c>
    </row>
    <row r="524" spans="1:2">
      <c r="A524" s="2" t="s">
        <v>5509</v>
      </c>
      <c r="B524" t="s">
        <v>6720</v>
      </c>
    </row>
    <row r="525" spans="1:2">
      <c r="A525" s="2" t="s">
        <v>5511</v>
      </c>
      <c r="B525" t="s">
        <v>6720</v>
      </c>
    </row>
    <row r="526" spans="1:2">
      <c r="A526" s="2" t="s">
        <v>5513</v>
      </c>
      <c r="B526" t="s">
        <v>6720</v>
      </c>
    </row>
    <row r="527" spans="1:2">
      <c r="A527" s="2" t="s">
        <v>5515</v>
      </c>
      <c r="B527" t="s">
        <v>6720</v>
      </c>
    </row>
    <row r="528" spans="1:2">
      <c r="A528" s="2" t="s">
        <v>5517</v>
      </c>
      <c r="B528" t="s">
        <v>6720</v>
      </c>
    </row>
    <row r="529" spans="1:2">
      <c r="A529" s="2" t="s">
        <v>4493</v>
      </c>
      <c r="B529" t="s">
        <v>6720</v>
      </c>
    </row>
    <row r="530" spans="1:2">
      <c r="A530" s="2" t="s">
        <v>6533</v>
      </c>
      <c r="B530" t="s">
        <v>6720</v>
      </c>
    </row>
    <row r="531" spans="1:2">
      <c r="A531" s="2" t="s">
        <v>4497</v>
      </c>
      <c r="B531" t="s">
        <v>6720</v>
      </c>
    </row>
    <row r="532" spans="1:2">
      <c r="A532" s="2" t="s">
        <v>4499</v>
      </c>
      <c r="B532" t="s">
        <v>6720</v>
      </c>
    </row>
    <row r="533" spans="1:2">
      <c r="A533" s="2" t="s">
        <v>4500</v>
      </c>
      <c r="B533" t="s">
        <v>6720</v>
      </c>
    </row>
    <row r="534" spans="1:2">
      <c r="A534" s="2" t="s">
        <v>4501</v>
      </c>
      <c r="B534" t="s">
        <v>6720</v>
      </c>
    </row>
    <row r="535" spans="1:2">
      <c r="A535" s="2" t="s">
        <v>4502</v>
      </c>
      <c r="B535" t="s">
        <v>6720</v>
      </c>
    </row>
    <row r="536" spans="1:2">
      <c r="A536" s="2" t="s">
        <v>1647</v>
      </c>
      <c r="B536" s="2" t="s">
        <v>6720</v>
      </c>
    </row>
    <row r="537" spans="1:2">
      <c r="A537" s="2" t="s">
        <v>5679</v>
      </c>
      <c r="B537" s="2" t="s">
        <v>6720</v>
      </c>
    </row>
    <row r="538" spans="1:2">
      <c r="A538" s="2" t="s">
        <v>5682</v>
      </c>
      <c r="B538" s="2" t="s">
        <v>6720</v>
      </c>
    </row>
    <row r="539" spans="1:2">
      <c r="A539" s="2" t="s">
        <v>5684</v>
      </c>
      <c r="B539" s="2" t="s">
        <v>6720</v>
      </c>
    </row>
    <row r="540" spans="1:2">
      <c r="A540" s="2" t="s">
        <v>5686</v>
      </c>
      <c r="B540" s="2" t="s">
        <v>6720</v>
      </c>
    </row>
    <row r="541" spans="1:2">
      <c r="A541" s="2" t="s">
        <v>5688</v>
      </c>
      <c r="B541" s="2" t="s">
        <v>6720</v>
      </c>
    </row>
    <row r="542" spans="1:2">
      <c r="A542" s="2" t="s">
        <v>5690</v>
      </c>
      <c r="B542" s="2" t="s">
        <v>6720</v>
      </c>
    </row>
    <row r="543" spans="1:2">
      <c r="A543" s="2" t="s">
        <v>4634</v>
      </c>
      <c r="B543" t="s">
        <v>7371</v>
      </c>
    </row>
    <row r="544" spans="1:2">
      <c r="A544" s="2" t="s">
        <v>4636</v>
      </c>
      <c r="B544" t="s">
        <v>7371</v>
      </c>
    </row>
    <row r="545" spans="1:2">
      <c r="A545" s="2" t="s">
        <v>4637</v>
      </c>
      <c r="B545" t="s">
        <v>7371</v>
      </c>
    </row>
    <row r="546" spans="1:2">
      <c r="A546" s="2" t="s">
        <v>4723</v>
      </c>
      <c r="B546" t="s">
        <v>7371</v>
      </c>
    </row>
    <row r="547" spans="1:2">
      <c r="A547" s="2" t="s">
        <v>4993</v>
      </c>
      <c r="B547" s="2" t="s">
        <v>830</v>
      </c>
    </row>
    <row r="548" spans="1:2">
      <c r="A548" s="2" t="s">
        <v>4994</v>
      </c>
      <c r="B548" s="2" t="s">
        <v>830</v>
      </c>
    </row>
    <row r="549" spans="1:2">
      <c r="A549" s="2" t="s">
        <v>5136</v>
      </c>
      <c r="B549" s="2" t="s">
        <v>830</v>
      </c>
    </row>
    <row r="550" spans="1:2">
      <c r="A550" s="2" t="s">
        <v>5139</v>
      </c>
      <c r="B550" s="2" t="s">
        <v>830</v>
      </c>
    </row>
    <row r="551" spans="1:2">
      <c r="A551" s="2" t="s">
        <v>4294</v>
      </c>
      <c r="B551" s="2" t="s">
        <v>830</v>
      </c>
    </row>
    <row r="552" spans="1:2">
      <c r="A552" s="2" t="s">
        <v>5434</v>
      </c>
      <c r="B552" s="2" t="s">
        <v>830</v>
      </c>
    </row>
    <row r="553" spans="1:2">
      <c r="A553" s="2" t="s">
        <v>831</v>
      </c>
      <c r="B553" s="2" t="s">
        <v>830</v>
      </c>
    </row>
    <row r="554" spans="1:2">
      <c r="A554" s="2" t="s">
        <v>834</v>
      </c>
      <c r="B554" s="2" t="s">
        <v>830</v>
      </c>
    </row>
    <row r="555" spans="1:2">
      <c r="A555" s="2" t="s">
        <v>7505</v>
      </c>
      <c r="B555" s="2" t="s">
        <v>830</v>
      </c>
    </row>
    <row r="556" spans="1:2">
      <c r="A556" s="2" t="s">
        <v>7506</v>
      </c>
      <c r="B556" s="2" t="s">
        <v>830</v>
      </c>
    </row>
    <row r="557" spans="1:2">
      <c r="A557" s="2" t="s">
        <v>894</v>
      </c>
      <c r="B557" s="2" t="s">
        <v>830</v>
      </c>
    </row>
    <row r="558" spans="1:2">
      <c r="A558" s="2" t="s">
        <v>899</v>
      </c>
      <c r="B558" s="2" t="s">
        <v>830</v>
      </c>
    </row>
    <row r="559" spans="1:2">
      <c r="A559" s="2" t="s">
        <v>5553</v>
      </c>
      <c r="B559" s="2" t="s">
        <v>830</v>
      </c>
    </row>
    <row r="560" spans="1:2">
      <c r="A560" s="2" t="s">
        <v>1618</v>
      </c>
      <c r="B560" s="2" t="s">
        <v>830</v>
      </c>
    </row>
    <row r="561" spans="1:2">
      <c r="A561" s="2" t="s">
        <v>2482</v>
      </c>
      <c r="B561" s="2" t="s">
        <v>830</v>
      </c>
    </row>
    <row r="562" spans="1:2">
      <c r="A562" s="2" t="s">
        <v>6171</v>
      </c>
      <c r="B562" s="2" t="s">
        <v>830</v>
      </c>
    </row>
    <row r="563" spans="1:2">
      <c r="A563" s="2" t="s">
        <v>3874</v>
      </c>
      <c r="B563" s="2" t="s">
        <v>830</v>
      </c>
    </row>
    <row r="564" spans="1:2">
      <c r="A564" s="2" t="s">
        <v>6173</v>
      </c>
      <c r="B564" s="2" t="s">
        <v>830</v>
      </c>
    </row>
    <row r="565" spans="1:2">
      <c r="A565" s="2" t="s">
        <v>6174</v>
      </c>
      <c r="B565" s="2" t="s">
        <v>830</v>
      </c>
    </row>
    <row r="566" spans="1:2">
      <c r="A566" s="2" t="s">
        <v>6175</v>
      </c>
      <c r="B566" s="2" t="s">
        <v>830</v>
      </c>
    </row>
    <row r="567" spans="1:2">
      <c r="A567" s="2" t="s">
        <v>5154</v>
      </c>
      <c r="B567" s="2" t="s">
        <v>1272</v>
      </c>
    </row>
    <row r="568" spans="1:2">
      <c r="A568" s="2" t="s">
        <v>5159</v>
      </c>
      <c r="B568" s="2" t="s">
        <v>1272</v>
      </c>
    </row>
    <row r="569" spans="1:2">
      <c r="A569" s="2" t="s">
        <v>5191</v>
      </c>
      <c r="B569" s="2" t="s">
        <v>1272</v>
      </c>
    </row>
    <row r="570" spans="1:2">
      <c r="A570" s="2" t="s">
        <v>5193</v>
      </c>
      <c r="B570" s="2" t="s">
        <v>1272</v>
      </c>
    </row>
    <row r="571" spans="1:2">
      <c r="A571" s="2" t="s">
        <v>5320</v>
      </c>
      <c r="B571" s="2" t="s">
        <v>1272</v>
      </c>
    </row>
    <row r="572" spans="1:2">
      <c r="A572" s="2" t="s">
        <v>5321</v>
      </c>
      <c r="B572" s="2" t="s">
        <v>1272</v>
      </c>
    </row>
    <row r="573" spans="1:2">
      <c r="A573" s="2" t="s">
        <v>7507</v>
      </c>
      <c r="B573" s="2" t="s">
        <v>1272</v>
      </c>
    </row>
    <row r="574" spans="1:2">
      <c r="A574" s="2" t="s">
        <v>5544</v>
      </c>
      <c r="B574" s="2" t="s">
        <v>1272</v>
      </c>
    </row>
    <row r="575" spans="1:2">
      <c r="A575" s="2" t="s">
        <v>4522</v>
      </c>
      <c r="B575" s="2" t="s">
        <v>1272</v>
      </c>
    </row>
    <row r="576" spans="1:2">
      <c r="A576" s="2" t="s">
        <v>5602</v>
      </c>
      <c r="B576" s="2" t="s">
        <v>1272</v>
      </c>
    </row>
    <row r="577" spans="1:2">
      <c r="A577" s="2" t="s">
        <v>6726</v>
      </c>
      <c r="B577" s="2" t="s">
        <v>1272</v>
      </c>
    </row>
    <row r="578" spans="1:2">
      <c r="A578" s="2" t="s">
        <v>7508</v>
      </c>
      <c r="B578" s="2" t="s">
        <v>1272</v>
      </c>
    </row>
    <row r="579" spans="1:2">
      <c r="A579" s="2" t="s">
        <v>6847</v>
      </c>
      <c r="B579" s="2" t="s">
        <v>1272</v>
      </c>
    </row>
    <row r="580" spans="1:2">
      <c r="A580" s="2" t="s">
        <v>5893</v>
      </c>
      <c r="B580" s="2" t="s">
        <v>1272</v>
      </c>
    </row>
    <row r="581" spans="1:2">
      <c r="A581" s="2" t="s">
        <v>5896</v>
      </c>
      <c r="B581" s="2" t="s">
        <v>1272</v>
      </c>
    </row>
    <row r="582" spans="1:2">
      <c r="A582" s="2" t="s">
        <v>4757</v>
      </c>
      <c r="B582" s="2" t="s">
        <v>1272</v>
      </c>
    </row>
    <row r="583" spans="1:2">
      <c r="A583" s="2" t="s">
        <v>3114</v>
      </c>
      <c r="B583" s="2" t="s">
        <v>1272</v>
      </c>
    </row>
    <row r="584" spans="1:2">
      <c r="A584" s="2" t="s">
        <v>6100</v>
      </c>
      <c r="B584" s="2" t="s">
        <v>1272</v>
      </c>
    </row>
    <row r="585" spans="1:2">
      <c r="A585" s="2" t="s">
        <v>5167</v>
      </c>
      <c r="B585" s="2" t="s">
        <v>1370</v>
      </c>
    </row>
    <row r="586" spans="1:2">
      <c r="A586" s="2" t="s">
        <v>4480</v>
      </c>
      <c r="B586" s="2" t="s">
        <v>1370</v>
      </c>
    </row>
    <row r="587" spans="1:2">
      <c r="A587" s="2" t="s">
        <v>5593</v>
      </c>
      <c r="B587" s="2" t="s">
        <v>1370</v>
      </c>
    </row>
    <row r="588" spans="1:2">
      <c r="A588" s="2" t="s">
        <v>5594</v>
      </c>
      <c r="B588" s="2" t="s">
        <v>1370</v>
      </c>
    </row>
    <row r="589" spans="1:2">
      <c r="A589" s="2" t="s">
        <v>6617</v>
      </c>
      <c r="B589" s="2" t="s">
        <v>1370</v>
      </c>
    </row>
    <row r="590" spans="1:2">
      <c r="A590" s="2" t="s">
        <v>5595</v>
      </c>
      <c r="B590" s="2" t="s">
        <v>1370</v>
      </c>
    </row>
    <row r="591" spans="1:2">
      <c r="A591" s="2" t="s">
        <v>1388</v>
      </c>
      <c r="B591" s="2" t="s">
        <v>1370</v>
      </c>
    </row>
    <row r="592" spans="1:2">
      <c r="A592" s="2" t="s">
        <v>6624</v>
      </c>
      <c r="B592" s="2" t="s">
        <v>1370</v>
      </c>
    </row>
    <row r="593" spans="1:2">
      <c r="A593" s="2" t="s">
        <v>4548</v>
      </c>
      <c r="B593" s="2" t="s">
        <v>1370</v>
      </c>
    </row>
    <row r="594" spans="1:2">
      <c r="A594" s="2" t="s">
        <v>7509</v>
      </c>
      <c r="B594" s="2" t="s">
        <v>1370</v>
      </c>
    </row>
    <row r="595" spans="1:2">
      <c r="A595" s="2" t="s">
        <v>4570</v>
      </c>
      <c r="B595" s="2" t="s">
        <v>1370</v>
      </c>
    </row>
    <row r="596" spans="1:2">
      <c r="A596" s="2" t="s">
        <v>5753</v>
      </c>
      <c r="B596" s="2" t="s">
        <v>1370</v>
      </c>
    </row>
    <row r="597" spans="1:2">
      <c r="A597" s="2" t="s">
        <v>4623</v>
      </c>
      <c r="B597" s="2" t="s">
        <v>1370</v>
      </c>
    </row>
    <row r="598" spans="1:2">
      <c r="A598" s="2" t="s">
        <v>4666</v>
      </c>
      <c r="B598" s="2" t="s">
        <v>1370</v>
      </c>
    </row>
    <row r="599" spans="1:2">
      <c r="A599" s="2" t="s">
        <v>4667</v>
      </c>
      <c r="B599" s="2" t="s">
        <v>1370</v>
      </c>
    </row>
    <row r="600" spans="1:2">
      <c r="A600" s="2" t="s">
        <v>4674</v>
      </c>
      <c r="B600" s="2" t="s">
        <v>1370</v>
      </c>
    </row>
    <row r="601" spans="1:2">
      <c r="A601" s="2" t="s">
        <v>4689</v>
      </c>
      <c r="B601" s="2" t="s">
        <v>1370</v>
      </c>
    </row>
    <row r="602" spans="1:2">
      <c r="A602" s="2" t="s">
        <v>4714</v>
      </c>
      <c r="B602" s="2" t="s">
        <v>1370</v>
      </c>
    </row>
    <row r="603" spans="1:2">
      <c r="A603" s="2" t="s">
        <v>4852</v>
      </c>
      <c r="B603" s="2" t="s">
        <v>1370</v>
      </c>
    </row>
    <row r="604" spans="1:2">
      <c r="A604" s="2" t="s">
        <v>6090</v>
      </c>
      <c r="B604" s="2" t="s">
        <v>1370</v>
      </c>
    </row>
    <row r="605" spans="1:2">
      <c r="A605" s="2" t="s">
        <v>4867</v>
      </c>
      <c r="B605" s="2" t="s">
        <v>1370</v>
      </c>
    </row>
    <row r="606" spans="1:2">
      <c r="A606" s="2" t="s">
        <v>6117</v>
      </c>
      <c r="B606" s="2" t="s">
        <v>1370</v>
      </c>
    </row>
    <row r="607" spans="1:2">
      <c r="A607" s="2" t="s">
        <v>7510</v>
      </c>
      <c r="B607" s="2" t="s">
        <v>1370</v>
      </c>
    </row>
    <row r="608" spans="1:2">
      <c r="A608" s="2" t="s">
        <v>4889</v>
      </c>
      <c r="B608" s="2" t="s">
        <v>1370</v>
      </c>
    </row>
    <row r="609" spans="1:2">
      <c r="A609" s="2" t="s">
        <v>4030</v>
      </c>
      <c r="B609" s="2" t="s">
        <v>1370</v>
      </c>
    </row>
    <row r="610" spans="1:2">
      <c r="A610" s="2" t="s">
        <v>6221</v>
      </c>
      <c r="B610" s="2" t="s">
        <v>1370</v>
      </c>
    </row>
    <row r="611" spans="1:2">
      <c r="A611" s="2" t="s">
        <v>7511</v>
      </c>
      <c r="B611" s="2" t="s">
        <v>49</v>
      </c>
    </row>
    <row r="612" spans="1:2">
      <c r="A612" s="2" t="s">
        <v>5244</v>
      </c>
      <c r="B612" s="2" t="s">
        <v>49</v>
      </c>
    </row>
    <row r="613" spans="1:2">
      <c r="A613" s="2" t="s">
        <v>5245</v>
      </c>
      <c r="B613" s="2" t="s">
        <v>49</v>
      </c>
    </row>
    <row r="614" spans="1:2">
      <c r="A614" s="2" t="s">
        <v>5592</v>
      </c>
      <c r="B614" s="2" t="s">
        <v>49</v>
      </c>
    </row>
    <row r="615" spans="1:2">
      <c r="A615" s="2" t="s">
        <v>5600</v>
      </c>
      <c r="B615" s="2" t="s">
        <v>49</v>
      </c>
    </row>
    <row r="616" spans="1:2">
      <c r="A616" s="2" t="s">
        <v>4541</v>
      </c>
      <c r="B616" s="2" t="s">
        <v>49</v>
      </c>
    </row>
    <row r="617" spans="1:2">
      <c r="A617" s="2" t="s">
        <v>4543</v>
      </c>
      <c r="B617" s="2" t="s">
        <v>49</v>
      </c>
    </row>
    <row r="618" spans="1:2">
      <c r="A618" s="2" t="s">
        <v>4544</v>
      </c>
      <c r="B618" s="2" t="s">
        <v>49</v>
      </c>
    </row>
    <row r="619" spans="1:2">
      <c r="A619" s="2" t="s">
        <v>4545</v>
      </c>
      <c r="B619" s="2" t="s">
        <v>49</v>
      </c>
    </row>
    <row r="620" spans="1:2">
      <c r="A620" s="2" t="s">
        <v>4546</v>
      </c>
      <c r="B620" s="2" t="s">
        <v>49</v>
      </c>
    </row>
    <row r="621" spans="1:2">
      <c r="A621" s="2" t="s">
        <v>4547</v>
      </c>
      <c r="B621" s="2" t="s">
        <v>49</v>
      </c>
    </row>
    <row r="622" spans="1:2">
      <c r="A622" s="2" t="s">
        <v>7512</v>
      </c>
      <c r="B622" s="2" t="s">
        <v>49</v>
      </c>
    </row>
    <row r="623" spans="1:2">
      <c r="A623" s="2" t="s">
        <v>4552</v>
      </c>
      <c r="B623" s="2" t="s">
        <v>49</v>
      </c>
    </row>
    <row r="624" spans="1:2">
      <c r="A624" s="2" t="s">
        <v>4558</v>
      </c>
      <c r="B624" s="2" t="s">
        <v>49</v>
      </c>
    </row>
    <row r="625" spans="1:2">
      <c r="A625" s="2" t="s">
        <v>7513</v>
      </c>
      <c r="B625" s="2" t="s">
        <v>49</v>
      </c>
    </row>
    <row r="626" spans="1:2">
      <c r="A626" s="2" t="s">
        <v>5634</v>
      </c>
      <c r="B626" s="2" t="s">
        <v>49</v>
      </c>
    </row>
    <row r="627" spans="1:2">
      <c r="A627" s="2" t="s">
        <v>6053</v>
      </c>
      <c r="B627" s="2" t="s">
        <v>49</v>
      </c>
    </row>
    <row r="628" spans="1:2">
      <c r="A628" s="2" t="s">
        <v>4538</v>
      </c>
      <c r="B628" s="2" t="s">
        <v>49</v>
      </c>
    </row>
    <row r="629" spans="1:2">
      <c r="A629" s="2" t="s">
        <v>5611</v>
      </c>
      <c r="B629" s="2" t="s">
        <v>49</v>
      </c>
    </row>
    <row r="630" spans="1:2">
      <c r="A630" s="2" t="s">
        <v>1612</v>
      </c>
      <c r="B630" s="2" t="s">
        <v>49</v>
      </c>
    </row>
    <row r="631" spans="1:2">
      <c r="A631" s="2" t="s">
        <v>4531</v>
      </c>
      <c r="B631" s="2" t="s">
        <v>49</v>
      </c>
    </row>
    <row r="632" spans="1:2">
      <c r="A632" s="2" t="s">
        <v>5599</v>
      </c>
      <c r="B632" s="2" t="s">
        <v>49</v>
      </c>
    </row>
    <row r="633" spans="1:2">
      <c r="A633" s="2" t="s">
        <v>5629</v>
      </c>
      <c r="B633" s="2" t="s">
        <v>49</v>
      </c>
    </row>
    <row r="634" spans="1:2">
      <c r="A634" s="2" t="s">
        <v>5613</v>
      </c>
      <c r="B634" s="2" t="s">
        <v>49</v>
      </c>
    </row>
    <row r="635" spans="1:2">
      <c r="A635" s="2" t="s">
        <v>5615</v>
      </c>
      <c r="B635" s="2" t="s">
        <v>49</v>
      </c>
    </row>
    <row r="636" spans="1:2">
      <c r="A636" s="2" t="s">
        <v>4376</v>
      </c>
      <c r="B636" s="2" t="s">
        <v>1611</v>
      </c>
    </row>
    <row r="637" spans="1:2">
      <c r="A637" s="2" t="s">
        <v>7514</v>
      </c>
      <c r="B637" s="2" t="s">
        <v>1611</v>
      </c>
    </row>
    <row r="638" spans="1:2">
      <c r="A638" s="2" t="s">
        <v>5665</v>
      </c>
      <c r="B638" s="2" t="s">
        <v>1611</v>
      </c>
    </row>
    <row r="639" spans="1:2">
      <c r="A639" s="2" t="s">
        <v>5667</v>
      </c>
      <c r="B639" s="2" t="s">
        <v>1611</v>
      </c>
    </row>
    <row r="640" spans="1:2">
      <c r="A640" s="2" t="s">
        <v>5668</v>
      </c>
      <c r="B640" s="2" t="s">
        <v>1611</v>
      </c>
    </row>
    <row r="641" spans="1:2">
      <c r="A641" s="2" t="s">
        <v>6691</v>
      </c>
      <c r="B641" s="2" t="s">
        <v>1611</v>
      </c>
    </row>
    <row r="642" spans="1:2">
      <c r="A642" s="2" t="s">
        <v>4572</v>
      </c>
      <c r="B642" s="2" t="s">
        <v>1611</v>
      </c>
    </row>
    <row r="643" spans="1:2">
      <c r="A643" s="2" t="s">
        <v>5672</v>
      </c>
      <c r="B643" s="2" t="s">
        <v>1611</v>
      </c>
    </row>
    <row r="644" spans="1:2">
      <c r="A644" s="2" t="s">
        <v>6695</v>
      </c>
      <c r="B644" s="2" t="s">
        <v>1611</v>
      </c>
    </row>
    <row r="645" spans="1:2">
      <c r="A645" s="2" t="s">
        <v>6880</v>
      </c>
      <c r="B645" s="2" t="s">
        <v>1611</v>
      </c>
    </row>
    <row r="646" spans="1:2">
      <c r="A646" s="2" t="s">
        <v>5949</v>
      </c>
      <c r="B646" s="2" t="s">
        <v>1611</v>
      </c>
    </row>
    <row r="647" spans="1:2">
      <c r="A647" s="2" t="s">
        <v>7237</v>
      </c>
      <c r="B647" s="2" t="s">
        <v>1611</v>
      </c>
    </row>
    <row r="648" spans="1:2">
      <c r="A648" s="2" t="s">
        <v>4216</v>
      </c>
      <c r="B648" s="2" t="s">
        <v>228</v>
      </c>
    </row>
    <row r="649" spans="1:2">
      <c r="A649" s="2" t="s">
        <v>4218</v>
      </c>
      <c r="B649" s="2" t="s">
        <v>228</v>
      </c>
    </row>
    <row r="650" spans="1:2">
      <c r="A650" s="2" t="s">
        <v>4219</v>
      </c>
      <c r="B650" s="2" t="s">
        <v>228</v>
      </c>
    </row>
    <row r="651" spans="1:2">
      <c r="A651" s="2" t="s">
        <v>4220</v>
      </c>
      <c r="B651" s="2" t="s">
        <v>228</v>
      </c>
    </row>
    <row r="652" spans="1:2">
      <c r="A652" s="2" t="s">
        <v>4221</v>
      </c>
      <c r="B652" s="2" t="s">
        <v>228</v>
      </c>
    </row>
    <row r="653" spans="1:2">
      <c r="A653" s="2" t="s">
        <v>4222</v>
      </c>
      <c r="B653" s="2" t="s">
        <v>228</v>
      </c>
    </row>
    <row r="654" spans="1:2">
      <c r="A654" s="2" t="s">
        <v>4223</v>
      </c>
      <c r="B654" s="2" t="s">
        <v>228</v>
      </c>
    </row>
    <row r="655" spans="1:2">
      <c r="A655" s="2" t="s">
        <v>4224</v>
      </c>
      <c r="B655" s="2" t="s">
        <v>228</v>
      </c>
    </row>
    <row r="656" spans="1:2">
      <c r="A656" s="2" t="s">
        <v>4225</v>
      </c>
      <c r="B656" s="2" t="s">
        <v>228</v>
      </c>
    </row>
    <row r="657" spans="1:2">
      <c r="A657" s="2" t="s">
        <v>4226</v>
      </c>
      <c r="B657" s="2" t="s">
        <v>228</v>
      </c>
    </row>
    <row r="658" spans="1:2">
      <c r="A658" s="2" t="s">
        <v>4227</v>
      </c>
      <c r="B658" s="2" t="s">
        <v>228</v>
      </c>
    </row>
    <row r="659" spans="1:2">
      <c r="A659" s="2" t="s">
        <v>4228</v>
      </c>
      <c r="B659" s="2" t="s">
        <v>228</v>
      </c>
    </row>
    <row r="660" spans="1:2">
      <c r="A660" s="2" t="s">
        <v>4229</v>
      </c>
      <c r="B660" s="2" t="s">
        <v>228</v>
      </c>
    </row>
    <row r="661" spans="1:2">
      <c r="A661" s="2" t="s">
        <v>4230</v>
      </c>
      <c r="B661" s="2" t="s">
        <v>228</v>
      </c>
    </row>
    <row r="662" spans="1:2">
      <c r="A662" s="2" t="s">
        <v>4231</v>
      </c>
      <c r="B662" s="2" t="s">
        <v>228</v>
      </c>
    </row>
    <row r="663" spans="1:2">
      <c r="A663" s="2" t="s">
        <v>4232</v>
      </c>
      <c r="B663" s="2" t="s">
        <v>228</v>
      </c>
    </row>
    <row r="664" spans="1:2">
      <c r="A664" s="2" t="s">
        <v>4233</v>
      </c>
      <c r="B664" s="2" t="s">
        <v>228</v>
      </c>
    </row>
    <row r="665" spans="1:2">
      <c r="A665" s="2" t="s">
        <v>4234</v>
      </c>
      <c r="B665" s="2" t="s">
        <v>228</v>
      </c>
    </row>
    <row r="666" spans="1:2">
      <c r="A666" s="2" t="s">
        <v>4235</v>
      </c>
      <c r="B666" s="2" t="s">
        <v>228</v>
      </c>
    </row>
    <row r="667" spans="1:2">
      <c r="A667" s="2" t="s">
        <v>4236</v>
      </c>
      <c r="B667" s="2" t="s">
        <v>228</v>
      </c>
    </row>
    <row r="668" spans="1:2">
      <c r="A668" s="2" t="s">
        <v>4237</v>
      </c>
      <c r="B668" s="2" t="s">
        <v>228</v>
      </c>
    </row>
    <row r="669" spans="1:2">
      <c r="A669" s="2" t="s">
        <v>4238</v>
      </c>
      <c r="B669" s="2" t="s">
        <v>228</v>
      </c>
    </row>
    <row r="670" spans="1:2">
      <c r="A670" s="2" t="s">
        <v>4239</v>
      </c>
      <c r="B670" s="2" t="s">
        <v>228</v>
      </c>
    </row>
    <row r="671" spans="1:2">
      <c r="A671" s="2" t="s">
        <v>4240</v>
      </c>
      <c r="B671" s="2" t="s">
        <v>228</v>
      </c>
    </row>
    <row r="672" spans="1:2">
      <c r="A672" s="2" t="s">
        <v>4241</v>
      </c>
      <c r="B672" s="2" t="s">
        <v>228</v>
      </c>
    </row>
    <row r="673" spans="1:2">
      <c r="A673" s="2" t="s">
        <v>4242</v>
      </c>
      <c r="B673" s="2" t="s">
        <v>228</v>
      </c>
    </row>
    <row r="674" spans="1:2">
      <c r="A674" s="2" t="s">
        <v>4243</v>
      </c>
      <c r="B674" s="2" t="s">
        <v>228</v>
      </c>
    </row>
    <row r="675" spans="1:2">
      <c r="A675" s="2" t="s">
        <v>4244</v>
      </c>
      <c r="B675" s="2" t="s">
        <v>228</v>
      </c>
    </row>
    <row r="676" spans="1:2">
      <c r="A676" s="2" t="s">
        <v>4245</v>
      </c>
      <c r="B676" s="2" t="s">
        <v>228</v>
      </c>
    </row>
    <row r="677" spans="1:2">
      <c r="A677" s="2" t="s">
        <v>4246</v>
      </c>
      <c r="B677" s="2" t="s">
        <v>228</v>
      </c>
    </row>
    <row r="678" spans="1:2">
      <c r="A678" s="2" t="s">
        <v>4247</v>
      </c>
      <c r="B678" s="2" t="s">
        <v>228</v>
      </c>
    </row>
    <row r="679" spans="1:2">
      <c r="A679" s="2" t="s">
        <v>4248</v>
      </c>
      <c r="B679" s="2" t="s">
        <v>228</v>
      </c>
    </row>
    <row r="680" spans="1:2">
      <c r="A680" s="2" t="s">
        <v>4249</v>
      </c>
      <c r="B680" s="2" t="s">
        <v>228</v>
      </c>
    </row>
    <row r="681" spans="1:2">
      <c r="A681" s="2" t="s">
        <v>4250</v>
      </c>
      <c r="B681" s="2" t="s">
        <v>228</v>
      </c>
    </row>
    <row r="682" spans="1:2">
      <c r="A682" s="2" t="s">
        <v>4251</v>
      </c>
      <c r="B682" s="2" t="s">
        <v>228</v>
      </c>
    </row>
    <row r="683" spans="1:2">
      <c r="A683" s="2" t="s">
        <v>4252</v>
      </c>
      <c r="B683" s="2" t="s">
        <v>228</v>
      </c>
    </row>
    <row r="684" spans="1:2">
      <c r="A684" s="2" t="s">
        <v>4253</v>
      </c>
      <c r="B684" s="2" t="s">
        <v>228</v>
      </c>
    </row>
    <row r="685" spans="1:2">
      <c r="A685" s="2" t="s">
        <v>4254</v>
      </c>
      <c r="B685" s="2" t="s">
        <v>228</v>
      </c>
    </row>
    <row r="686" spans="1:2">
      <c r="A686" s="2" t="s">
        <v>4255</v>
      </c>
      <c r="B686" s="2" t="s">
        <v>228</v>
      </c>
    </row>
    <row r="687" spans="1:2">
      <c r="A687" s="2" t="s">
        <v>4256</v>
      </c>
      <c r="B687" s="2" t="s">
        <v>228</v>
      </c>
    </row>
    <row r="688" spans="1:2">
      <c r="A688" s="2" t="s">
        <v>4257</v>
      </c>
      <c r="B688" s="2" t="s">
        <v>228</v>
      </c>
    </row>
    <row r="689" spans="1:2">
      <c r="A689" s="2" t="s">
        <v>4258</v>
      </c>
      <c r="B689" s="2" t="s">
        <v>228</v>
      </c>
    </row>
    <row r="690" spans="1:2">
      <c r="A690" s="2" t="s">
        <v>7515</v>
      </c>
      <c r="B690" s="2" t="s">
        <v>228</v>
      </c>
    </row>
    <row r="691" spans="1:2">
      <c r="A691" s="2" t="s">
        <v>7516</v>
      </c>
      <c r="B691" s="2" t="s">
        <v>228</v>
      </c>
    </row>
    <row r="692" spans="1:2">
      <c r="A692" s="2" t="s">
        <v>7517</v>
      </c>
      <c r="B692" s="2" t="s">
        <v>228</v>
      </c>
    </row>
    <row r="693" spans="1:2">
      <c r="A693" s="2" t="s">
        <v>7518</v>
      </c>
      <c r="B693" s="2" t="s">
        <v>228</v>
      </c>
    </row>
    <row r="694" spans="1:2">
      <c r="A694" s="2" t="s">
        <v>7519</v>
      </c>
      <c r="B694" s="2" t="s">
        <v>228</v>
      </c>
    </row>
    <row r="695" spans="1:2">
      <c r="A695" s="2" t="s">
        <v>7520</v>
      </c>
      <c r="B695" s="2" t="s">
        <v>228</v>
      </c>
    </row>
    <row r="696" spans="1:2">
      <c r="A696" s="2" t="s">
        <v>7521</v>
      </c>
      <c r="B696" s="2" t="s">
        <v>228</v>
      </c>
    </row>
    <row r="697" spans="1:2">
      <c r="A697" s="2" t="s">
        <v>5169</v>
      </c>
      <c r="B697" s="2" t="s">
        <v>228</v>
      </c>
    </row>
    <row r="698" spans="1:2">
      <c r="A698" s="2" t="s">
        <v>7522</v>
      </c>
      <c r="B698" s="2" t="s">
        <v>228</v>
      </c>
    </row>
    <row r="699" spans="1:2">
      <c r="A699" s="2" t="s">
        <v>7523</v>
      </c>
      <c r="B699" s="2" t="s">
        <v>228</v>
      </c>
    </row>
    <row r="700" spans="1:2">
      <c r="A700" s="2" t="s">
        <v>7524</v>
      </c>
      <c r="B700" s="2" t="s">
        <v>228</v>
      </c>
    </row>
    <row r="701" spans="1:2">
      <c r="A701" s="2" t="s">
        <v>7525</v>
      </c>
      <c r="B701" s="2" t="s">
        <v>228</v>
      </c>
    </row>
    <row r="702" spans="1:2">
      <c r="A702" s="2" t="s">
        <v>7526</v>
      </c>
      <c r="B702" s="2" t="s">
        <v>228</v>
      </c>
    </row>
    <row r="703" spans="1:2">
      <c r="A703" s="2" t="s">
        <v>7527</v>
      </c>
      <c r="B703" s="2" t="s">
        <v>228</v>
      </c>
    </row>
    <row r="704" spans="1:2">
      <c r="A704" s="2" t="s">
        <v>7528</v>
      </c>
      <c r="B704" s="2" t="s">
        <v>228</v>
      </c>
    </row>
    <row r="705" spans="1:2">
      <c r="A705" s="2" t="s">
        <v>7529</v>
      </c>
      <c r="B705" s="2" t="s">
        <v>228</v>
      </c>
    </row>
    <row r="706" spans="1:2">
      <c r="A706" s="2" t="s">
        <v>7530</v>
      </c>
      <c r="B706" s="2" t="s">
        <v>228</v>
      </c>
    </row>
    <row r="707" spans="1:2">
      <c r="A707" s="2" t="s">
        <v>7531</v>
      </c>
      <c r="B707" s="2" t="s">
        <v>228</v>
      </c>
    </row>
    <row r="708" spans="1:2">
      <c r="A708" s="2" t="s">
        <v>7532</v>
      </c>
      <c r="B708" s="2" t="s">
        <v>228</v>
      </c>
    </row>
    <row r="709" spans="1:2">
      <c r="A709" s="2" t="s">
        <v>7533</v>
      </c>
      <c r="B709" s="2" t="s">
        <v>228</v>
      </c>
    </row>
    <row r="710" spans="1:2">
      <c r="A710" s="2" t="s">
        <v>7534</v>
      </c>
      <c r="B710" s="2" t="s">
        <v>228</v>
      </c>
    </row>
    <row r="711" spans="1:2">
      <c r="A711" s="2" t="s">
        <v>7535</v>
      </c>
      <c r="B711" s="2" t="s">
        <v>228</v>
      </c>
    </row>
    <row r="712" spans="1:2">
      <c r="A712" s="2" t="s">
        <v>7536</v>
      </c>
      <c r="B712" s="2" t="s">
        <v>228</v>
      </c>
    </row>
    <row r="713" spans="1:2">
      <c r="A713" s="2" t="s">
        <v>7537</v>
      </c>
      <c r="B713" s="2" t="s">
        <v>228</v>
      </c>
    </row>
    <row r="714" spans="1:2">
      <c r="A714" s="2" t="s">
        <v>283</v>
      </c>
      <c r="B714" s="2" t="s">
        <v>228</v>
      </c>
    </row>
    <row r="715" spans="1:2">
      <c r="A715" s="2" t="s">
        <v>5177</v>
      </c>
      <c r="B715" s="2" t="s">
        <v>228</v>
      </c>
    </row>
    <row r="716" spans="1:2">
      <c r="A716" s="2" t="s">
        <v>7538</v>
      </c>
      <c r="B716" s="2" t="s">
        <v>228</v>
      </c>
    </row>
    <row r="717" spans="1:2">
      <c r="A717" s="2" t="s">
        <v>7539</v>
      </c>
      <c r="B717" s="2" t="s">
        <v>228</v>
      </c>
    </row>
    <row r="718" spans="1:2">
      <c r="A718" s="2" t="s">
        <v>7540</v>
      </c>
      <c r="B718" s="2" t="s">
        <v>228</v>
      </c>
    </row>
    <row r="719" spans="1:2">
      <c r="A719" s="2" t="s">
        <v>7541</v>
      </c>
      <c r="B719" s="2" t="s">
        <v>228</v>
      </c>
    </row>
    <row r="720" spans="1:2">
      <c r="A720" s="2" t="s">
        <v>4415</v>
      </c>
      <c r="B720" s="2" t="s">
        <v>228</v>
      </c>
    </row>
    <row r="721" spans="1:2">
      <c r="A721" s="2" t="s">
        <v>4417</v>
      </c>
      <c r="B721" s="2" t="s">
        <v>228</v>
      </c>
    </row>
    <row r="722" spans="1:2">
      <c r="A722" s="2" t="s">
        <v>4418</v>
      </c>
      <c r="B722" s="2" t="s">
        <v>228</v>
      </c>
    </row>
    <row r="723" spans="1:2">
      <c r="A723" s="2" t="s">
        <v>4419</v>
      </c>
      <c r="B723" s="2" t="s">
        <v>228</v>
      </c>
    </row>
    <row r="724" spans="1:2">
      <c r="A724" s="2" t="s">
        <v>4420</v>
      </c>
      <c r="B724" s="2" t="s">
        <v>228</v>
      </c>
    </row>
    <row r="725" spans="1:2">
      <c r="A725" s="2" t="s">
        <v>4421</v>
      </c>
      <c r="B725" s="2" t="s">
        <v>228</v>
      </c>
    </row>
    <row r="726" spans="1:2">
      <c r="A726" s="2" t="s">
        <v>4422</v>
      </c>
      <c r="B726" s="2" t="s">
        <v>228</v>
      </c>
    </row>
    <row r="727" spans="1:2">
      <c r="A727" s="2" t="s">
        <v>7542</v>
      </c>
      <c r="B727" s="2" t="s">
        <v>228</v>
      </c>
    </row>
    <row r="728" spans="1:2">
      <c r="A728" s="2" t="s">
        <v>7543</v>
      </c>
      <c r="B728" s="2" t="s">
        <v>228</v>
      </c>
    </row>
    <row r="729" spans="1:2">
      <c r="A729" s="2" t="s">
        <v>7544</v>
      </c>
      <c r="B729" s="2" t="s">
        <v>228</v>
      </c>
    </row>
    <row r="730" spans="1:2">
      <c r="A730" s="2" t="s">
        <v>5411</v>
      </c>
      <c r="B730" s="2" t="s">
        <v>228</v>
      </c>
    </row>
    <row r="731" spans="1:2">
      <c r="A731" s="2" t="s">
        <v>7545</v>
      </c>
      <c r="B731" s="2" t="s">
        <v>228</v>
      </c>
    </row>
    <row r="732" spans="1:2">
      <c r="A732" s="2" t="s">
        <v>7546</v>
      </c>
      <c r="B732" s="2" t="s">
        <v>228</v>
      </c>
    </row>
    <row r="733" spans="1:2">
      <c r="A733" s="2" t="s">
        <v>7547</v>
      </c>
      <c r="B733" s="2" t="s">
        <v>228</v>
      </c>
    </row>
    <row r="734" spans="1:2">
      <c r="A734" s="2" t="s">
        <v>7548</v>
      </c>
      <c r="B734" s="2" t="s">
        <v>228</v>
      </c>
    </row>
    <row r="735" spans="1:2">
      <c r="A735" s="2" t="s">
        <v>7549</v>
      </c>
      <c r="B735" s="2" t="s">
        <v>228</v>
      </c>
    </row>
    <row r="736" spans="1:2">
      <c r="A736" s="2" t="s">
        <v>7550</v>
      </c>
      <c r="B736" s="2" t="s">
        <v>228</v>
      </c>
    </row>
    <row r="737" spans="1:2">
      <c r="A737" s="2" t="s">
        <v>7551</v>
      </c>
      <c r="B737" s="2" t="s">
        <v>228</v>
      </c>
    </row>
    <row r="738" spans="1:2">
      <c r="A738" s="2" t="s">
        <v>7552</v>
      </c>
      <c r="B738" s="2" t="s">
        <v>228</v>
      </c>
    </row>
    <row r="739" spans="1:2">
      <c r="A739" s="2" t="s">
        <v>7553</v>
      </c>
      <c r="B739" s="2" t="s">
        <v>228</v>
      </c>
    </row>
    <row r="740" spans="1:2">
      <c r="A740" s="2" t="s">
        <v>7554</v>
      </c>
      <c r="B740" s="2" t="s">
        <v>228</v>
      </c>
    </row>
    <row r="741" spans="1:2">
      <c r="A741" s="2" t="s">
        <v>7555</v>
      </c>
      <c r="B741" s="2" t="s">
        <v>228</v>
      </c>
    </row>
    <row r="742" spans="1:2">
      <c r="A742" s="2" t="s">
        <v>7556</v>
      </c>
      <c r="B742" s="2" t="s">
        <v>228</v>
      </c>
    </row>
    <row r="743" spans="1:2">
      <c r="A743" s="2" t="s">
        <v>4431</v>
      </c>
      <c r="B743" s="2" t="s">
        <v>228</v>
      </c>
    </row>
    <row r="744" spans="1:2">
      <c r="A744" s="2" t="s">
        <v>4433</v>
      </c>
      <c r="B744" s="2" t="s">
        <v>228</v>
      </c>
    </row>
    <row r="745" spans="1:2">
      <c r="A745" s="2" t="s">
        <v>4434</v>
      </c>
      <c r="B745" s="2" t="s">
        <v>228</v>
      </c>
    </row>
    <row r="746" spans="1:2">
      <c r="A746" s="2" t="s">
        <v>4435</v>
      </c>
      <c r="B746" s="2" t="s">
        <v>228</v>
      </c>
    </row>
    <row r="747" spans="1:2">
      <c r="A747" s="2" t="s">
        <v>4436</v>
      </c>
      <c r="B747" s="2" t="s">
        <v>228</v>
      </c>
    </row>
    <row r="748" spans="1:2">
      <c r="A748" s="2" t="s">
        <v>4438</v>
      </c>
      <c r="B748" s="2" t="s">
        <v>228</v>
      </c>
    </row>
    <row r="749" spans="1:2">
      <c r="A749" s="2" t="s">
        <v>7557</v>
      </c>
      <c r="B749" s="2" t="s">
        <v>228</v>
      </c>
    </row>
    <row r="750" spans="1:2">
      <c r="A750" s="2" t="s">
        <v>7558</v>
      </c>
      <c r="B750" s="2" t="s">
        <v>228</v>
      </c>
    </row>
    <row r="751" spans="1:2">
      <c r="A751" s="2" t="s">
        <v>7559</v>
      </c>
      <c r="B751" s="2" t="s">
        <v>228</v>
      </c>
    </row>
    <row r="752" spans="1:2">
      <c r="A752" s="2" t="s">
        <v>7560</v>
      </c>
      <c r="B752" s="2" t="s">
        <v>228</v>
      </c>
    </row>
    <row r="753" spans="1:2">
      <c r="A753" s="2" t="s">
        <v>7561</v>
      </c>
      <c r="B753" s="2" t="s">
        <v>228</v>
      </c>
    </row>
    <row r="754" spans="1:2">
      <c r="A754" s="2" t="s">
        <v>7562</v>
      </c>
      <c r="B754" s="2" t="s">
        <v>228</v>
      </c>
    </row>
    <row r="755" spans="1:2">
      <c r="A755" s="2" t="s">
        <v>7563</v>
      </c>
      <c r="B755" s="2" t="s">
        <v>228</v>
      </c>
    </row>
    <row r="756" spans="1:2">
      <c r="A756" s="2" t="s">
        <v>7564</v>
      </c>
      <c r="B756" s="2" t="s">
        <v>228</v>
      </c>
    </row>
    <row r="757" spans="1:2">
      <c r="A757" s="2" t="s">
        <v>7565</v>
      </c>
      <c r="B757" s="2" t="s">
        <v>228</v>
      </c>
    </row>
    <row r="758" spans="1:2">
      <c r="A758" s="2" t="s">
        <v>7566</v>
      </c>
      <c r="B758" s="2" t="s">
        <v>228</v>
      </c>
    </row>
    <row r="759" spans="1:2">
      <c r="A759" s="2" t="s">
        <v>7567</v>
      </c>
      <c r="B759" s="2" t="s">
        <v>228</v>
      </c>
    </row>
    <row r="760" spans="1:2">
      <c r="A760" s="2" t="s">
        <v>7568</v>
      </c>
      <c r="B760" s="2" t="s">
        <v>228</v>
      </c>
    </row>
    <row r="761" spans="1:2">
      <c r="A761" s="2" t="s">
        <v>7569</v>
      </c>
      <c r="B761" s="2" t="s">
        <v>228</v>
      </c>
    </row>
    <row r="762" spans="1:2">
      <c r="A762" s="2" t="s">
        <v>7570</v>
      </c>
      <c r="B762" s="2" t="s">
        <v>228</v>
      </c>
    </row>
    <row r="763" spans="1:2">
      <c r="A763" s="2" t="s">
        <v>7571</v>
      </c>
      <c r="B763" s="2" t="s">
        <v>228</v>
      </c>
    </row>
    <row r="764" spans="1:2">
      <c r="A764" s="2" t="s">
        <v>7572</v>
      </c>
      <c r="B764" s="2" t="s">
        <v>228</v>
      </c>
    </row>
    <row r="765" spans="1:2">
      <c r="A765" s="2" t="s">
        <v>7573</v>
      </c>
      <c r="B765" s="2" t="s">
        <v>228</v>
      </c>
    </row>
    <row r="766" spans="1:2">
      <c r="A766" s="2" t="s">
        <v>7574</v>
      </c>
      <c r="B766" s="2" t="s">
        <v>228</v>
      </c>
    </row>
    <row r="767" spans="1:2">
      <c r="A767" s="2" t="s">
        <v>4439</v>
      </c>
      <c r="B767" s="2" t="s">
        <v>228</v>
      </c>
    </row>
    <row r="768" spans="1:2">
      <c r="A768" s="2" t="s">
        <v>4441</v>
      </c>
      <c r="B768" s="2" t="s">
        <v>228</v>
      </c>
    </row>
    <row r="769" spans="1:2">
      <c r="A769" s="2" t="s">
        <v>4442</v>
      </c>
      <c r="B769" s="2" t="s">
        <v>228</v>
      </c>
    </row>
    <row r="770" spans="1:2">
      <c r="A770" s="2" t="s">
        <v>4443</v>
      </c>
      <c r="B770" s="2" t="s">
        <v>228</v>
      </c>
    </row>
    <row r="771" spans="1:2">
      <c r="A771" s="2" t="s">
        <v>4444</v>
      </c>
      <c r="B771" s="2" t="s">
        <v>228</v>
      </c>
    </row>
    <row r="772" spans="1:2">
      <c r="A772" s="2" t="s">
        <v>4445</v>
      </c>
      <c r="B772" s="2" t="s">
        <v>228</v>
      </c>
    </row>
    <row r="773" spans="1:2">
      <c r="A773" s="2" t="s">
        <v>4446</v>
      </c>
      <c r="B773" s="2" t="s">
        <v>228</v>
      </c>
    </row>
    <row r="774" spans="1:2">
      <c r="A774" s="2" t="s">
        <v>4447</v>
      </c>
      <c r="B774" s="2" t="s">
        <v>228</v>
      </c>
    </row>
    <row r="775" spans="1:2">
      <c r="A775" s="2" t="s">
        <v>4448</v>
      </c>
      <c r="B775" s="2" t="s">
        <v>228</v>
      </c>
    </row>
    <row r="776" spans="1:2">
      <c r="A776" s="2" t="s">
        <v>4450</v>
      </c>
      <c r="B776" s="2" t="s">
        <v>228</v>
      </c>
    </row>
    <row r="777" spans="1:2">
      <c r="A777" s="2" t="s">
        <v>4451</v>
      </c>
      <c r="B777" s="2" t="s">
        <v>228</v>
      </c>
    </row>
    <row r="778" spans="1:2">
      <c r="A778" s="2" t="s">
        <v>4452</v>
      </c>
      <c r="B778" s="2" t="s">
        <v>228</v>
      </c>
    </row>
    <row r="779" spans="1:2">
      <c r="A779" s="2" t="s">
        <v>4453</v>
      </c>
      <c r="B779" s="2" t="s">
        <v>228</v>
      </c>
    </row>
    <row r="780" spans="1:2">
      <c r="A780" s="2" t="s">
        <v>4454</v>
      </c>
      <c r="B780" s="2" t="s">
        <v>228</v>
      </c>
    </row>
    <row r="781" spans="1:2">
      <c r="A781" s="2" t="s">
        <v>4455</v>
      </c>
      <c r="B781" s="2" t="s">
        <v>228</v>
      </c>
    </row>
    <row r="782" spans="1:2">
      <c r="A782" s="2" t="s">
        <v>4456</v>
      </c>
      <c r="B782" s="2" t="s">
        <v>228</v>
      </c>
    </row>
    <row r="783" spans="1:2">
      <c r="A783" s="2" t="s">
        <v>4459</v>
      </c>
      <c r="B783" s="2" t="s">
        <v>228</v>
      </c>
    </row>
    <row r="784" spans="1:2">
      <c r="A784" s="2" t="s">
        <v>4461</v>
      </c>
      <c r="B784" s="2" t="s">
        <v>228</v>
      </c>
    </row>
    <row r="785" spans="1:2">
      <c r="A785" s="2" t="s">
        <v>4462</v>
      </c>
      <c r="B785" s="2" t="s">
        <v>228</v>
      </c>
    </row>
    <row r="786" spans="1:2">
      <c r="A786" s="2" t="s">
        <v>4463</v>
      </c>
      <c r="B786" s="2" t="s">
        <v>228</v>
      </c>
    </row>
    <row r="787" spans="1:2">
      <c r="A787" s="2" t="s">
        <v>7575</v>
      </c>
      <c r="B787" s="2" t="s">
        <v>228</v>
      </c>
    </row>
    <row r="788" spans="1:2">
      <c r="A788" s="2" t="s">
        <v>7576</v>
      </c>
      <c r="B788" s="2" t="s">
        <v>228</v>
      </c>
    </row>
    <row r="789" spans="1:2">
      <c r="A789" s="2" t="s">
        <v>7577</v>
      </c>
      <c r="B789" s="2" t="s">
        <v>228</v>
      </c>
    </row>
    <row r="790" spans="1:2">
      <c r="A790" s="2" t="s">
        <v>7578</v>
      </c>
      <c r="B790" s="2" t="s">
        <v>228</v>
      </c>
    </row>
    <row r="791" spans="1:2">
      <c r="A791" s="2" t="s">
        <v>7579</v>
      </c>
      <c r="B791" s="2" t="s">
        <v>228</v>
      </c>
    </row>
    <row r="792" spans="1:2">
      <c r="A792" s="2" t="s">
        <v>7580</v>
      </c>
      <c r="B792" s="2" t="s">
        <v>228</v>
      </c>
    </row>
    <row r="793" spans="1:2">
      <c r="A793" s="2" t="s">
        <v>7581</v>
      </c>
      <c r="B793" s="2" t="s">
        <v>228</v>
      </c>
    </row>
    <row r="794" spans="1:2">
      <c r="A794" s="2" t="s">
        <v>7582</v>
      </c>
      <c r="B794" s="2" t="s">
        <v>228</v>
      </c>
    </row>
    <row r="795" spans="1:2">
      <c r="A795" s="2" t="s">
        <v>7583</v>
      </c>
      <c r="B795" s="2" t="s">
        <v>228</v>
      </c>
    </row>
    <row r="796" spans="1:2">
      <c r="A796" s="2" t="s">
        <v>7584</v>
      </c>
      <c r="B796" s="2" t="s">
        <v>228</v>
      </c>
    </row>
    <row r="797" spans="1:2">
      <c r="A797" s="2" t="s">
        <v>7585</v>
      </c>
      <c r="B797" s="2" t="s">
        <v>228</v>
      </c>
    </row>
    <row r="798" spans="1:2">
      <c r="A798" s="2" t="s">
        <v>7586</v>
      </c>
      <c r="B798" s="2" t="s">
        <v>228</v>
      </c>
    </row>
    <row r="799" spans="1:2">
      <c r="A799" s="2" t="s">
        <v>7587</v>
      </c>
      <c r="B799" s="2" t="s">
        <v>228</v>
      </c>
    </row>
    <row r="800" spans="1:2">
      <c r="A800" s="2" t="s">
        <v>7588</v>
      </c>
      <c r="B800" s="2" t="s">
        <v>228</v>
      </c>
    </row>
    <row r="801" spans="1:2">
      <c r="A801" s="2" t="s">
        <v>7589</v>
      </c>
      <c r="B801" s="2" t="s">
        <v>228</v>
      </c>
    </row>
    <row r="802" spans="1:2">
      <c r="A802" s="2" t="s">
        <v>7590</v>
      </c>
      <c r="B802" s="2" t="s">
        <v>228</v>
      </c>
    </row>
    <row r="803" spans="1:2">
      <c r="A803" s="2" t="s">
        <v>7591</v>
      </c>
      <c r="B803" s="2" t="s">
        <v>228</v>
      </c>
    </row>
    <row r="804" spans="1:2">
      <c r="A804" s="2" t="s">
        <v>7592</v>
      </c>
      <c r="B804" s="2" t="s">
        <v>228</v>
      </c>
    </row>
    <row r="805" spans="1:2">
      <c r="A805" s="2" t="s">
        <v>4494</v>
      </c>
      <c r="B805" s="2" t="s">
        <v>228</v>
      </c>
    </row>
    <row r="806" spans="1:2">
      <c r="A806" s="2" t="s">
        <v>4495</v>
      </c>
      <c r="B806" s="2" t="s">
        <v>228</v>
      </c>
    </row>
    <row r="807" spans="1:2">
      <c r="A807" s="2" t="s">
        <v>4496</v>
      </c>
      <c r="B807" s="2" t="s">
        <v>228</v>
      </c>
    </row>
    <row r="808" spans="1:2">
      <c r="A808" s="2" t="s">
        <v>5572</v>
      </c>
      <c r="B808" s="2" t="s">
        <v>228</v>
      </c>
    </row>
    <row r="809" spans="1:2">
      <c r="A809" s="2" t="s">
        <v>5573</v>
      </c>
      <c r="B809" s="2" t="s">
        <v>228</v>
      </c>
    </row>
    <row r="810" spans="1:2">
      <c r="A810" s="2" t="s">
        <v>5574</v>
      </c>
      <c r="B810" s="2" t="s">
        <v>228</v>
      </c>
    </row>
    <row r="811" spans="1:2">
      <c r="A811" s="2" t="s">
        <v>5575</v>
      </c>
      <c r="B811" s="2" t="s">
        <v>228</v>
      </c>
    </row>
    <row r="812" spans="1:2">
      <c r="A812" s="2" t="s">
        <v>5576</v>
      </c>
      <c r="B812" s="2" t="s">
        <v>228</v>
      </c>
    </row>
    <row r="813" spans="1:2">
      <c r="A813" s="2" t="s">
        <v>7593</v>
      </c>
      <c r="B813" s="2" t="s">
        <v>228</v>
      </c>
    </row>
    <row r="814" spans="1:2">
      <c r="A814" s="2" t="s">
        <v>7594</v>
      </c>
      <c r="B814" s="2" t="s">
        <v>228</v>
      </c>
    </row>
    <row r="815" spans="1:2">
      <c r="A815" s="2" t="s">
        <v>5577</v>
      </c>
      <c r="B815" s="2" t="s">
        <v>228</v>
      </c>
    </row>
    <row r="816" spans="1:2">
      <c r="A816" s="2" t="s">
        <v>6610</v>
      </c>
      <c r="B816" s="2" t="s">
        <v>228</v>
      </c>
    </row>
    <row r="817" spans="1:2">
      <c r="A817" s="2" t="s">
        <v>5636</v>
      </c>
      <c r="B817" s="2" t="s">
        <v>228</v>
      </c>
    </row>
    <row r="818" spans="1:2">
      <c r="A818" s="2" t="s">
        <v>1545</v>
      </c>
      <c r="B818" s="2" t="s">
        <v>228</v>
      </c>
    </row>
    <row r="819" spans="1:2">
      <c r="A819" s="2" t="s">
        <v>4641</v>
      </c>
      <c r="B819" s="2" t="s">
        <v>228</v>
      </c>
    </row>
    <row r="820" spans="1:2">
      <c r="A820" s="2" t="s">
        <v>4643</v>
      </c>
      <c r="B820" s="2" t="s">
        <v>228</v>
      </c>
    </row>
    <row r="821" spans="1:2">
      <c r="A821" s="2" t="s">
        <v>4644</v>
      </c>
      <c r="B821" s="2" t="s">
        <v>228</v>
      </c>
    </row>
    <row r="822" spans="1:2">
      <c r="A822" s="2" t="s">
        <v>4645</v>
      </c>
      <c r="B822" s="2" t="s">
        <v>228</v>
      </c>
    </row>
    <row r="823" spans="1:2">
      <c r="A823" s="2" t="s">
        <v>4658</v>
      </c>
      <c r="B823" s="2" t="s">
        <v>228</v>
      </c>
    </row>
    <row r="824" spans="1:2">
      <c r="A824" s="2" t="s">
        <v>4659</v>
      </c>
      <c r="B824" s="2" t="s">
        <v>228</v>
      </c>
    </row>
    <row r="825" spans="1:2">
      <c r="A825" s="2" t="s">
        <v>4660</v>
      </c>
      <c r="B825" s="2" t="s">
        <v>228</v>
      </c>
    </row>
    <row r="826" spans="1:2">
      <c r="A826" s="2" t="s">
        <v>4661</v>
      </c>
      <c r="B826" s="2" t="s">
        <v>228</v>
      </c>
    </row>
    <row r="827" spans="1:2">
      <c r="A827" s="2" t="s">
        <v>4662</v>
      </c>
      <c r="B827" s="2" t="s">
        <v>228</v>
      </c>
    </row>
    <row r="828" spans="1:2">
      <c r="A828" s="2" t="s">
        <v>4663</v>
      </c>
      <c r="B828" s="2" t="s">
        <v>228</v>
      </c>
    </row>
    <row r="829" spans="1:2">
      <c r="A829" s="2" t="s">
        <v>4665</v>
      </c>
      <c r="B829" s="2" t="s">
        <v>228</v>
      </c>
    </row>
    <row r="830" spans="1:2">
      <c r="A830" s="2" t="s">
        <v>7595</v>
      </c>
      <c r="B830" s="2" t="s">
        <v>228</v>
      </c>
    </row>
    <row r="831" spans="1:2">
      <c r="A831" s="2" t="s">
        <v>7596</v>
      </c>
      <c r="B831" s="2" t="s">
        <v>228</v>
      </c>
    </row>
    <row r="832" spans="1:2">
      <c r="A832" s="2" t="s">
        <v>7597</v>
      </c>
      <c r="B832" s="2" t="s">
        <v>228</v>
      </c>
    </row>
    <row r="833" spans="1:2">
      <c r="A833" s="2" t="s">
        <v>7598</v>
      </c>
      <c r="B833" s="2" t="s">
        <v>228</v>
      </c>
    </row>
    <row r="834" spans="1:2">
      <c r="A834" s="2" t="s">
        <v>7599</v>
      </c>
      <c r="B834" s="2" t="s">
        <v>228</v>
      </c>
    </row>
    <row r="835" spans="1:2">
      <c r="A835" s="2" t="s">
        <v>7600</v>
      </c>
      <c r="B835" s="2" t="s">
        <v>228</v>
      </c>
    </row>
    <row r="836" spans="1:2">
      <c r="A836" s="2" t="s">
        <v>7601</v>
      </c>
      <c r="B836" s="2" t="s">
        <v>228</v>
      </c>
    </row>
    <row r="837" spans="1:2">
      <c r="A837" s="2" t="s">
        <v>7602</v>
      </c>
      <c r="B837" s="2" t="s">
        <v>228</v>
      </c>
    </row>
    <row r="838" spans="1:2">
      <c r="A838" s="2" t="s">
        <v>7603</v>
      </c>
      <c r="B838" s="2" t="s">
        <v>228</v>
      </c>
    </row>
    <row r="839" spans="1:2">
      <c r="A839" s="2" t="s">
        <v>7604</v>
      </c>
      <c r="B839" s="2" t="s">
        <v>228</v>
      </c>
    </row>
    <row r="840" spans="1:2">
      <c r="A840" s="2" t="s">
        <v>7605</v>
      </c>
      <c r="B840" s="2" t="s">
        <v>228</v>
      </c>
    </row>
    <row r="841" spans="1:2">
      <c r="A841" s="2" t="s">
        <v>7606</v>
      </c>
      <c r="B841" s="2" t="s">
        <v>228</v>
      </c>
    </row>
    <row r="842" spans="1:2">
      <c r="A842" s="2" t="s">
        <v>7607</v>
      </c>
      <c r="B842" s="2" t="s">
        <v>228</v>
      </c>
    </row>
    <row r="843" spans="1:2">
      <c r="A843" s="2" t="s">
        <v>7608</v>
      </c>
      <c r="B843" s="2" t="s">
        <v>228</v>
      </c>
    </row>
    <row r="844" spans="1:2">
      <c r="A844" s="2" t="s">
        <v>7609</v>
      </c>
      <c r="B844" s="2" t="s">
        <v>228</v>
      </c>
    </row>
    <row r="845" spans="1:2">
      <c r="A845" s="2" t="s">
        <v>7610</v>
      </c>
      <c r="B845" s="2" t="s">
        <v>228</v>
      </c>
    </row>
    <row r="846" spans="1:2">
      <c r="A846" s="2" t="s">
        <v>7611</v>
      </c>
      <c r="B846" s="2" t="s">
        <v>228</v>
      </c>
    </row>
    <row r="847" spans="1:2">
      <c r="A847" s="2" t="s">
        <v>7612</v>
      </c>
      <c r="B847" s="2" t="s">
        <v>228</v>
      </c>
    </row>
    <row r="848" spans="1:2">
      <c r="A848" s="2" t="s">
        <v>7613</v>
      </c>
      <c r="B848" s="2" t="s">
        <v>228</v>
      </c>
    </row>
    <row r="849" spans="1:2">
      <c r="A849" s="2" t="s">
        <v>7614</v>
      </c>
      <c r="B849" s="2" t="s">
        <v>228</v>
      </c>
    </row>
    <row r="850" spans="1:2">
      <c r="A850" s="2" t="s">
        <v>7615</v>
      </c>
      <c r="B850" s="2" t="s">
        <v>228</v>
      </c>
    </row>
    <row r="851" spans="1:2">
      <c r="A851" s="2" t="s">
        <v>7616</v>
      </c>
      <c r="B851" s="2" t="s">
        <v>228</v>
      </c>
    </row>
    <row r="852" spans="1:2">
      <c r="A852" s="2" t="s">
        <v>7617</v>
      </c>
      <c r="B852" s="2" t="s">
        <v>228</v>
      </c>
    </row>
    <row r="853" spans="1:2">
      <c r="A853" s="2" t="s">
        <v>5958</v>
      </c>
      <c r="B853" s="2" t="s">
        <v>228</v>
      </c>
    </row>
    <row r="854" spans="1:2">
      <c r="A854" s="2" t="s">
        <v>7618</v>
      </c>
      <c r="B854" s="2" t="s">
        <v>228</v>
      </c>
    </row>
    <row r="855" spans="1:2">
      <c r="A855" s="2" t="s">
        <v>7619</v>
      </c>
      <c r="B855" s="2" t="s">
        <v>228</v>
      </c>
    </row>
    <row r="856" spans="1:2">
      <c r="A856" s="2" t="s">
        <v>7620</v>
      </c>
      <c r="B856" s="2" t="s">
        <v>228</v>
      </c>
    </row>
    <row r="857" spans="1:2">
      <c r="A857" s="2" t="s">
        <v>7621</v>
      </c>
      <c r="B857" s="2" t="s">
        <v>228</v>
      </c>
    </row>
    <row r="858" spans="1:2">
      <c r="A858" s="2" t="s">
        <v>7622</v>
      </c>
      <c r="B858" s="2" t="s">
        <v>228</v>
      </c>
    </row>
    <row r="859" spans="1:2">
      <c r="A859" s="2" t="s">
        <v>7623</v>
      </c>
      <c r="B859" s="2" t="s">
        <v>228</v>
      </c>
    </row>
    <row r="860" spans="1:2">
      <c r="A860" s="2" t="s">
        <v>7624</v>
      </c>
      <c r="B860" s="2" t="s">
        <v>228</v>
      </c>
    </row>
    <row r="861" spans="1:2">
      <c r="A861" s="2" t="s">
        <v>7625</v>
      </c>
      <c r="B861" s="2" t="s">
        <v>228</v>
      </c>
    </row>
    <row r="862" spans="1:2">
      <c r="A862" s="2" t="s">
        <v>7626</v>
      </c>
      <c r="B862" s="2" t="s">
        <v>228</v>
      </c>
    </row>
    <row r="863" spans="1:2">
      <c r="A863" s="2" t="s">
        <v>7627</v>
      </c>
      <c r="B863" s="2" t="s">
        <v>228</v>
      </c>
    </row>
    <row r="864" spans="1:2">
      <c r="A864" s="2" t="s">
        <v>7628</v>
      </c>
      <c r="B864" s="2" t="s">
        <v>228</v>
      </c>
    </row>
    <row r="865" spans="1:2">
      <c r="A865" s="2" t="s">
        <v>7629</v>
      </c>
      <c r="B865" s="2" t="s">
        <v>228</v>
      </c>
    </row>
    <row r="866" spans="1:2">
      <c r="A866" s="2" t="s">
        <v>4751</v>
      </c>
      <c r="B866" s="2" t="s">
        <v>228</v>
      </c>
    </row>
    <row r="867" spans="1:2">
      <c r="A867" s="2" t="s">
        <v>4753</v>
      </c>
      <c r="B867" s="2" t="s">
        <v>228</v>
      </c>
    </row>
    <row r="868" spans="1:2">
      <c r="A868" s="2" t="s">
        <v>4754</v>
      </c>
      <c r="B868" s="2" t="s">
        <v>228</v>
      </c>
    </row>
    <row r="869" spans="1:2">
      <c r="A869" s="2" t="s">
        <v>7630</v>
      </c>
      <c r="B869" s="2" t="s">
        <v>228</v>
      </c>
    </row>
    <row r="870" spans="1:2">
      <c r="A870" s="2" t="s">
        <v>7631</v>
      </c>
      <c r="B870" s="2" t="s">
        <v>228</v>
      </c>
    </row>
    <row r="871" spans="1:2">
      <c r="A871" s="2" t="s">
        <v>7632</v>
      </c>
      <c r="B871" s="2" t="s">
        <v>228</v>
      </c>
    </row>
    <row r="872" spans="1:2">
      <c r="A872" s="2" t="s">
        <v>7633</v>
      </c>
      <c r="B872" s="2" t="s">
        <v>228</v>
      </c>
    </row>
    <row r="873" spans="1:2">
      <c r="A873" s="2" t="s">
        <v>7634</v>
      </c>
      <c r="B873" s="2" t="s">
        <v>228</v>
      </c>
    </row>
    <row r="874" spans="1:2">
      <c r="A874" s="2" t="s">
        <v>7635</v>
      </c>
      <c r="B874" s="2" t="s">
        <v>228</v>
      </c>
    </row>
    <row r="875" spans="1:2">
      <c r="A875" s="2" t="s">
        <v>7636</v>
      </c>
      <c r="B875" s="2" t="s">
        <v>228</v>
      </c>
    </row>
    <row r="876" spans="1:2">
      <c r="A876" s="2" t="s">
        <v>7637</v>
      </c>
      <c r="B876" s="2" t="s">
        <v>228</v>
      </c>
    </row>
    <row r="877" spans="1:2">
      <c r="A877" s="2" t="s">
        <v>7638</v>
      </c>
      <c r="B877" s="2" t="s">
        <v>228</v>
      </c>
    </row>
    <row r="878" spans="1:2">
      <c r="A878" s="2" t="s">
        <v>7639</v>
      </c>
      <c r="B878" s="2" t="s">
        <v>228</v>
      </c>
    </row>
    <row r="879" spans="1:2">
      <c r="A879" s="2" t="s">
        <v>7640</v>
      </c>
      <c r="B879" s="2" t="s">
        <v>228</v>
      </c>
    </row>
    <row r="880" spans="1:2">
      <c r="A880" s="2" t="s">
        <v>7641</v>
      </c>
      <c r="B880" s="2" t="s">
        <v>228</v>
      </c>
    </row>
    <row r="881" spans="1:2">
      <c r="A881" s="2" t="s">
        <v>7642</v>
      </c>
      <c r="B881" s="2" t="s">
        <v>228</v>
      </c>
    </row>
    <row r="882" spans="1:2">
      <c r="A882" s="2" t="s">
        <v>7643</v>
      </c>
      <c r="B882" s="2" t="s">
        <v>228</v>
      </c>
    </row>
    <row r="883" spans="1:2">
      <c r="A883" s="2" t="s">
        <v>7644</v>
      </c>
      <c r="B883" s="2" t="s">
        <v>228</v>
      </c>
    </row>
    <row r="884" spans="1:2">
      <c r="A884" s="2" t="s">
        <v>7645</v>
      </c>
      <c r="B884" s="2" t="s">
        <v>228</v>
      </c>
    </row>
    <row r="885" spans="1:2">
      <c r="A885" s="2" t="s">
        <v>7646</v>
      </c>
      <c r="B885" s="2" t="s">
        <v>228</v>
      </c>
    </row>
    <row r="886" spans="1:2">
      <c r="A886" s="2" t="s">
        <v>7647</v>
      </c>
      <c r="B886" s="2" t="s">
        <v>228</v>
      </c>
    </row>
    <row r="887" spans="1:2">
      <c r="A887" s="2" t="s">
        <v>7648</v>
      </c>
      <c r="B887" s="2" t="s">
        <v>228</v>
      </c>
    </row>
    <row r="888" spans="1:2">
      <c r="A888" s="2" t="s">
        <v>7649</v>
      </c>
      <c r="B888" s="2" t="s">
        <v>228</v>
      </c>
    </row>
    <row r="889" spans="1:2">
      <c r="A889" s="2" t="s">
        <v>7650</v>
      </c>
      <c r="B889" s="2" t="s">
        <v>228</v>
      </c>
    </row>
    <row r="890" spans="1:2">
      <c r="A890" s="2" t="s">
        <v>7651</v>
      </c>
      <c r="B890" s="2" t="s">
        <v>228</v>
      </c>
    </row>
    <row r="891" spans="1:2">
      <c r="A891" s="2" t="s">
        <v>7652</v>
      </c>
      <c r="B891" s="2" t="s">
        <v>228</v>
      </c>
    </row>
    <row r="892" spans="1:2">
      <c r="A892" s="2" t="s">
        <v>7653</v>
      </c>
      <c r="B892" s="2" t="s">
        <v>228</v>
      </c>
    </row>
    <row r="893" spans="1:2">
      <c r="A893" s="2" t="s">
        <v>7654</v>
      </c>
      <c r="B893" s="2" t="s">
        <v>228</v>
      </c>
    </row>
    <row r="894" spans="1:2">
      <c r="A894" s="2" t="s">
        <v>7655</v>
      </c>
      <c r="B894" s="2" t="s">
        <v>228</v>
      </c>
    </row>
    <row r="895" spans="1:2">
      <c r="A895" s="2" t="s">
        <v>7656</v>
      </c>
      <c r="B895" s="2" t="s">
        <v>228</v>
      </c>
    </row>
    <row r="896" spans="1:2">
      <c r="A896" s="2" t="s">
        <v>7657</v>
      </c>
      <c r="B896" s="2" t="s">
        <v>228</v>
      </c>
    </row>
    <row r="897" spans="1:2">
      <c r="A897" s="2" t="s">
        <v>7658</v>
      </c>
      <c r="B897" s="2" t="s">
        <v>228</v>
      </c>
    </row>
    <row r="898" spans="1:2">
      <c r="A898" s="2" t="s">
        <v>7659</v>
      </c>
      <c r="B898" s="2" t="s">
        <v>228</v>
      </c>
    </row>
    <row r="899" spans="1:2">
      <c r="A899" s="2" t="s">
        <v>7660</v>
      </c>
      <c r="B899" s="2" t="s">
        <v>228</v>
      </c>
    </row>
    <row r="900" spans="1:2">
      <c r="A900" s="2" t="s">
        <v>7661</v>
      </c>
      <c r="B900" s="2" t="s">
        <v>228</v>
      </c>
    </row>
    <row r="901" spans="1:2">
      <c r="A901" s="2" t="s">
        <v>7662</v>
      </c>
      <c r="B901" s="2" t="s">
        <v>228</v>
      </c>
    </row>
    <row r="902" spans="1:2">
      <c r="A902" s="2" t="s">
        <v>7663</v>
      </c>
      <c r="B902" s="2" t="s">
        <v>228</v>
      </c>
    </row>
    <row r="903" spans="1:2">
      <c r="A903" s="2" t="s">
        <v>7664</v>
      </c>
      <c r="B903" s="2" t="s">
        <v>228</v>
      </c>
    </row>
    <row r="904" spans="1:2">
      <c r="A904" s="2" t="s">
        <v>7665</v>
      </c>
      <c r="B904" s="2" t="s">
        <v>228</v>
      </c>
    </row>
    <row r="905" spans="1:2">
      <c r="A905" s="2" t="s">
        <v>7666</v>
      </c>
      <c r="B905" s="2" t="s">
        <v>228</v>
      </c>
    </row>
    <row r="906" spans="1:2">
      <c r="A906" s="2" t="s">
        <v>7667</v>
      </c>
      <c r="B906" s="2" t="s">
        <v>228</v>
      </c>
    </row>
    <row r="907" spans="1:2">
      <c r="A907" s="2" t="s">
        <v>7668</v>
      </c>
      <c r="B907" s="2" t="s">
        <v>228</v>
      </c>
    </row>
    <row r="908" spans="1:2">
      <c r="A908" s="2" t="s">
        <v>7669</v>
      </c>
      <c r="B908" s="2" t="s">
        <v>228</v>
      </c>
    </row>
    <row r="909" spans="1:2">
      <c r="A909" s="2" t="s">
        <v>7670</v>
      </c>
      <c r="B909" s="2" t="s">
        <v>228</v>
      </c>
    </row>
    <row r="910" spans="1:2">
      <c r="A910" s="2" t="s">
        <v>7671</v>
      </c>
      <c r="B910" s="2" t="s">
        <v>228</v>
      </c>
    </row>
    <row r="911" spans="1:2">
      <c r="A911" s="2" t="s">
        <v>7672</v>
      </c>
      <c r="B911" s="2" t="s">
        <v>228</v>
      </c>
    </row>
    <row r="912" spans="1:2">
      <c r="A912" s="2" t="s">
        <v>7673</v>
      </c>
      <c r="B912" s="2" t="s">
        <v>228</v>
      </c>
    </row>
    <row r="913" spans="1:2">
      <c r="A913" s="2" t="s">
        <v>7674</v>
      </c>
      <c r="B913" s="2" t="s">
        <v>228</v>
      </c>
    </row>
    <row r="914" spans="1:2">
      <c r="A914" s="2" t="s">
        <v>7675</v>
      </c>
      <c r="B914" s="2" t="s">
        <v>228</v>
      </c>
    </row>
    <row r="915" spans="1:2">
      <c r="A915" s="2" t="s">
        <v>7676</v>
      </c>
      <c r="B915" s="2" t="s">
        <v>228</v>
      </c>
    </row>
    <row r="916" spans="1:2">
      <c r="A916" s="2" t="s">
        <v>7677</v>
      </c>
      <c r="B916" s="2" t="s">
        <v>228</v>
      </c>
    </row>
    <row r="917" spans="1:2">
      <c r="A917" s="2" t="s">
        <v>7678</v>
      </c>
      <c r="B917" s="2" t="s">
        <v>228</v>
      </c>
    </row>
    <row r="918" spans="1:2">
      <c r="A918" s="2" t="s">
        <v>7679</v>
      </c>
      <c r="B918" s="2" t="s">
        <v>228</v>
      </c>
    </row>
    <row r="919" spans="1:2">
      <c r="A919" s="2" t="s">
        <v>7680</v>
      </c>
      <c r="B919" s="2" t="s">
        <v>228</v>
      </c>
    </row>
    <row r="920" spans="1:2">
      <c r="A920" s="2" t="s">
        <v>7681</v>
      </c>
      <c r="B920" s="2" t="s">
        <v>228</v>
      </c>
    </row>
    <row r="921" spans="1:2">
      <c r="A921" s="2" t="s">
        <v>7682</v>
      </c>
      <c r="B921" s="2" t="s">
        <v>228</v>
      </c>
    </row>
    <row r="922" spans="1:2">
      <c r="A922" s="2" t="s">
        <v>7683</v>
      </c>
      <c r="B922" s="2" t="s">
        <v>228</v>
      </c>
    </row>
    <row r="923" spans="1:2">
      <c r="A923" s="2" t="s">
        <v>7684</v>
      </c>
      <c r="B923" s="2" t="s">
        <v>228</v>
      </c>
    </row>
    <row r="924" spans="1:2">
      <c r="A924" s="2" t="s">
        <v>7685</v>
      </c>
      <c r="B924" s="2" t="s">
        <v>228</v>
      </c>
    </row>
    <row r="925" spans="1:2">
      <c r="A925" s="2" t="s">
        <v>7686</v>
      </c>
      <c r="B925" s="2" t="s">
        <v>228</v>
      </c>
    </row>
    <row r="926" spans="1:2">
      <c r="A926" s="2" t="s">
        <v>7687</v>
      </c>
      <c r="B926" s="2" t="s">
        <v>228</v>
      </c>
    </row>
    <row r="927" spans="1:2">
      <c r="A927" s="2" t="s">
        <v>7688</v>
      </c>
      <c r="B927" s="2" t="s">
        <v>228</v>
      </c>
    </row>
    <row r="928" spans="1:2">
      <c r="A928" s="2" t="s">
        <v>7689</v>
      </c>
      <c r="B928" s="2" t="s">
        <v>228</v>
      </c>
    </row>
    <row r="929" spans="1:2">
      <c r="A929" s="2" t="s">
        <v>7690</v>
      </c>
      <c r="B929" s="2" t="s">
        <v>228</v>
      </c>
    </row>
    <row r="930" spans="1:2">
      <c r="A930" s="2" t="s">
        <v>7691</v>
      </c>
      <c r="B930" s="2" t="s">
        <v>228</v>
      </c>
    </row>
    <row r="931" spans="1:2">
      <c r="A931" s="2" t="s">
        <v>7692</v>
      </c>
      <c r="B931" s="2" t="s">
        <v>228</v>
      </c>
    </row>
    <row r="932" spans="1:2">
      <c r="A932" s="2" t="s">
        <v>7693</v>
      </c>
      <c r="B932" s="2" t="s">
        <v>228</v>
      </c>
    </row>
    <row r="933" spans="1:2">
      <c r="A933" s="2" t="s">
        <v>7694</v>
      </c>
      <c r="B933" s="2" t="s">
        <v>228</v>
      </c>
    </row>
    <row r="934" spans="1:2">
      <c r="A934" s="2" t="s">
        <v>7695</v>
      </c>
      <c r="B934" s="2" t="s">
        <v>228</v>
      </c>
    </row>
    <row r="935" spans="1:2">
      <c r="A935" s="2" t="s">
        <v>7696</v>
      </c>
      <c r="B935" s="2" t="s">
        <v>228</v>
      </c>
    </row>
    <row r="936" spans="1:2">
      <c r="A936" s="2" t="s">
        <v>7697</v>
      </c>
      <c r="B936" s="2" t="s">
        <v>228</v>
      </c>
    </row>
    <row r="937" spans="1:2">
      <c r="A937" s="2" t="s">
        <v>7698</v>
      </c>
      <c r="B937" s="2" t="s">
        <v>228</v>
      </c>
    </row>
    <row r="938" spans="1:2">
      <c r="A938" s="2" t="s">
        <v>7699</v>
      </c>
      <c r="B938" s="2" t="s">
        <v>228</v>
      </c>
    </row>
    <row r="939" spans="1:2">
      <c r="A939" s="2" t="s">
        <v>7700</v>
      </c>
      <c r="B939" s="2" t="s">
        <v>228</v>
      </c>
    </row>
    <row r="940" spans="1:2">
      <c r="A940" s="2" t="s">
        <v>7701</v>
      </c>
      <c r="B940" s="2" t="s">
        <v>228</v>
      </c>
    </row>
    <row r="941" spans="1:2">
      <c r="A941" s="2" t="s">
        <v>7702</v>
      </c>
      <c r="B941" s="2" t="s">
        <v>228</v>
      </c>
    </row>
    <row r="942" spans="1:2">
      <c r="A942" s="2" t="s">
        <v>7703</v>
      </c>
      <c r="B942" s="2" t="s">
        <v>228</v>
      </c>
    </row>
    <row r="943" spans="1:2">
      <c r="A943" s="2" t="s">
        <v>7704</v>
      </c>
      <c r="B943" s="2" t="s">
        <v>228</v>
      </c>
    </row>
    <row r="944" spans="1:2">
      <c r="A944" s="2" t="s">
        <v>7705</v>
      </c>
      <c r="B944" s="2" t="s">
        <v>228</v>
      </c>
    </row>
    <row r="945" spans="1:2">
      <c r="A945" s="2" t="s">
        <v>7706</v>
      </c>
      <c r="B945" s="2" t="s">
        <v>228</v>
      </c>
    </row>
    <row r="946" spans="1:2">
      <c r="A946" s="2" t="s">
        <v>4875</v>
      </c>
      <c r="B946" s="2" t="s">
        <v>228</v>
      </c>
    </row>
    <row r="947" spans="1:2">
      <c r="A947" s="2" t="s">
        <v>4876</v>
      </c>
      <c r="B947" s="2" t="s">
        <v>228</v>
      </c>
    </row>
    <row r="948" spans="1:2">
      <c r="A948" s="2" t="s">
        <v>4890</v>
      </c>
      <c r="B948" s="2" t="s">
        <v>228</v>
      </c>
    </row>
    <row r="949" spans="1:2">
      <c r="A949" s="2" t="s">
        <v>4891</v>
      </c>
      <c r="B949" s="2" t="s">
        <v>228</v>
      </c>
    </row>
    <row r="950" spans="1:2">
      <c r="A950" s="2" t="s">
        <v>4892</v>
      </c>
      <c r="B950" s="2" t="s">
        <v>228</v>
      </c>
    </row>
    <row r="951" spans="1:2">
      <c r="A951" s="2" t="s">
        <v>4893</v>
      </c>
      <c r="B951" s="2" t="s">
        <v>228</v>
      </c>
    </row>
    <row r="952" spans="1:2">
      <c r="A952" s="2" t="s">
        <v>4894</v>
      </c>
      <c r="B952" s="2" t="s">
        <v>228</v>
      </c>
    </row>
    <row r="953" spans="1:2">
      <c r="A953" s="2" t="s">
        <v>4895</v>
      </c>
      <c r="B953" s="2" t="s">
        <v>228</v>
      </c>
    </row>
    <row r="954" spans="1:2">
      <c r="A954" s="2" t="s">
        <v>4896</v>
      </c>
      <c r="B954" s="2" t="s">
        <v>228</v>
      </c>
    </row>
    <row r="955" spans="1:2">
      <c r="A955" s="2" t="s">
        <v>4897</v>
      </c>
      <c r="B955" s="2" t="s">
        <v>228</v>
      </c>
    </row>
    <row r="956" spans="1:2">
      <c r="A956" s="2" t="s">
        <v>4898</v>
      </c>
      <c r="B956" s="2" t="s">
        <v>228</v>
      </c>
    </row>
    <row r="957" spans="1:2">
      <c r="A957" s="2" t="s">
        <v>4899</v>
      </c>
      <c r="B957" s="2" t="s">
        <v>228</v>
      </c>
    </row>
    <row r="958" spans="1:2">
      <c r="A958" s="2" t="s">
        <v>4900</v>
      </c>
      <c r="B958" s="2" t="s">
        <v>228</v>
      </c>
    </row>
    <row r="959" spans="1:2">
      <c r="A959" s="2" t="s">
        <v>4901</v>
      </c>
      <c r="B959" s="2" t="s">
        <v>228</v>
      </c>
    </row>
    <row r="960" spans="1:2">
      <c r="A960" s="2" t="s">
        <v>4902</v>
      </c>
      <c r="B960" s="2" t="s">
        <v>228</v>
      </c>
    </row>
    <row r="961" spans="1:2">
      <c r="A961" s="2" t="s">
        <v>4903</v>
      </c>
      <c r="B961" s="2" t="s">
        <v>228</v>
      </c>
    </row>
    <row r="962" spans="1:2">
      <c r="A962" s="2" t="s">
        <v>4904</v>
      </c>
      <c r="B962" s="2" t="s">
        <v>228</v>
      </c>
    </row>
    <row r="963" spans="1:2">
      <c r="A963" s="2" t="s">
        <v>4905</v>
      </c>
      <c r="B963" s="2" t="s">
        <v>228</v>
      </c>
    </row>
    <row r="964" spans="1:2">
      <c r="A964" s="2" t="s">
        <v>4906</v>
      </c>
      <c r="B964" s="2" t="s">
        <v>228</v>
      </c>
    </row>
    <row r="965" spans="1:2">
      <c r="A965" s="2" t="s">
        <v>4907</v>
      </c>
      <c r="B965" s="2" t="s">
        <v>228</v>
      </c>
    </row>
    <row r="966" spans="1:2">
      <c r="A966" s="2" t="s">
        <v>4908</v>
      </c>
      <c r="B966" s="2" t="s">
        <v>228</v>
      </c>
    </row>
    <row r="967" spans="1:2">
      <c r="A967" s="2" t="s">
        <v>4909</v>
      </c>
      <c r="B967" s="2" t="s">
        <v>228</v>
      </c>
    </row>
    <row r="968" spans="1:2">
      <c r="A968" s="2" t="s">
        <v>4910</v>
      </c>
      <c r="B968" s="2" t="s">
        <v>228</v>
      </c>
    </row>
    <row r="969" spans="1:2">
      <c r="A969" s="2" t="s">
        <v>4911</v>
      </c>
      <c r="B969" s="2" t="s">
        <v>228</v>
      </c>
    </row>
    <row r="970" spans="1:2">
      <c r="A970" s="2" t="s">
        <v>4912</v>
      </c>
      <c r="B970" s="2" t="s">
        <v>228</v>
      </c>
    </row>
    <row r="971" spans="1:2">
      <c r="A971" s="2" t="s">
        <v>4913</v>
      </c>
      <c r="B971" s="2" t="s">
        <v>228</v>
      </c>
    </row>
    <row r="972" spans="1:2">
      <c r="A972" s="2" t="s">
        <v>4914</v>
      </c>
      <c r="B972" s="2" t="s">
        <v>228</v>
      </c>
    </row>
    <row r="973" spans="1:2">
      <c r="A973" s="2" t="s">
        <v>4915</v>
      </c>
      <c r="B973" s="2" t="s">
        <v>228</v>
      </c>
    </row>
    <row r="974" spans="1:2">
      <c r="A974" s="2" t="s">
        <v>4916</v>
      </c>
      <c r="B974" s="2" t="s">
        <v>228</v>
      </c>
    </row>
    <row r="975" spans="1:2">
      <c r="A975" s="2" t="s">
        <v>4917</v>
      </c>
      <c r="B975" s="2" t="s">
        <v>228</v>
      </c>
    </row>
    <row r="976" spans="1:2">
      <c r="A976" s="2" t="s">
        <v>4918</v>
      </c>
      <c r="B976" s="2" t="s">
        <v>228</v>
      </c>
    </row>
    <row r="977" spans="1:2">
      <c r="A977" s="2" t="s">
        <v>4919</v>
      </c>
      <c r="B977" s="2" t="s">
        <v>228</v>
      </c>
    </row>
    <row r="978" spans="1:2">
      <c r="A978" s="2" t="s">
        <v>4920</v>
      </c>
      <c r="B978" s="2" t="s">
        <v>228</v>
      </c>
    </row>
    <row r="979" spans="1:2">
      <c r="A979" s="2" t="s">
        <v>4921</v>
      </c>
      <c r="B979" s="2" t="s">
        <v>228</v>
      </c>
    </row>
    <row r="980" spans="1:2">
      <c r="A980" s="2" t="s">
        <v>4922</v>
      </c>
      <c r="B980" s="2" t="s">
        <v>228</v>
      </c>
    </row>
    <row r="981" spans="1:2">
      <c r="A981" s="2" t="s">
        <v>4923</v>
      </c>
      <c r="B981" s="2" t="s">
        <v>228</v>
      </c>
    </row>
    <row r="982" spans="1:2">
      <c r="A982" s="2" t="s">
        <v>4924</v>
      </c>
      <c r="B982" s="2" t="s">
        <v>228</v>
      </c>
    </row>
    <row r="983" spans="1:2">
      <c r="A983" s="2" t="s">
        <v>4925</v>
      </c>
      <c r="B983" s="2" t="s">
        <v>228</v>
      </c>
    </row>
    <row r="984" spans="1:2">
      <c r="A984" s="2" t="s">
        <v>4926</v>
      </c>
      <c r="B984" s="2" t="s">
        <v>228</v>
      </c>
    </row>
    <row r="985" spans="1:2">
      <c r="A985" s="2" t="s">
        <v>4927</v>
      </c>
      <c r="B985" s="2" t="s">
        <v>228</v>
      </c>
    </row>
    <row r="986" spans="1:2">
      <c r="A986" s="2" t="s">
        <v>4928</v>
      </c>
      <c r="B986" s="2" t="s">
        <v>228</v>
      </c>
    </row>
    <row r="987" spans="1:2">
      <c r="A987" s="2" t="s">
        <v>4929</v>
      </c>
      <c r="B987" s="2" t="s">
        <v>228</v>
      </c>
    </row>
    <row r="988" spans="1:2">
      <c r="A988" s="2" t="s">
        <v>4930</v>
      </c>
      <c r="B988" s="2" t="s">
        <v>228</v>
      </c>
    </row>
    <row r="989" spans="1:2">
      <c r="A989" s="2" t="s">
        <v>4931</v>
      </c>
      <c r="B989" s="2" t="s">
        <v>228</v>
      </c>
    </row>
    <row r="990" spans="1:2">
      <c r="A990" s="2" t="s">
        <v>7707</v>
      </c>
      <c r="B990" s="2" t="s">
        <v>228</v>
      </c>
    </row>
    <row r="991" spans="1:2">
      <c r="A991" s="2" t="s">
        <v>7708</v>
      </c>
      <c r="B991" s="2" t="s">
        <v>228</v>
      </c>
    </row>
    <row r="992" spans="1:2">
      <c r="A992" s="2" t="s">
        <v>7709</v>
      </c>
      <c r="B992" s="2" t="s">
        <v>228</v>
      </c>
    </row>
    <row r="993" spans="1:2">
      <c r="A993" s="2" t="s">
        <v>7710</v>
      </c>
      <c r="B993" s="2" t="s">
        <v>228</v>
      </c>
    </row>
    <row r="994" spans="1:2">
      <c r="A994" s="2" t="s">
        <v>7711</v>
      </c>
      <c r="B994" s="2" t="s">
        <v>228</v>
      </c>
    </row>
    <row r="995" spans="1:2">
      <c r="A995" s="2" t="s">
        <v>7712</v>
      </c>
      <c r="B995" s="2" t="s">
        <v>228</v>
      </c>
    </row>
    <row r="996" spans="1:2">
      <c r="A996" s="2" t="s">
        <v>6215</v>
      </c>
      <c r="B996" s="2" t="s">
        <v>228</v>
      </c>
    </row>
    <row r="997" spans="1:2">
      <c r="A997" s="2" t="s">
        <v>4150</v>
      </c>
      <c r="B997" s="2" t="s">
        <v>785</v>
      </c>
    </row>
    <row r="998" spans="1:2">
      <c r="A998" s="2" t="s">
        <v>4152</v>
      </c>
      <c r="B998" s="2" t="s">
        <v>785</v>
      </c>
    </row>
    <row r="999" spans="1:2">
      <c r="A999" s="2" t="s">
        <v>4153</v>
      </c>
      <c r="B999" s="2" t="s">
        <v>785</v>
      </c>
    </row>
    <row r="1000" spans="1:2">
      <c r="A1000" s="2" t="s">
        <v>4154</v>
      </c>
      <c r="B1000" s="2" t="s">
        <v>785</v>
      </c>
    </row>
    <row r="1001" spans="1:2">
      <c r="A1001" s="2" t="s">
        <v>4155</v>
      </c>
      <c r="B1001" s="2" t="s">
        <v>785</v>
      </c>
    </row>
    <row r="1002" spans="1:2">
      <c r="A1002" s="2" t="s">
        <v>4156</v>
      </c>
      <c r="B1002" s="2" t="s">
        <v>785</v>
      </c>
    </row>
    <row r="1003" spans="1:2">
      <c r="A1003" s="2" t="s">
        <v>4157</v>
      </c>
      <c r="B1003" s="2" t="s">
        <v>785</v>
      </c>
    </row>
    <row r="1004" spans="1:2">
      <c r="A1004" s="2" t="s">
        <v>4158</v>
      </c>
      <c r="B1004" s="2" t="s">
        <v>785</v>
      </c>
    </row>
    <row r="1005" spans="1:2">
      <c r="A1005" s="2" t="s">
        <v>4159</v>
      </c>
      <c r="B1005" s="2" t="s">
        <v>785</v>
      </c>
    </row>
    <row r="1006" spans="1:2">
      <c r="A1006" s="2" t="s">
        <v>4160</v>
      </c>
      <c r="B1006" s="2" t="s">
        <v>785</v>
      </c>
    </row>
    <row r="1007" spans="1:2">
      <c r="A1007" s="2" t="s">
        <v>4161</v>
      </c>
      <c r="B1007" s="2" t="s">
        <v>785</v>
      </c>
    </row>
    <row r="1008" spans="1:2">
      <c r="A1008" s="2" t="s">
        <v>4162</v>
      </c>
      <c r="B1008" s="2" t="s">
        <v>785</v>
      </c>
    </row>
    <row r="1009" spans="1:2">
      <c r="A1009" s="2" t="s">
        <v>4163</v>
      </c>
      <c r="B1009" s="2" t="s">
        <v>785</v>
      </c>
    </row>
    <row r="1010" spans="1:2">
      <c r="A1010" s="2" t="s">
        <v>7713</v>
      </c>
      <c r="B1010" s="2" t="s">
        <v>785</v>
      </c>
    </row>
    <row r="1011" spans="1:2">
      <c r="A1011" s="2" t="s">
        <v>7714</v>
      </c>
      <c r="B1011" s="2" t="s">
        <v>785</v>
      </c>
    </row>
    <row r="1012" spans="1:2">
      <c r="A1012" s="2" t="s">
        <v>7715</v>
      </c>
      <c r="B1012" s="2" t="s">
        <v>785</v>
      </c>
    </row>
    <row r="1013" spans="1:2">
      <c r="A1013" s="2" t="s">
        <v>7716</v>
      </c>
      <c r="B1013" s="2" t="s">
        <v>785</v>
      </c>
    </row>
    <row r="1014" spans="1:2">
      <c r="A1014" s="2" t="s">
        <v>7717</v>
      </c>
      <c r="B1014" s="2" t="s">
        <v>785</v>
      </c>
    </row>
    <row r="1015" spans="1:2">
      <c r="A1015" s="2" t="s">
        <v>7718</v>
      </c>
      <c r="B1015" s="2" t="s">
        <v>785</v>
      </c>
    </row>
    <row r="1016" spans="1:2">
      <c r="A1016" s="2" t="s">
        <v>5431</v>
      </c>
      <c r="B1016" s="2" t="s">
        <v>785</v>
      </c>
    </row>
    <row r="1017" spans="1:2">
      <c r="A1017" s="2" t="s">
        <v>4482</v>
      </c>
      <c r="B1017" s="2" t="s">
        <v>785</v>
      </c>
    </row>
    <row r="1018" spans="1:2">
      <c r="A1018" s="2" t="s">
        <v>7719</v>
      </c>
      <c r="B1018" s="2" t="s">
        <v>785</v>
      </c>
    </row>
    <row r="1019" spans="1:2">
      <c r="A1019" s="2" t="s">
        <v>7720</v>
      </c>
      <c r="B1019" s="2" t="s">
        <v>785</v>
      </c>
    </row>
    <row r="1020" spans="1:2">
      <c r="A1020" s="2" t="s">
        <v>7721</v>
      </c>
      <c r="B1020" s="2" t="s">
        <v>785</v>
      </c>
    </row>
    <row r="1021" spans="1:2">
      <c r="A1021" s="2" t="s">
        <v>1332</v>
      </c>
      <c r="B1021" s="2" t="s">
        <v>785</v>
      </c>
    </row>
    <row r="1022" spans="1:2">
      <c r="A1022" s="2" t="s">
        <v>6606</v>
      </c>
      <c r="B1022" s="2" t="s">
        <v>785</v>
      </c>
    </row>
    <row r="1023" spans="1:2">
      <c r="A1023" s="2" t="s">
        <v>4525</v>
      </c>
      <c r="B1023" s="2" t="s">
        <v>785</v>
      </c>
    </row>
    <row r="1024" spans="1:2">
      <c r="A1024" s="2" t="s">
        <v>7722</v>
      </c>
      <c r="B1024" s="2" t="s">
        <v>785</v>
      </c>
    </row>
    <row r="1025" spans="1:2">
      <c r="A1025" s="2" t="s">
        <v>1586</v>
      </c>
      <c r="B1025" s="2" t="s">
        <v>785</v>
      </c>
    </row>
    <row r="1026" spans="1:2">
      <c r="A1026" s="2" t="s">
        <v>7723</v>
      </c>
      <c r="B1026" s="2" t="s">
        <v>785</v>
      </c>
    </row>
    <row r="1027" spans="1:2">
      <c r="A1027" s="2" t="s">
        <v>7724</v>
      </c>
      <c r="B1027" s="2" t="s">
        <v>785</v>
      </c>
    </row>
    <row r="1028" spans="1:2">
      <c r="A1028" s="2" t="s">
        <v>7725</v>
      </c>
      <c r="B1028" s="2" t="s">
        <v>785</v>
      </c>
    </row>
    <row r="1029" spans="1:2">
      <c r="A1029" s="2" t="s">
        <v>7726</v>
      </c>
      <c r="B1029" s="2" t="s">
        <v>785</v>
      </c>
    </row>
    <row r="1030" spans="1:2">
      <c r="A1030" s="2" t="s">
        <v>5986</v>
      </c>
      <c r="B1030" s="2" t="s">
        <v>785</v>
      </c>
    </row>
    <row r="1031" spans="1:2">
      <c r="A1031" s="2" t="s">
        <v>4763</v>
      </c>
      <c r="B1031" s="2" t="s">
        <v>785</v>
      </c>
    </row>
    <row r="1032" spans="1:2">
      <c r="A1032" s="2" t="s">
        <v>4764</v>
      </c>
      <c r="B1032" s="2" t="s">
        <v>785</v>
      </c>
    </row>
    <row r="1033" spans="1:2">
      <c r="A1033" s="2" t="s">
        <v>4765</v>
      </c>
      <c r="B1033" s="2" t="s">
        <v>785</v>
      </c>
    </row>
    <row r="1034" spans="1:2">
      <c r="A1034" s="2" t="s">
        <v>4766</v>
      </c>
      <c r="B1034" s="2" t="s">
        <v>785</v>
      </c>
    </row>
    <row r="1035" spans="1:2">
      <c r="A1035" s="2" t="s">
        <v>7727</v>
      </c>
      <c r="B1035" s="2" t="s">
        <v>785</v>
      </c>
    </row>
    <row r="1036" spans="1:2">
      <c r="A1036" s="2" t="s">
        <v>7728</v>
      </c>
      <c r="B1036" s="2" t="s">
        <v>785</v>
      </c>
    </row>
    <row r="1037" spans="1:2">
      <c r="A1037" s="2" t="s">
        <v>7729</v>
      </c>
      <c r="B1037" s="2" t="s">
        <v>785</v>
      </c>
    </row>
    <row r="1038" spans="1:2">
      <c r="A1038" s="2" t="s">
        <v>7730</v>
      </c>
      <c r="B1038" s="2" t="s">
        <v>785</v>
      </c>
    </row>
    <row r="1039" spans="1:2">
      <c r="A1039" s="2" t="s">
        <v>4775</v>
      </c>
      <c r="B1039" s="2" t="s">
        <v>785</v>
      </c>
    </row>
    <row r="1040" spans="1:2">
      <c r="A1040" s="2" t="s">
        <v>4777</v>
      </c>
      <c r="B1040" s="2" t="s">
        <v>785</v>
      </c>
    </row>
    <row r="1041" spans="1:2">
      <c r="A1041" s="2" t="s">
        <v>4778</v>
      </c>
      <c r="B1041" s="2" t="s">
        <v>785</v>
      </c>
    </row>
    <row r="1042" spans="1:2">
      <c r="A1042" s="2" t="s">
        <v>4779</v>
      </c>
      <c r="B1042" s="2" t="s">
        <v>785</v>
      </c>
    </row>
    <row r="1043" spans="1:2">
      <c r="A1043" s="2" t="s">
        <v>4780</v>
      </c>
      <c r="B1043" s="2" t="s">
        <v>785</v>
      </c>
    </row>
    <row r="1044" spans="1:2">
      <c r="A1044" s="2" t="s">
        <v>4781</v>
      </c>
      <c r="B1044" s="2" t="s">
        <v>785</v>
      </c>
    </row>
    <row r="1045" spans="1:2">
      <c r="A1045" s="2" t="s">
        <v>4793</v>
      </c>
      <c r="B1045" s="2" t="s">
        <v>785</v>
      </c>
    </row>
    <row r="1046" spans="1:2">
      <c r="A1046" s="2" t="s">
        <v>4795</v>
      </c>
      <c r="B1046" s="2" t="s">
        <v>785</v>
      </c>
    </row>
    <row r="1047" spans="1:2">
      <c r="A1047" s="2" t="s">
        <v>4796</v>
      </c>
      <c r="B1047" s="2" t="s">
        <v>785</v>
      </c>
    </row>
    <row r="1048" spans="1:2">
      <c r="A1048" s="2" t="s">
        <v>4797</v>
      </c>
      <c r="B1048" s="2" t="s">
        <v>785</v>
      </c>
    </row>
    <row r="1049" spans="1:2">
      <c r="A1049" s="2" t="s">
        <v>4798</v>
      </c>
      <c r="B1049" s="2" t="s">
        <v>785</v>
      </c>
    </row>
    <row r="1050" spans="1:2">
      <c r="A1050" s="2" t="s">
        <v>4799</v>
      </c>
      <c r="B1050" s="2" t="s">
        <v>785</v>
      </c>
    </row>
    <row r="1051" spans="1:2">
      <c r="A1051" s="2" t="s">
        <v>4800</v>
      </c>
      <c r="B1051" s="2" t="s">
        <v>785</v>
      </c>
    </row>
    <row r="1052" spans="1:2">
      <c r="A1052" s="2" t="s">
        <v>4801</v>
      </c>
      <c r="B1052" s="2" t="s">
        <v>785</v>
      </c>
    </row>
    <row r="1053" spans="1:2">
      <c r="A1053" s="2" t="s">
        <v>4802</v>
      </c>
      <c r="B1053" s="2" t="s">
        <v>785</v>
      </c>
    </row>
    <row r="1054" spans="1:2">
      <c r="A1054" s="2" t="s">
        <v>4803</v>
      </c>
      <c r="B1054" s="2" t="s">
        <v>785</v>
      </c>
    </row>
    <row r="1055" spans="1:2">
      <c r="A1055" s="2" t="s">
        <v>4804</v>
      </c>
      <c r="B1055" s="2" t="s">
        <v>785</v>
      </c>
    </row>
    <row r="1056" spans="1:2">
      <c r="A1056" s="2" t="s">
        <v>4805</v>
      </c>
      <c r="B1056" s="2" t="s">
        <v>785</v>
      </c>
    </row>
    <row r="1057" spans="1:2">
      <c r="A1057" s="2" t="s">
        <v>4806</v>
      </c>
      <c r="B1057" s="2" t="s">
        <v>785</v>
      </c>
    </row>
    <row r="1058" spans="1:2">
      <c r="A1058" s="2" t="s">
        <v>7731</v>
      </c>
      <c r="B1058" s="2" t="s">
        <v>785</v>
      </c>
    </row>
    <row r="1059" spans="1:2">
      <c r="A1059" s="2" t="s">
        <v>7732</v>
      </c>
      <c r="B1059" s="2" t="s">
        <v>785</v>
      </c>
    </row>
    <row r="1060" spans="1:2">
      <c r="A1060" s="2" t="s">
        <v>7733</v>
      </c>
      <c r="B1060" s="2" t="s">
        <v>785</v>
      </c>
    </row>
    <row r="1061" spans="1:2">
      <c r="A1061" s="2" t="s">
        <v>7734</v>
      </c>
      <c r="B1061" s="2" t="s">
        <v>785</v>
      </c>
    </row>
    <row r="1062" spans="1:2">
      <c r="A1062" s="2" t="s">
        <v>7735</v>
      </c>
      <c r="B1062" s="2" t="s">
        <v>785</v>
      </c>
    </row>
    <row r="1063" spans="1:2">
      <c r="A1063" s="2" t="s">
        <v>7736</v>
      </c>
      <c r="B1063" s="2" t="s">
        <v>785</v>
      </c>
    </row>
    <row r="1064" spans="1:2">
      <c r="A1064" s="2" t="s">
        <v>7737</v>
      </c>
      <c r="B1064" s="2" t="s">
        <v>785</v>
      </c>
    </row>
    <row r="1065" spans="1:2">
      <c r="A1065" s="2" t="s">
        <v>7738</v>
      </c>
      <c r="B1065" s="2" t="s">
        <v>785</v>
      </c>
    </row>
    <row r="1066" spans="1:2">
      <c r="A1066" s="2" t="s">
        <v>7739</v>
      </c>
      <c r="B1066" s="2" t="s">
        <v>785</v>
      </c>
    </row>
    <row r="1067" spans="1:2">
      <c r="A1067" s="2" t="s">
        <v>7740</v>
      </c>
      <c r="B1067" s="2" t="s">
        <v>785</v>
      </c>
    </row>
    <row r="1068" spans="1:2">
      <c r="A1068" s="2" t="s">
        <v>7741</v>
      </c>
      <c r="B1068" s="2" t="s">
        <v>785</v>
      </c>
    </row>
    <row r="1069" spans="1:2">
      <c r="A1069" s="2" t="s">
        <v>7742</v>
      </c>
      <c r="B1069" s="2" t="s">
        <v>785</v>
      </c>
    </row>
    <row r="1070" spans="1:2">
      <c r="A1070" s="2" t="s">
        <v>7743</v>
      </c>
      <c r="B1070" s="2" t="s">
        <v>785</v>
      </c>
    </row>
    <row r="1071" spans="1:2">
      <c r="A1071" s="2" t="s">
        <v>6107</v>
      </c>
      <c r="B1071" s="2" t="s">
        <v>785</v>
      </c>
    </row>
    <row r="1072" spans="1:2">
      <c r="A1072" s="2" t="s">
        <v>4164</v>
      </c>
      <c r="B1072" s="2" t="s">
        <v>364</v>
      </c>
    </row>
    <row r="1073" spans="1:2">
      <c r="A1073" s="2" t="s">
        <v>5201</v>
      </c>
      <c r="B1073" s="2" t="s">
        <v>364</v>
      </c>
    </row>
    <row r="1074" spans="1:2">
      <c r="A1074" s="2" t="s">
        <v>5218</v>
      </c>
      <c r="B1074" s="2" t="s">
        <v>364</v>
      </c>
    </row>
    <row r="1075" spans="1:2">
      <c r="A1075" s="2" t="s">
        <v>4466</v>
      </c>
      <c r="B1075" s="2" t="s">
        <v>364</v>
      </c>
    </row>
    <row r="1076" spans="1:2">
      <c r="A1076" s="2" t="s">
        <v>7744</v>
      </c>
      <c r="B1076" s="2" t="s">
        <v>364</v>
      </c>
    </row>
    <row r="1077" spans="1:2">
      <c r="A1077" s="2" t="s">
        <v>4550</v>
      </c>
      <c r="B1077" s="2" t="s">
        <v>364</v>
      </c>
    </row>
    <row r="1078" spans="1:2">
      <c r="A1078" s="2" t="s">
        <v>5637</v>
      </c>
      <c r="B1078" s="2" t="s">
        <v>364</v>
      </c>
    </row>
    <row r="1079" spans="1:2">
      <c r="A1079" s="2" t="s">
        <v>1528</v>
      </c>
      <c r="B1079" s="2" t="s">
        <v>364</v>
      </c>
    </row>
    <row r="1080" spans="1:2">
      <c r="A1080" s="2" t="s">
        <v>5641</v>
      </c>
      <c r="B1080" s="2" t="s">
        <v>364</v>
      </c>
    </row>
    <row r="1081" spans="1:2">
      <c r="A1081" s="2" t="s">
        <v>5645</v>
      </c>
      <c r="B1081" s="2" t="s">
        <v>364</v>
      </c>
    </row>
    <row r="1082" spans="1:2">
      <c r="A1082" s="2" t="s">
        <v>5648</v>
      </c>
      <c r="B1082" s="2" t="s">
        <v>364</v>
      </c>
    </row>
    <row r="1083" spans="1:2">
      <c r="A1083" s="2" t="s">
        <v>4562</v>
      </c>
      <c r="B1083" s="2" t="s">
        <v>364</v>
      </c>
    </row>
    <row r="1084" spans="1:2">
      <c r="A1084" s="2" t="s">
        <v>7745</v>
      </c>
      <c r="B1084" s="2" t="s">
        <v>364</v>
      </c>
    </row>
    <row r="1085" spans="1:2">
      <c r="A1085" s="2" t="s">
        <v>5652</v>
      </c>
      <c r="B1085" s="2" t="s">
        <v>364</v>
      </c>
    </row>
    <row r="1086" spans="1:2">
      <c r="A1086" s="2" t="s">
        <v>5653</v>
      </c>
      <c r="B1086" s="2" t="s">
        <v>364</v>
      </c>
    </row>
    <row r="1087" spans="1:2">
      <c r="A1087" s="2" t="s">
        <v>5749</v>
      </c>
      <c r="B1087" s="2" t="s">
        <v>364</v>
      </c>
    </row>
    <row r="1088" spans="1:2">
      <c r="A1088" s="2" t="s">
        <v>6000</v>
      </c>
      <c r="B1088" s="2" t="s">
        <v>364</v>
      </c>
    </row>
    <row r="1089" spans="1:2">
      <c r="A1089" s="2" t="s">
        <v>4772</v>
      </c>
      <c r="B1089" s="2" t="s">
        <v>364</v>
      </c>
    </row>
    <row r="1090" spans="1:2">
      <c r="A1090" s="2" t="s">
        <v>6063</v>
      </c>
      <c r="B1090" s="2" t="s">
        <v>364</v>
      </c>
    </row>
    <row r="1091" spans="1:2">
      <c r="A1091" s="2" t="s">
        <v>4830</v>
      </c>
      <c r="B1091" s="2" t="s">
        <v>364</v>
      </c>
    </row>
    <row r="1092" spans="1:2">
      <c r="A1092" s="2" t="s">
        <v>6113</v>
      </c>
      <c r="B1092" s="2" t="s">
        <v>364</v>
      </c>
    </row>
    <row r="1093" spans="1:2">
      <c r="A1093" s="2" t="s">
        <v>7746</v>
      </c>
      <c r="B1093" s="2" t="s">
        <v>364</v>
      </c>
    </row>
    <row r="1094" spans="1:2">
      <c r="A1094" s="2" t="s">
        <v>4864</v>
      </c>
      <c r="B1094" s="2" t="s">
        <v>364</v>
      </c>
    </row>
    <row r="1095" spans="1:2">
      <c r="A1095" s="2" t="s">
        <v>6115</v>
      </c>
      <c r="B1095" s="2" t="s">
        <v>364</v>
      </c>
    </row>
    <row r="1096" spans="1:2">
      <c r="A1096" s="2" t="s">
        <v>6142</v>
      </c>
      <c r="B1096" s="2" t="s">
        <v>364</v>
      </c>
    </row>
    <row r="1097" spans="1:2">
      <c r="A1097" s="2" t="s">
        <v>6177</v>
      </c>
      <c r="B1097" s="2" t="s">
        <v>364</v>
      </c>
    </row>
    <row r="1098" spans="1:2">
      <c r="A1098" s="2" t="s">
        <v>6179</v>
      </c>
      <c r="B1098" s="2" t="s">
        <v>364</v>
      </c>
    </row>
    <row r="1099" spans="1:2">
      <c r="A1099" s="2" t="s">
        <v>7747</v>
      </c>
      <c r="B1099" s="2" t="s">
        <v>364</v>
      </c>
    </row>
    <row r="1100" spans="1:2">
      <c r="A1100" s="2" t="s">
        <v>6181</v>
      </c>
      <c r="B1100" s="2" t="s">
        <v>364</v>
      </c>
    </row>
    <row r="1101" spans="1:2">
      <c r="A1101" s="2" t="s">
        <v>7748</v>
      </c>
      <c r="B1101" s="2" t="s">
        <v>364</v>
      </c>
    </row>
    <row r="1102" spans="1:2">
      <c r="A1102" s="2" t="s">
        <v>4944</v>
      </c>
      <c r="B1102" s="2" t="s">
        <v>364</v>
      </c>
    </row>
    <row r="1103" spans="1:2">
      <c r="A1103" s="2" t="s">
        <v>6182</v>
      </c>
      <c r="B1103" s="2" t="s">
        <v>364</v>
      </c>
    </row>
    <row r="1104" spans="1:2">
      <c r="A1104" s="2" t="s">
        <v>5248</v>
      </c>
      <c r="B1104" s="2" t="s">
        <v>364</v>
      </c>
    </row>
    <row r="1105" spans="1:2">
      <c r="A1105" s="2" t="s">
        <v>475</v>
      </c>
      <c r="B1105" s="2" t="s">
        <v>364</v>
      </c>
    </row>
    <row r="1106" spans="1:2">
      <c r="A1106" s="2" t="s">
        <v>4598</v>
      </c>
      <c r="B1106" s="2" t="s">
        <v>364</v>
      </c>
    </row>
    <row r="1107" spans="1:2">
      <c r="A1107" s="2" t="s">
        <v>5047</v>
      </c>
      <c r="B1107" s="2" t="s">
        <v>330</v>
      </c>
    </row>
    <row r="1108" spans="1:2">
      <c r="A1108" s="2" t="s">
        <v>5120</v>
      </c>
      <c r="B1108" s="2" t="s">
        <v>330</v>
      </c>
    </row>
    <row r="1109" spans="1:2">
      <c r="A1109" s="2" t="s">
        <v>5126</v>
      </c>
      <c r="B1109" s="2" t="s">
        <v>330</v>
      </c>
    </row>
    <row r="1110" spans="1:2">
      <c r="A1110" s="2" t="s">
        <v>7749</v>
      </c>
      <c r="B1110" s="2" t="s">
        <v>330</v>
      </c>
    </row>
    <row r="1111" spans="1:2">
      <c r="A1111" s="2" t="s">
        <v>324</v>
      </c>
      <c r="B1111" s="2" t="s">
        <v>330</v>
      </c>
    </row>
    <row r="1112" spans="1:2">
      <c r="A1112" s="2" t="s">
        <v>6483</v>
      </c>
      <c r="B1112" s="2" t="s">
        <v>330</v>
      </c>
    </row>
    <row r="1113" spans="1:2">
      <c r="A1113" s="2" t="s">
        <v>969</v>
      </c>
      <c r="B1113" s="2" t="s">
        <v>330</v>
      </c>
    </row>
    <row r="1114" spans="1:2">
      <c r="A1114" s="2" t="s">
        <v>5524</v>
      </c>
      <c r="B1114" s="2" t="s">
        <v>330</v>
      </c>
    </row>
    <row r="1115" spans="1:2">
      <c r="A1115" s="2" t="s">
        <v>5525</v>
      </c>
      <c r="B1115" s="2" t="s">
        <v>330</v>
      </c>
    </row>
    <row r="1116" spans="1:2">
      <c r="A1116" s="2" t="s">
        <v>4505</v>
      </c>
      <c r="B1116" s="2" t="s">
        <v>330</v>
      </c>
    </row>
    <row r="1117" spans="1:2">
      <c r="A1117" s="2" t="s">
        <v>4506</v>
      </c>
      <c r="B1117" s="2" t="s">
        <v>330</v>
      </c>
    </row>
    <row r="1118" spans="1:2">
      <c r="A1118" s="2" t="s">
        <v>4507</v>
      </c>
      <c r="B1118" s="2" t="s">
        <v>330</v>
      </c>
    </row>
    <row r="1119" spans="1:2">
      <c r="A1119" s="2" t="s">
        <v>1358</v>
      </c>
      <c r="B1119" s="2" t="s">
        <v>330</v>
      </c>
    </row>
    <row r="1120" spans="1:2">
      <c r="A1120" s="2" t="s">
        <v>4530</v>
      </c>
      <c r="B1120" s="2" t="s">
        <v>330</v>
      </c>
    </row>
    <row r="1121" spans="1:2">
      <c r="A1121" s="2" t="s">
        <v>1403</v>
      </c>
      <c r="B1121" s="2" t="s">
        <v>330</v>
      </c>
    </row>
    <row r="1122" spans="1:2">
      <c r="A1122" s="2" t="s">
        <v>5606</v>
      </c>
      <c r="B1122" s="2" t="s">
        <v>330</v>
      </c>
    </row>
    <row r="1123" spans="1:2">
      <c r="A1123" s="2" t="s">
        <v>4533</v>
      </c>
      <c r="B1123" s="2" t="s">
        <v>330</v>
      </c>
    </row>
    <row r="1124" spans="1:2">
      <c r="A1124" s="2" t="s">
        <v>5608</v>
      </c>
      <c r="B1124" s="2" t="s">
        <v>330</v>
      </c>
    </row>
    <row r="1125" spans="1:2">
      <c r="A1125" s="2" t="s">
        <v>5609</v>
      </c>
      <c r="B1125" s="2" t="s">
        <v>330</v>
      </c>
    </row>
    <row r="1126" spans="1:2">
      <c r="A1126" s="2" t="s">
        <v>6648</v>
      </c>
      <c r="B1126" s="2" t="s">
        <v>330</v>
      </c>
    </row>
    <row r="1127" spans="1:2">
      <c r="A1127" s="2" t="s">
        <v>5626</v>
      </c>
      <c r="B1127" s="2" t="s">
        <v>330</v>
      </c>
    </row>
    <row r="1128" spans="1:2">
      <c r="A1128" s="2" t="s">
        <v>5628</v>
      </c>
      <c r="B1128" s="2" t="s">
        <v>330</v>
      </c>
    </row>
    <row r="1129" spans="1:2">
      <c r="A1129" s="2" t="s">
        <v>7750</v>
      </c>
      <c r="B1129" s="2" t="s">
        <v>330</v>
      </c>
    </row>
    <row r="1130" spans="1:2">
      <c r="A1130" s="2" t="s">
        <v>7751</v>
      </c>
      <c r="B1130" s="2" t="s">
        <v>330</v>
      </c>
    </row>
    <row r="1131" spans="1:2">
      <c r="A1131" s="2" t="s">
        <v>4759</v>
      </c>
      <c r="B1131" s="2" t="s">
        <v>330</v>
      </c>
    </row>
    <row r="1132" spans="1:2">
      <c r="A1132" s="2" t="s">
        <v>5992</v>
      </c>
      <c r="B1132" s="2" t="s">
        <v>330</v>
      </c>
    </row>
    <row r="1133" spans="1:2">
      <c r="A1133" s="2" t="s">
        <v>4767</v>
      </c>
      <c r="B1133" s="2" t="s">
        <v>330</v>
      </c>
    </row>
    <row r="1134" spans="1:2">
      <c r="A1134" s="2" t="s">
        <v>4769</v>
      </c>
      <c r="B1134" s="2" t="s">
        <v>330</v>
      </c>
    </row>
    <row r="1135" spans="1:2">
      <c r="A1135" s="2" t="s">
        <v>4770</v>
      </c>
      <c r="B1135" s="2" t="s">
        <v>330</v>
      </c>
    </row>
    <row r="1136" spans="1:2">
      <c r="A1136" s="2" t="s">
        <v>4771</v>
      </c>
      <c r="B1136" s="2" t="s">
        <v>330</v>
      </c>
    </row>
    <row r="1137" spans="1:2">
      <c r="A1137" s="2" t="s">
        <v>3066</v>
      </c>
      <c r="B1137" s="2" t="s">
        <v>330</v>
      </c>
    </row>
    <row r="1138" spans="1:2">
      <c r="A1138" s="2" t="s">
        <v>6005</v>
      </c>
      <c r="B1138" s="2" t="s">
        <v>330</v>
      </c>
    </row>
    <row r="1139" spans="1:2">
      <c r="A1139" s="2" t="s">
        <v>6006</v>
      </c>
      <c r="B1139" s="2" t="s">
        <v>330</v>
      </c>
    </row>
    <row r="1140" spans="1:2">
      <c r="A1140" s="2" t="s">
        <v>6007</v>
      </c>
      <c r="B1140" s="2" t="s">
        <v>330</v>
      </c>
    </row>
    <row r="1141" spans="1:2">
      <c r="A1141" s="2" t="s">
        <v>7752</v>
      </c>
      <c r="B1141" s="2" t="s">
        <v>330</v>
      </c>
    </row>
    <row r="1142" spans="1:2">
      <c r="A1142" s="2" t="s">
        <v>7173</v>
      </c>
      <c r="B1142" s="2" t="s">
        <v>330</v>
      </c>
    </row>
    <row r="1143" spans="1:2">
      <c r="A1143" s="2" t="s">
        <v>7177</v>
      </c>
      <c r="B1143" s="2" t="s">
        <v>330</v>
      </c>
    </row>
    <row r="1144" spans="1:2">
      <c r="A1144" s="2" t="s">
        <v>7181</v>
      </c>
      <c r="B1144" s="2" t="s">
        <v>330</v>
      </c>
    </row>
    <row r="1145" spans="1:2">
      <c r="A1145" s="2" t="s">
        <v>7184</v>
      </c>
      <c r="B1145" s="2" t="s">
        <v>330</v>
      </c>
    </row>
    <row r="1146" spans="1:2">
      <c r="A1146" s="2" t="s">
        <v>3933</v>
      </c>
      <c r="B1146" s="2" t="s">
        <v>330</v>
      </c>
    </row>
    <row r="1147" spans="1:2">
      <c r="A1147" s="2" t="s">
        <v>7325</v>
      </c>
      <c r="B1147" s="2" t="s">
        <v>330</v>
      </c>
    </row>
    <row r="1148" spans="1:2">
      <c r="A1148" s="2" t="s">
        <v>5974</v>
      </c>
      <c r="B1148" s="2" t="s">
        <v>330</v>
      </c>
    </row>
    <row r="1149" spans="1:2">
      <c r="A1149" s="2" t="s">
        <v>5976</v>
      </c>
      <c r="B1149" s="2" t="s">
        <v>330</v>
      </c>
    </row>
    <row r="1150" spans="1:2">
      <c r="A1150" s="2" t="s">
        <v>5977</v>
      </c>
      <c r="B1150" s="2" t="s">
        <v>330</v>
      </c>
    </row>
    <row r="1151" spans="1:2">
      <c r="A1151" s="2" t="s">
        <v>5979</v>
      </c>
      <c r="B1151" s="2" t="s">
        <v>330</v>
      </c>
    </row>
    <row r="1152" spans="1:2">
      <c r="A1152" s="2" t="s">
        <v>5980</v>
      </c>
      <c r="B1152" s="2" t="s">
        <v>330</v>
      </c>
    </row>
    <row r="1153" spans="1:2">
      <c r="A1153" s="2" t="s">
        <v>4733</v>
      </c>
      <c r="B1153" s="2" t="s">
        <v>330</v>
      </c>
    </row>
    <row r="1154" spans="1:2">
      <c r="A1154" s="2" t="s">
        <v>5982</v>
      </c>
      <c r="B1154" s="2" t="s">
        <v>330</v>
      </c>
    </row>
    <row r="1155" spans="1:2">
      <c r="A1155" s="2" t="s">
        <v>3047</v>
      </c>
      <c r="B1155" s="2" t="s">
        <v>330</v>
      </c>
    </row>
    <row r="1156" spans="1:2">
      <c r="A1156" s="2" t="s">
        <v>5997</v>
      </c>
      <c r="B1156" s="2" t="s">
        <v>330</v>
      </c>
    </row>
    <row r="1157" spans="1:2">
      <c r="A1157" s="2" t="s">
        <v>5998</v>
      </c>
      <c r="B1157" s="2" t="s">
        <v>330</v>
      </c>
    </row>
    <row r="1158" spans="1:2">
      <c r="A1158" s="2" t="s">
        <v>5999</v>
      </c>
      <c r="B1158" s="2" t="s">
        <v>330</v>
      </c>
    </row>
    <row r="1159" spans="1:2">
      <c r="A1159" s="2" t="s">
        <v>3297</v>
      </c>
      <c r="B1159" s="2" t="s">
        <v>330</v>
      </c>
    </row>
    <row r="1160" spans="1:2">
      <c r="A1160" s="2" t="s">
        <v>4842</v>
      </c>
      <c r="B1160" s="2" t="s">
        <v>330</v>
      </c>
    </row>
    <row r="1161" spans="1:2">
      <c r="A1161" s="2" t="s">
        <v>4843</v>
      </c>
      <c r="B1161" s="2" t="s">
        <v>330</v>
      </c>
    </row>
    <row r="1162" spans="1:2">
      <c r="A1162" s="2" t="s">
        <v>6191</v>
      </c>
      <c r="B1162" s="2" t="s">
        <v>330</v>
      </c>
    </row>
    <row r="1163" spans="1:2">
      <c r="A1163" s="2" t="s">
        <v>5971</v>
      </c>
      <c r="B1163" s="2" t="s">
        <v>330</v>
      </c>
    </row>
    <row r="1164" spans="1:2">
      <c r="A1164" s="2" t="s">
        <v>5973</v>
      </c>
      <c r="B1164" s="2" t="s">
        <v>330</v>
      </c>
    </row>
    <row r="1165" spans="1:2">
      <c r="A1165" s="2" t="s">
        <v>4735</v>
      </c>
      <c r="B1165" s="2" t="s">
        <v>330</v>
      </c>
    </row>
    <row r="1166" spans="1:2">
      <c r="A1166" s="2" t="s">
        <v>5347</v>
      </c>
      <c r="B1166" s="2" t="s">
        <v>3065</v>
      </c>
    </row>
    <row r="1167" spans="1:2">
      <c r="A1167" s="2" t="s">
        <v>6643</v>
      </c>
      <c r="B1167" s="2" t="s">
        <v>3065</v>
      </c>
    </row>
    <row r="1168" spans="1:2">
      <c r="A1168" s="2" t="s">
        <v>6671</v>
      </c>
      <c r="B1168" s="2" t="s">
        <v>3065</v>
      </c>
    </row>
    <row r="1169" spans="1:2">
      <c r="A1169" s="2" t="s">
        <v>6675</v>
      </c>
      <c r="B1169" s="2" t="s">
        <v>3065</v>
      </c>
    </row>
    <row r="1170" spans="1:2">
      <c r="A1170" s="2" t="s">
        <v>6684</v>
      </c>
      <c r="B1170" s="2" t="s">
        <v>3065</v>
      </c>
    </row>
    <row r="1171" spans="1:2">
      <c r="A1171" s="2" t="s">
        <v>3059</v>
      </c>
      <c r="B1171" s="2" t="s">
        <v>3065</v>
      </c>
    </row>
    <row r="1172" spans="1:2">
      <c r="A1172" s="2" t="s">
        <v>7081</v>
      </c>
      <c r="B1172" s="2" t="s">
        <v>3065</v>
      </c>
    </row>
    <row r="1173" spans="1:2">
      <c r="A1173" s="2" t="s">
        <v>5296</v>
      </c>
      <c r="B1173" s="2" t="s">
        <v>3065</v>
      </c>
    </row>
    <row r="1174" spans="1:2">
      <c r="A1174" s="2" t="s">
        <v>4514</v>
      </c>
      <c r="B1174" s="2" t="s">
        <v>3065</v>
      </c>
    </row>
    <row r="1175" spans="1:2">
      <c r="A1175" s="2" t="s">
        <v>5557</v>
      </c>
      <c r="B1175" s="2" t="s">
        <v>3065</v>
      </c>
    </row>
    <row r="1176" spans="1:2">
      <c r="A1176" s="2" t="s">
        <v>5567</v>
      </c>
      <c r="B1176" s="2" t="s">
        <v>3065</v>
      </c>
    </row>
    <row r="1177" spans="1:2">
      <c r="A1177" s="2" t="s">
        <v>6593</v>
      </c>
      <c r="B1177" s="2" t="s">
        <v>3065</v>
      </c>
    </row>
    <row r="1178" spans="1:2">
      <c r="A1178" s="2" t="s">
        <v>1282</v>
      </c>
      <c r="B1178" s="2" t="s">
        <v>3065</v>
      </c>
    </row>
    <row r="1179" spans="1:2">
      <c r="A1179" s="2" t="s">
        <v>6598</v>
      </c>
      <c r="B1179" s="2" t="s">
        <v>3065</v>
      </c>
    </row>
    <row r="1180" spans="1:2">
      <c r="A1180" s="2" t="s">
        <v>1536</v>
      </c>
      <c r="B1180" s="2" t="s">
        <v>3065</v>
      </c>
    </row>
    <row r="1181" spans="1:2">
      <c r="A1181" s="2" t="s">
        <v>5639</v>
      </c>
      <c r="B1181" s="2" t="s">
        <v>3065</v>
      </c>
    </row>
    <row r="1182" spans="1:2">
      <c r="A1182" s="2" t="s">
        <v>5643</v>
      </c>
      <c r="B1182" s="2" t="s">
        <v>3065</v>
      </c>
    </row>
    <row r="1183" spans="1:2">
      <c r="A1183" s="2" t="s">
        <v>5707</v>
      </c>
      <c r="B1183" s="2" t="s">
        <v>3065</v>
      </c>
    </row>
    <row r="1184" spans="1:2">
      <c r="A1184" s="2" t="s">
        <v>5738</v>
      </c>
      <c r="B1184" s="2" t="s">
        <v>3065</v>
      </c>
    </row>
    <row r="1185" spans="1:2">
      <c r="A1185" s="2" t="s">
        <v>5764</v>
      </c>
      <c r="B1185" s="2" t="s">
        <v>3065</v>
      </c>
    </row>
    <row r="1186" spans="1:2">
      <c r="A1186" s="2" t="s">
        <v>2764</v>
      </c>
      <c r="B1186" s="2" t="s">
        <v>3065</v>
      </c>
    </row>
    <row r="1187" spans="1:2">
      <c r="A1187" s="2" t="s">
        <v>4690</v>
      </c>
      <c r="B1187" s="2" t="s">
        <v>3065</v>
      </c>
    </row>
    <row r="1188" spans="1:2">
      <c r="A1188" s="2" t="s">
        <v>6001</v>
      </c>
      <c r="B1188" s="2" t="s">
        <v>3065</v>
      </c>
    </row>
    <row r="1189" spans="1:2">
      <c r="A1189" s="2" t="s">
        <v>4846</v>
      </c>
      <c r="B1189" s="2" t="s">
        <v>3065</v>
      </c>
    </row>
    <row r="1190" spans="1:2">
      <c r="A1190" s="2" t="s">
        <v>5131</v>
      </c>
      <c r="B1190" s="2" t="s">
        <v>3065</v>
      </c>
    </row>
    <row r="1191" spans="1:2">
      <c r="A1191" s="2" t="s">
        <v>5837</v>
      </c>
      <c r="B1191" s="2" t="s">
        <v>3065</v>
      </c>
    </row>
    <row r="1192" spans="1:2">
      <c r="A1192" s="2" t="s">
        <v>5839</v>
      </c>
      <c r="B1192" s="2" t="s">
        <v>3065</v>
      </c>
    </row>
    <row r="1193" spans="1:2">
      <c r="A1193" s="2" t="s">
        <v>5840</v>
      </c>
      <c r="B1193" s="2" t="s">
        <v>3065</v>
      </c>
    </row>
    <row r="1194" spans="1:2">
      <c r="A1194" s="2" t="s">
        <v>7753</v>
      </c>
      <c r="B1194" s="2" t="s">
        <v>7754</v>
      </c>
    </row>
    <row r="1195" spans="1:2">
      <c r="A1195" s="2" t="s">
        <v>4677</v>
      </c>
      <c r="B1195" s="2" t="s">
        <v>7754</v>
      </c>
    </row>
    <row r="1196" spans="1:2">
      <c r="A1196" s="2" t="s">
        <v>4277</v>
      </c>
      <c r="B1196" s="2" t="s">
        <v>1727</v>
      </c>
    </row>
    <row r="1197" spans="1:2">
      <c r="A1197" s="2" t="s">
        <v>5187</v>
      </c>
      <c r="B1197" s="2" t="s">
        <v>1727</v>
      </c>
    </row>
    <row r="1198" spans="1:2">
      <c r="A1198" s="2" t="s">
        <v>4306</v>
      </c>
      <c r="B1198" s="2" t="s">
        <v>1727</v>
      </c>
    </row>
    <row r="1199" spans="1:2">
      <c r="A1199" s="2" t="s">
        <v>5221</v>
      </c>
      <c r="B1199" s="2" t="s">
        <v>1727</v>
      </c>
    </row>
    <row r="1200" spans="1:2">
      <c r="A1200" s="2" t="s">
        <v>5223</v>
      </c>
      <c r="B1200" s="2" t="s">
        <v>1727</v>
      </c>
    </row>
    <row r="1201" spans="1:2">
      <c r="A1201" s="2" t="s">
        <v>6402</v>
      </c>
      <c r="B1201" s="2" t="s">
        <v>1727</v>
      </c>
    </row>
    <row r="1202" spans="1:2">
      <c r="A1202" s="2" t="s">
        <v>5709</v>
      </c>
      <c r="B1202" s="2" t="s">
        <v>1727</v>
      </c>
    </row>
    <row r="1203" spans="1:2">
      <c r="A1203" s="2" t="s">
        <v>5711</v>
      </c>
      <c r="B1203" s="2" t="s">
        <v>1727</v>
      </c>
    </row>
    <row r="1204" spans="1:2">
      <c r="A1204" s="2" t="s">
        <v>5713</v>
      </c>
      <c r="B1204" s="2" t="s">
        <v>1727</v>
      </c>
    </row>
    <row r="1205" spans="1:2">
      <c r="A1205" s="2" t="s">
        <v>7755</v>
      </c>
      <c r="B1205" s="2" t="s">
        <v>1727</v>
      </c>
    </row>
    <row r="1206" spans="1:2">
      <c r="A1206" s="2" t="s">
        <v>5726</v>
      </c>
      <c r="B1206" s="2" t="s">
        <v>1727</v>
      </c>
    </row>
    <row r="1207" spans="1:2">
      <c r="A1207" s="2" t="s">
        <v>6734</v>
      </c>
      <c r="B1207" s="2" t="s">
        <v>1727</v>
      </c>
    </row>
    <row r="1208" spans="1:2">
      <c r="A1208" s="2" t="s">
        <v>5740</v>
      </c>
      <c r="B1208" s="2" t="s">
        <v>1727</v>
      </c>
    </row>
    <row r="1209" spans="1:2">
      <c r="A1209" s="2" t="s">
        <v>5748</v>
      </c>
      <c r="B1209" s="2" t="s">
        <v>1727</v>
      </c>
    </row>
    <row r="1210" spans="1:2">
      <c r="A1210" s="2" t="s">
        <v>5773</v>
      </c>
      <c r="B1210" s="2" t="s">
        <v>1727</v>
      </c>
    </row>
    <row r="1211" spans="1:2">
      <c r="A1211" s="2" t="s">
        <v>6770</v>
      </c>
      <c r="B1211" s="2" t="s">
        <v>1727</v>
      </c>
    </row>
    <row r="1212" spans="1:2">
      <c r="A1212" s="2" t="s">
        <v>5775</v>
      </c>
      <c r="B1212" s="2" t="s">
        <v>1727</v>
      </c>
    </row>
    <row r="1213" spans="1:2">
      <c r="A1213" s="2" t="s">
        <v>5784</v>
      </c>
      <c r="B1213" s="2" t="s">
        <v>1727</v>
      </c>
    </row>
    <row r="1214" spans="1:2">
      <c r="A1214" s="2" t="s">
        <v>5786</v>
      </c>
      <c r="B1214" s="2" t="s">
        <v>1727</v>
      </c>
    </row>
    <row r="1215" spans="1:2">
      <c r="A1215" s="2" t="s">
        <v>6041</v>
      </c>
      <c r="B1215" s="2" t="s">
        <v>1727</v>
      </c>
    </row>
    <row r="1216" spans="1:2">
      <c r="A1216" s="2" t="s">
        <v>6043</v>
      </c>
      <c r="B1216" s="2" t="s">
        <v>1727</v>
      </c>
    </row>
    <row r="1217" spans="1:2">
      <c r="A1217" s="2" t="s">
        <v>6044</v>
      </c>
      <c r="B1217" s="2" t="s">
        <v>1727</v>
      </c>
    </row>
    <row r="1218" spans="1:2">
      <c r="A1218" s="2" t="s">
        <v>6046</v>
      </c>
      <c r="B1218" s="2" t="s">
        <v>1727</v>
      </c>
    </row>
    <row r="1219" spans="1:2">
      <c r="A1219" s="2" t="s">
        <v>7137</v>
      </c>
      <c r="B1219" s="2" t="s">
        <v>1727</v>
      </c>
    </row>
    <row r="1220" spans="1:2">
      <c r="A1220" s="2" t="s">
        <v>7141</v>
      </c>
      <c r="B1220" s="2" t="s">
        <v>1727</v>
      </c>
    </row>
    <row r="1221" spans="1:2">
      <c r="A1221" s="2" t="s">
        <v>7144</v>
      </c>
      <c r="B1221" s="2" t="s">
        <v>1727</v>
      </c>
    </row>
    <row r="1222" spans="1:2">
      <c r="A1222" s="2" t="s">
        <v>6057</v>
      </c>
      <c r="B1222" s="2" t="s">
        <v>1727</v>
      </c>
    </row>
    <row r="1223" spans="1:2">
      <c r="A1223" s="2" t="s">
        <v>6059</v>
      </c>
      <c r="B1223" s="2" t="s">
        <v>1727</v>
      </c>
    </row>
    <row r="1224" spans="1:2">
      <c r="A1224" s="2" t="s">
        <v>7147</v>
      </c>
      <c r="B1224" s="2" t="s">
        <v>1727</v>
      </c>
    </row>
    <row r="1225" spans="1:2">
      <c r="A1225" s="2" t="s">
        <v>5198</v>
      </c>
      <c r="B1225" s="2" t="s">
        <v>1600</v>
      </c>
    </row>
    <row r="1226" spans="1:2">
      <c r="A1226" s="2" t="s">
        <v>7756</v>
      </c>
      <c r="B1226" s="2" t="s">
        <v>1600</v>
      </c>
    </row>
    <row r="1227" spans="1:2">
      <c r="A1227" s="2" t="s">
        <v>7757</v>
      </c>
      <c r="B1227" s="2" t="s">
        <v>1600</v>
      </c>
    </row>
    <row r="1228" spans="1:2">
      <c r="A1228" s="2" t="s">
        <v>7758</v>
      </c>
      <c r="B1228" s="2" t="s">
        <v>1600</v>
      </c>
    </row>
    <row r="1229" spans="1:2">
      <c r="A1229" s="2" t="s">
        <v>7759</v>
      </c>
      <c r="B1229" s="2" t="s">
        <v>1600</v>
      </c>
    </row>
    <row r="1230" spans="1:2">
      <c r="A1230" s="2" t="s">
        <v>5755</v>
      </c>
      <c r="B1230" s="2" t="s">
        <v>1600</v>
      </c>
    </row>
    <row r="1231" spans="1:2">
      <c r="A1231" s="2" t="s">
        <v>5757</v>
      </c>
      <c r="B1231" s="2" t="s">
        <v>1600</v>
      </c>
    </row>
    <row r="1232" spans="1:2">
      <c r="A1232" s="2" t="s">
        <v>6775</v>
      </c>
      <c r="B1232" s="2" t="s">
        <v>1600</v>
      </c>
    </row>
    <row r="1233" spans="1:2">
      <c r="A1233" s="2" t="s">
        <v>7760</v>
      </c>
      <c r="B1233" s="2" t="s">
        <v>1600</v>
      </c>
    </row>
    <row r="1234" spans="1:2">
      <c r="A1234" s="2" t="s">
        <v>7761</v>
      </c>
      <c r="B1234" s="2" t="s">
        <v>1600</v>
      </c>
    </row>
    <row r="1235" spans="1:2">
      <c r="A1235" s="2" t="s">
        <v>7762</v>
      </c>
      <c r="B1235" s="2" t="s">
        <v>1600</v>
      </c>
    </row>
    <row r="1236" spans="1:2">
      <c r="A1236" s="2" t="s">
        <v>7763</v>
      </c>
      <c r="B1236" s="2" t="s">
        <v>1600</v>
      </c>
    </row>
    <row r="1237" spans="1:2">
      <c r="A1237" s="2" t="s">
        <v>7764</v>
      </c>
      <c r="B1237" s="2" t="s">
        <v>1600</v>
      </c>
    </row>
    <row r="1238" spans="1:2">
      <c r="A1238" s="2" t="s">
        <v>7765</v>
      </c>
      <c r="B1238" s="2" t="s">
        <v>1600</v>
      </c>
    </row>
    <row r="1239" spans="1:2">
      <c r="A1239" s="2" t="s">
        <v>5792</v>
      </c>
      <c r="B1239" s="2" t="s">
        <v>1600</v>
      </c>
    </row>
    <row r="1240" spans="1:2">
      <c r="A1240" s="2" t="s">
        <v>2729</v>
      </c>
      <c r="B1240" s="2" t="s">
        <v>1600</v>
      </c>
    </row>
    <row r="1241" spans="1:2">
      <c r="A1241" s="2" t="s">
        <v>4669</v>
      </c>
      <c r="B1241" s="2" t="s">
        <v>1600</v>
      </c>
    </row>
    <row r="1242" spans="1:2">
      <c r="A1242" s="2" t="s">
        <v>7766</v>
      </c>
      <c r="B1242" s="2" t="s">
        <v>1600</v>
      </c>
    </row>
    <row r="1243" spans="1:2">
      <c r="A1243" s="2" t="s">
        <v>5874</v>
      </c>
      <c r="B1243" s="2" t="s">
        <v>1600</v>
      </c>
    </row>
    <row r="1244" spans="1:2">
      <c r="A1244" s="2" t="s">
        <v>4670</v>
      </c>
      <c r="B1244" s="2" t="s">
        <v>1600</v>
      </c>
    </row>
    <row r="1245" spans="1:2">
      <c r="A1245" s="2" t="s">
        <v>5876</v>
      </c>
      <c r="B1245" s="2" t="s">
        <v>1600</v>
      </c>
    </row>
    <row r="1246" spans="1:2">
      <c r="A1246" s="2" t="s">
        <v>4671</v>
      </c>
      <c r="B1246" s="2" t="s">
        <v>1600</v>
      </c>
    </row>
    <row r="1247" spans="1:2">
      <c r="A1247" s="2" t="s">
        <v>5878</v>
      </c>
      <c r="B1247" s="2" t="s">
        <v>1600</v>
      </c>
    </row>
    <row r="1248" spans="1:2">
      <c r="A1248" s="2" t="s">
        <v>4673</v>
      </c>
      <c r="B1248" s="2" t="s">
        <v>1600</v>
      </c>
    </row>
    <row r="1249" spans="1:2">
      <c r="A1249" s="2" t="s">
        <v>7767</v>
      </c>
      <c r="B1249" s="2" t="s">
        <v>1600</v>
      </c>
    </row>
    <row r="1250" spans="1:2">
      <c r="A1250" s="2" t="s">
        <v>7768</v>
      </c>
      <c r="B1250" s="2" t="s">
        <v>1600</v>
      </c>
    </row>
    <row r="1251" spans="1:2">
      <c r="A1251" s="2" t="s">
        <v>5881</v>
      </c>
      <c r="B1251" s="2" t="s">
        <v>1600</v>
      </c>
    </row>
    <row r="1252" spans="1:2">
      <c r="A1252" s="2" t="s">
        <v>7769</v>
      </c>
      <c r="B1252" s="2" t="s">
        <v>1600</v>
      </c>
    </row>
    <row r="1253" spans="1:2">
      <c r="A1253" s="2" t="s">
        <v>7770</v>
      </c>
      <c r="B1253" s="2" t="s">
        <v>1600</v>
      </c>
    </row>
    <row r="1254" spans="1:2">
      <c r="A1254" s="2" t="s">
        <v>7771</v>
      </c>
      <c r="B1254" s="2" t="s">
        <v>1600</v>
      </c>
    </row>
    <row r="1255" spans="1:2">
      <c r="A1255" s="2" t="s">
        <v>7772</v>
      </c>
      <c r="B1255" s="2" t="s">
        <v>1600</v>
      </c>
    </row>
    <row r="1256" spans="1:2">
      <c r="A1256" s="2" t="s">
        <v>7773</v>
      </c>
      <c r="B1256" s="2" t="s">
        <v>1600</v>
      </c>
    </row>
    <row r="1257" spans="1:2">
      <c r="A1257" s="2" t="s">
        <v>7774</v>
      </c>
      <c r="B1257" s="2" t="s">
        <v>1600</v>
      </c>
    </row>
    <row r="1258" spans="1:2">
      <c r="A1258" s="2" t="s">
        <v>7775</v>
      </c>
      <c r="B1258" s="2" t="s">
        <v>1600</v>
      </c>
    </row>
    <row r="1259" spans="1:2">
      <c r="A1259" s="2" t="s">
        <v>7776</v>
      </c>
      <c r="B1259" s="2" t="s">
        <v>1600</v>
      </c>
    </row>
    <row r="1260" spans="1:2">
      <c r="A1260" s="2" t="s">
        <v>7777</v>
      </c>
      <c r="B1260" s="2" t="s">
        <v>1600</v>
      </c>
    </row>
    <row r="1261" spans="1:2">
      <c r="A1261" s="2" t="s">
        <v>7778</v>
      </c>
      <c r="B1261" s="2" t="s">
        <v>1600</v>
      </c>
    </row>
    <row r="1262" spans="1:2">
      <c r="A1262" s="2" t="s">
        <v>2725</v>
      </c>
      <c r="B1262" s="2" t="s">
        <v>7779</v>
      </c>
    </row>
    <row r="1263" spans="1:2">
      <c r="A1263" s="2" t="s">
        <v>4995</v>
      </c>
      <c r="B1263" s="2" t="s">
        <v>7780</v>
      </c>
    </row>
    <row r="1264" spans="1:2">
      <c r="A1264" s="2" t="s">
        <v>7781</v>
      </c>
      <c r="B1264" s="2" t="s">
        <v>7780</v>
      </c>
    </row>
    <row r="1265" spans="1:2">
      <c r="A1265" s="2" t="s">
        <v>5819</v>
      </c>
      <c r="B1265" s="2" t="s">
        <v>7780</v>
      </c>
    </row>
    <row r="1266" spans="1:2">
      <c r="A1266" s="2" t="s">
        <v>7782</v>
      </c>
      <c r="B1266" s="2" t="s">
        <v>7780</v>
      </c>
    </row>
    <row r="1267" spans="1:2">
      <c r="A1267" s="2" t="s">
        <v>7783</v>
      </c>
      <c r="B1267" s="2" t="s">
        <v>188</v>
      </c>
    </row>
    <row r="1268" spans="1:2">
      <c r="A1268" s="2" t="s">
        <v>768</v>
      </c>
      <c r="B1268" s="2" t="s">
        <v>188</v>
      </c>
    </row>
    <row r="1269" spans="1:2">
      <c r="A1269" s="2" t="s">
        <v>5414</v>
      </c>
      <c r="B1269" s="2" t="s">
        <v>188</v>
      </c>
    </row>
    <row r="1270" spans="1:2">
      <c r="A1270" s="2" t="s">
        <v>819</v>
      </c>
      <c r="B1270" s="2" t="s">
        <v>188</v>
      </c>
    </row>
    <row r="1271" spans="1:2">
      <c r="A1271" s="2" t="s">
        <v>5439</v>
      </c>
      <c r="B1271" s="2" t="s">
        <v>188</v>
      </c>
    </row>
    <row r="1272" spans="1:2">
      <c r="A1272" s="2" t="s">
        <v>7784</v>
      </c>
      <c r="B1272" s="2" t="s">
        <v>188</v>
      </c>
    </row>
    <row r="1273" spans="1:2">
      <c r="A1273" s="2" t="s">
        <v>5825</v>
      </c>
      <c r="B1273" s="2" t="s">
        <v>188</v>
      </c>
    </row>
    <row r="1274" spans="1:2">
      <c r="A1274" s="2" t="s">
        <v>4639</v>
      </c>
      <c r="B1274" s="2" t="s">
        <v>188</v>
      </c>
    </row>
    <row r="1275" spans="1:2">
      <c r="A1275" s="2" t="s">
        <v>6354</v>
      </c>
      <c r="B1275" s="2" t="s">
        <v>6359</v>
      </c>
    </row>
    <row r="1276" spans="1:2">
      <c r="A1276" s="2" t="s">
        <v>6371</v>
      </c>
      <c r="B1276" s="2" t="s">
        <v>6359</v>
      </c>
    </row>
    <row r="1277" spans="1:2">
      <c r="A1277" s="2" t="s">
        <v>4394</v>
      </c>
      <c r="B1277" s="2" t="s">
        <v>6359</v>
      </c>
    </row>
    <row r="1278" spans="1:2">
      <c r="A1278" s="2" t="s">
        <v>4678</v>
      </c>
      <c r="B1278" s="2" t="s">
        <v>6359</v>
      </c>
    </row>
    <row r="1279" spans="1:2">
      <c r="A1279" s="2" t="s">
        <v>5092</v>
      </c>
      <c r="B1279" s="2" t="s">
        <v>239</v>
      </c>
    </row>
    <row r="1280" spans="1:2">
      <c r="A1280" s="2" t="s">
        <v>5094</v>
      </c>
      <c r="B1280" s="2" t="s">
        <v>239</v>
      </c>
    </row>
    <row r="1281" spans="1:2">
      <c r="A1281" s="2" t="s">
        <v>5121</v>
      </c>
      <c r="B1281" s="2" t="s">
        <v>239</v>
      </c>
    </row>
    <row r="1282" spans="1:2">
      <c r="A1282" s="2" t="s">
        <v>5127</v>
      </c>
      <c r="B1282" s="2" t="s">
        <v>239</v>
      </c>
    </row>
    <row r="1283" spans="1:2">
      <c r="A1283" s="2" t="s">
        <v>5129</v>
      </c>
      <c r="B1283" s="2" t="s">
        <v>239</v>
      </c>
    </row>
    <row r="1284" spans="1:2">
      <c r="A1284" s="2" t="s">
        <v>5150</v>
      </c>
      <c r="B1284" s="2" t="s">
        <v>239</v>
      </c>
    </row>
    <row r="1285" spans="1:2">
      <c r="A1285" s="2" t="s">
        <v>5152</v>
      </c>
      <c r="B1285" s="2" t="s">
        <v>239</v>
      </c>
    </row>
    <row r="1286" spans="1:2">
      <c r="A1286" s="2" t="s">
        <v>4289</v>
      </c>
      <c r="B1286" s="2" t="s">
        <v>239</v>
      </c>
    </row>
    <row r="1287" spans="1:2">
      <c r="A1287" s="2" t="s">
        <v>5170</v>
      </c>
      <c r="B1287" s="2" t="s">
        <v>239</v>
      </c>
    </row>
    <row r="1288" spans="1:2">
      <c r="A1288" s="2" t="s">
        <v>5171</v>
      </c>
      <c r="B1288" s="2" t="s">
        <v>239</v>
      </c>
    </row>
    <row r="1289" spans="1:2">
      <c r="A1289" s="2" t="s">
        <v>5349</v>
      </c>
      <c r="B1289" s="2" t="s">
        <v>239</v>
      </c>
    </row>
    <row r="1290" spans="1:2">
      <c r="A1290" s="2" t="s">
        <v>685</v>
      </c>
      <c r="B1290" s="2" t="s">
        <v>239</v>
      </c>
    </row>
    <row r="1291" spans="1:2">
      <c r="A1291" s="2" t="s">
        <v>5458</v>
      </c>
      <c r="B1291" s="2" t="s">
        <v>239</v>
      </c>
    </row>
    <row r="1292" spans="1:2">
      <c r="A1292" s="2" t="s">
        <v>5826</v>
      </c>
      <c r="B1292" s="2" t="s">
        <v>239</v>
      </c>
    </row>
    <row r="1293" spans="1:2">
      <c r="A1293" s="2" t="s">
        <v>5828</v>
      </c>
      <c r="B1293" s="2" t="s">
        <v>239</v>
      </c>
    </row>
    <row r="1294" spans="1:2">
      <c r="A1294" s="2" t="s">
        <v>5830</v>
      </c>
      <c r="B1294" s="2" t="s">
        <v>239</v>
      </c>
    </row>
    <row r="1295" spans="1:2">
      <c r="A1295" s="2" t="s">
        <v>5832</v>
      </c>
      <c r="B1295" s="2" t="s">
        <v>239</v>
      </c>
    </row>
    <row r="1296" spans="1:2">
      <c r="A1296" s="2" t="s">
        <v>5841</v>
      </c>
      <c r="B1296" s="2" t="s">
        <v>239</v>
      </c>
    </row>
    <row r="1297" spans="1:2">
      <c r="A1297" s="2" t="s">
        <v>5842</v>
      </c>
      <c r="B1297" s="2" t="s">
        <v>239</v>
      </c>
    </row>
    <row r="1298" spans="1:2">
      <c r="A1298" s="2" t="s">
        <v>7785</v>
      </c>
      <c r="B1298" s="2" t="s">
        <v>239</v>
      </c>
    </row>
    <row r="1299" spans="1:2">
      <c r="A1299" s="2" t="s">
        <v>4655</v>
      </c>
      <c r="B1299" s="2" t="s">
        <v>239</v>
      </c>
    </row>
    <row r="1300" spans="1:2">
      <c r="A1300" s="2" t="s">
        <v>5870</v>
      </c>
      <c r="B1300" s="2" t="s">
        <v>239</v>
      </c>
    </row>
    <row r="1301" spans="1:2">
      <c r="A1301" s="2" t="s">
        <v>5891</v>
      </c>
      <c r="B1301" s="2" t="s">
        <v>239</v>
      </c>
    </row>
    <row r="1302" spans="1:2">
      <c r="A1302" s="2" t="s">
        <v>5898</v>
      </c>
      <c r="B1302" s="2" t="s">
        <v>239</v>
      </c>
    </row>
    <row r="1303" spans="1:2">
      <c r="A1303" s="2" t="s">
        <v>5196</v>
      </c>
      <c r="B1303" s="2" t="s">
        <v>239</v>
      </c>
    </row>
    <row r="1304" spans="1:2">
      <c r="A1304" s="2" t="s">
        <v>5228</v>
      </c>
      <c r="B1304" s="2" t="s">
        <v>239</v>
      </c>
    </row>
    <row r="1305" spans="1:2">
      <c r="A1305" s="2" t="s">
        <v>5230</v>
      </c>
      <c r="B1305" s="2" t="s">
        <v>239</v>
      </c>
    </row>
    <row r="1306" spans="1:2">
      <c r="A1306" s="2" t="s">
        <v>2759</v>
      </c>
      <c r="B1306" s="2" t="s">
        <v>239</v>
      </c>
    </row>
    <row r="1307" spans="1:2">
      <c r="A1307" s="2" t="s">
        <v>7786</v>
      </c>
      <c r="B1307" s="2" t="s">
        <v>7754</v>
      </c>
    </row>
    <row r="1308" spans="1:2">
      <c r="A1308" s="2" t="s">
        <v>4470</v>
      </c>
      <c r="B1308" s="2" t="s">
        <v>7754</v>
      </c>
    </row>
    <row r="1309" spans="1:2">
      <c r="A1309" s="2" t="s">
        <v>5466</v>
      </c>
      <c r="B1309" s="2" t="s">
        <v>7754</v>
      </c>
    </row>
    <row r="1310" spans="1:2">
      <c r="A1310" s="2" t="s">
        <v>7787</v>
      </c>
      <c r="B1310" s="2" t="s">
        <v>7754</v>
      </c>
    </row>
    <row r="1311" spans="1:2">
      <c r="A1311" s="2" t="s">
        <v>7788</v>
      </c>
      <c r="B1311" s="2" t="s">
        <v>7754</v>
      </c>
    </row>
    <row r="1312" spans="1:2">
      <c r="A1312" s="2" t="s">
        <v>7789</v>
      </c>
      <c r="B1312" s="2" t="s">
        <v>7754</v>
      </c>
    </row>
    <row r="1313" spans="1:2">
      <c r="A1313" s="2" t="s">
        <v>7790</v>
      </c>
      <c r="B1313" s="2" t="s">
        <v>7754</v>
      </c>
    </row>
    <row r="1314" spans="1:2">
      <c r="A1314" s="2" t="s">
        <v>7791</v>
      </c>
      <c r="B1314" s="2" t="s">
        <v>7754</v>
      </c>
    </row>
    <row r="1315" spans="1:2">
      <c r="A1315" s="2" t="s">
        <v>7792</v>
      </c>
      <c r="B1315" s="2" t="s">
        <v>7754</v>
      </c>
    </row>
    <row r="1316" spans="1:2">
      <c r="A1316" s="2" t="s">
        <v>7793</v>
      </c>
      <c r="B1316" s="2" t="s">
        <v>7754</v>
      </c>
    </row>
    <row r="1317" spans="1:2">
      <c r="A1317" s="2" t="s">
        <v>7794</v>
      </c>
      <c r="B1317" s="2" t="s">
        <v>7754</v>
      </c>
    </row>
    <row r="1318" spans="1:2">
      <c r="A1318" s="2" t="s">
        <v>7795</v>
      </c>
      <c r="B1318" s="2" t="s">
        <v>7754</v>
      </c>
    </row>
    <row r="1319" spans="1:2">
      <c r="A1319" s="2" t="s">
        <v>7796</v>
      </c>
      <c r="B1319" s="2" t="s">
        <v>7754</v>
      </c>
    </row>
    <row r="1320" spans="1:2">
      <c r="A1320" s="2" t="s">
        <v>7797</v>
      </c>
      <c r="B1320" s="2" t="s">
        <v>7754</v>
      </c>
    </row>
    <row r="1321" spans="1:2">
      <c r="A1321" s="2" t="s">
        <v>7798</v>
      </c>
      <c r="B1321" s="2" t="s">
        <v>7754</v>
      </c>
    </row>
    <row r="1322" spans="1:2">
      <c r="A1322" s="2" t="s">
        <v>7799</v>
      </c>
      <c r="B1322" s="2" t="s">
        <v>7754</v>
      </c>
    </row>
    <row r="1323" spans="1:2">
      <c r="A1323" s="2" t="s">
        <v>7800</v>
      </c>
      <c r="B1323" s="2" t="s">
        <v>7754</v>
      </c>
    </row>
    <row r="1324" spans="1:2">
      <c r="A1324" s="2" t="s">
        <v>7801</v>
      </c>
      <c r="B1324" s="2" t="s">
        <v>7754</v>
      </c>
    </row>
    <row r="1325" spans="1:2">
      <c r="A1325" s="2" t="s">
        <v>7802</v>
      </c>
      <c r="B1325" s="2" t="s">
        <v>7754</v>
      </c>
    </row>
    <row r="1326" spans="1:2">
      <c r="A1326" s="2" t="s">
        <v>7803</v>
      </c>
      <c r="B1326" s="2" t="s">
        <v>7754</v>
      </c>
    </row>
    <row r="1327" spans="1:2">
      <c r="A1327" s="2" t="s">
        <v>7804</v>
      </c>
      <c r="B1327" s="2" t="s">
        <v>7754</v>
      </c>
    </row>
    <row r="1328" spans="1:2">
      <c r="A1328" s="2" t="s">
        <v>7805</v>
      </c>
      <c r="B1328" s="2" t="s">
        <v>7754</v>
      </c>
    </row>
    <row r="1329" spans="1:2">
      <c r="A1329" s="2" t="s">
        <v>7806</v>
      </c>
      <c r="B1329" s="2" t="s">
        <v>7754</v>
      </c>
    </row>
    <row r="1330" spans="1:2">
      <c r="A1330" s="2" t="s">
        <v>4675</v>
      </c>
      <c r="B1330" s="2" t="s">
        <v>7754</v>
      </c>
    </row>
    <row r="1331" spans="1:2">
      <c r="A1331" s="2" t="s">
        <v>7807</v>
      </c>
      <c r="B1331" s="2" t="s">
        <v>7754</v>
      </c>
    </row>
    <row r="1332" spans="1:2">
      <c r="A1332" s="2" t="s">
        <v>6209</v>
      </c>
      <c r="B1332" s="2" t="s">
        <v>7754</v>
      </c>
    </row>
    <row r="1333" spans="1:2">
      <c r="A1333" s="2" t="s">
        <v>4304</v>
      </c>
      <c r="B1333" s="2" t="s">
        <v>2793</v>
      </c>
    </row>
    <row r="1334" spans="1:2">
      <c r="A1334" s="2" t="s">
        <v>5206</v>
      </c>
      <c r="B1334" s="2" t="s">
        <v>2793</v>
      </c>
    </row>
    <row r="1335" spans="1:2">
      <c r="A1335" s="2" t="s">
        <v>5208</v>
      </c>
      <c r="B1335" s="2" t="s">
        <v>2793</v>
      </c>
    </row>
    <row r="1336" spans="1:2">
      <c r="A1336" s="2" t="s">
        <v>5209</v>
      </c>
      <c r="B1336" s="2" t="s">
        <v>2793</v>
      </c>
    </row>
    <row r="1337" spans="1:2">
      <c r="A1337" s="2" t="s">
        <v>5210</v>
      </c>
      <c r="B1337" s="2" t="s">
        <v>2793</v>
      </c>
    </row>
    <row r="1338" spans="1:2">
      <c r="A1338" s="2" t="s">
        <v>5258</v>
      </c>
      <c r="B1338" s="2" t="s">
        <v>2793</v>
      </c>
    </row>
    <row r="1339" spans="1:2">
      <c r="A1339" s="2" t="s">
        <v>6498</v>
      </c>
      <c r="B1339" s="2" t="s">
        <v>2793</v>
      </c>
    </row>
    <row r="1340" spans="1:2">
      <c r="A1340" s="2" t="s">
        <v>5460</v>
      </c>
      <c r="B1340" s="2" t="s">
        <v>2793</v>
      </c>
    </row>
    <row r="1341" spans="1:2">
      <c r="A1341" s="2" t="s">
        <v>5462</v>
      </c>
      <c r="B1341" s="2" t="s">
        <v>2793</v>
      </c>
    </row>
    <row r="1342" spans="1:2">
      <c r="A1342" s="2" t="s">
        <v>4469</v>
      </c>
      <c r="B1342" s="2" t="s">
        <v>2793</v>
      </c>
    </row>
    <row r="1343" spans="1:2">
      <c r="A1343" s="2" t="s">
        <v>5908</v>
      </c>
      <c r="B1343" s="2" t="s">
        <v>2793</v>
      </c>
    </row>
    <row r="1344" spans="1:2">
      <c r="A1344" s="2" t="s">
        <v>5912</v>
      </c>
      <c r="B1344" s="2" t="s">
        <v>2793</v>
      </c>
    </row>
    <row r="1345" spans="1:2">
      <c r="A1345" s="2" t="s">
        <v>6877</v>
      </c>
      <c r="B1345" s="2" t="s">
        <v>2793</v>
      </c>
    </row>
    <row r="1346" spans="1:2">
      <c r="A1346" s="2" t="s">
        <v>2788</v>
      </c>
      <c r="B1346" s="2" t="s">
        <v>2793</v>
      </c>
    </row>
    <row r="1347" spans="1:2">
      <c r="A1347" s="2" t="s">
        <v>2802</v>
      </c>
      <c r="B1347" s="2" t="s">
        <v>2793</v>
      </c>
    </row>
    <row r="1348" spans="1:2">
      <c r="A1348" s="2" t="s">
        <v>5914</v>
      </c>
      <c r="B1348" s="2" t="s">
        <v>2793</v>
      </c>
    </row>
    <row r="1349" spans="1:2">
      <c r="A1349" s="2" t="s">
        <v>4698</v>
      </c>
      <c r="B1349" s="2" t="s">
        <v>2793</v>
      </c>
    </row>
    <row r="1350" spans="1:2">
      <c r="A1350" s="2" t="s">
        <v>6937</v>
      </c>
      <c r="B1350" s="2" t="s">
        <v>2793</v>
      </c>
    </row>
    <row r="1351" spans="1:2">
      <c r="A1351" s="2" t="s">
        <v>6941</v>
      </c>
      <c r="B1351" s="2" t="s">
        <v>2793</v>
      </c>
    </row>
    <row r="1352" spans="1:2">
      <c r="A1352" s="2" t="s">
        <v>2862</v>
      </c>
      <c r="B1352" s="2" t="s">
        <v>2793</v>
      </c>
    </row>
    <row r="1353" spans="1:2">
      <c r="A1353" s="2" t="s">
        <v>5922</v>
      </c>
      <c r="B1353" s="2" t="s">
        <v>2793</v>
      </c>
    </row>
    <row r="1354" spans="1:2">
      <c r="A1354" s="2" t="s">
        <v>5924</v>
      </c>
      <c r="B1354" s="2" t="s">
        <v>2793</v>
      </c>
    </row>
    <row r="1355" spans="1:2">
      <c r="A1355" s="2" t="s">
        <v>6956</v>
      </c>
      <c r="B1355" s="2" t="s">
        <v>2793</v>
      </c>
    </row>
    <row r="1356" spans="1:2">
      <c r="A1356" s="2" t="s">
        <v>5935</v>
      </c>
      <c r="B1356" s="2" t="s">
        <v>2793</v>
      </c>
    </row>
    <row r="1357" spans="1:2">
      <c r="A1357" s="2" t="s">
        <v>4713</v>
      </c>
      <c r="B1357" s="2" t="s">
        <v>2793</v>
      </c>
    </row>
    <row r="1358" spans="1:2">
      <c r="A1358" s="2" t="s">
        <v>5936</v>
      </c>
      <c r="B1358" s="2" t="s">
        <v>2793</v>
      </c>
    </row>
    <row r="1359" spans="1:2">
      <c r="A1359" s="2" t="s">
        <v>6960</v>
      </c>
      <c r="B1359" s="2" t="s">
        <v>2793</v>
      </c>
    </row>
    <row r="1360" spans="1:2">
      <c r="A1360" s="2" t="s">
        <v>7098</v>
      </c>
      <c r="B1360" s="2" t="s">
        <v>2793</v>
      </c>
    </row>
    <row r="1361" spans="1:2">
      <c r="A1361" s="2" t="s">
        <v>6083</v>
      </c>
      <c r="B1361" s="2" t="s">
        <v>2793</v>
      </c>
    </row>
    <row r="1362" spans="1:2">
      <c r="A1362" s="2" t="s">
        <v>4302</v>
      </c>
      <c r="B1362" s="2" t="s">
        <v>1669</v>
      </c>
    </row>
    <row r="1363" spans="1:2">
      <c r="A1363" s="2" t="s">
        <v>5379</v>
      </c>
      <c r="B1363" s="2" t="s">
        <v>1669</v>
      </c>
    </row>
    <row r="1364" spans="1:2">
      <c r="A1364" s="2" t="s">
        <v>5555</v>
      </c>
      <c r="B1364" s="2" t="s">
        <v>1669</v>
      </c>
    </row>
    <row r="1365" spans="1:2">
      <c r="A1365" s="2" t="s">
        <v>5632</v>
      </c>
      <c r="B1365" s="2" t="s">
        <v>1669</v>
      </c>
    </row>
    <row r="1366" spans="1:2">
      <c r="A1366" s="2" t="s">
        <v>5649</v>
      </c>
      <c r="B1366" s="2" t="s">
        <v>1669</v>
      </c>
    </row>
    <row r="1367" spans="1:2">
      <c r="A1367" s="2" t="s">
        <v>5920</v>
      </c>
      <c r="B1367" s="2" t="s">
        <v>1669</v>
      </c>
    </row>
    <row r="1368" spans="1:2">
      <c r="A1368" s="2" t="s">
        <v>7808</v>
      </c>
      <c r="B1368" s="2" t="s">
        <v>1669</v>
      </c>
    </row>
    <row r="1369" spans="1:2">
      <c r="A1369" s="2" t="s">
        <v>4707</v>
      </c>
      <c r="B1369" s="2" t="s">
        <v>1669</v>
      </c>
    </row>
    <row r="1370" spans="1:2">
      <c r="A1370" s="2" t="s">
        <v>5928</v>
      </c>
      <c r="B1370" s="2" t="s">
        <v>1669</v>
      </c>
    </row>
    <row r="1371" spans="1:2">
      <c r="A1371" s="2" t="s">
        <v>5930</v>
      </c>
      <c r="B1371" s="2" t="s">
        <v>1669</v>
      </c>
    </row>
    <row r="1372" spans="1:2">
      <c r="A1372" s="2" t="s">
        <v>7037</v>
      </c>
      <c r="B1372" s="2" t="s">
        <v>1669</v>
      </c>
    </row>
    <row r="1373" spans="1:2">
      <c r="A1373" s="2" t="s">
        <v>7042</v>
      </c>
      <c r="B1373" s="2" t="s">
        <v>1669</v>
      </c>
    </row>
    <row r="1374" spans="1:2">
      <c r="A1374" s="2" t="s">
        <v>4970</v>
      </c>
      <c r="B1374" s="2" t="s">
        <v>1669</v>
      </c>
    </row>
    <row r="1375" spans="1:2">
      <c r="A1375" s="2" t="s">
        <v>5724</v>
      </c>
      <c r="B1375" s="2" t="s">
        <v>1669</v>
      </c>
    </row>
    <row r="1376" spans="1:2">
      <c r="A1376" s="2" t="s">
        <v>7809</v>
      </c>
      <c r="B1376" s="2" t="s">
        <v>1669</v>
      </c>
    </row>
    <row r="1377" spans="1:2">
      <c r="A1377" s="2" t="s">
        <v>7810</v>
      </c>
      <c r="B1377" s="2" t="s">
        <v>1669</v>
      </c>
    </row>
    <row r="1378" spans="1:2">
      <c r="A1378" s="2" t="s">
        <v>6237</v>
      </c>
      <c r="B1378" s="2" t="s">
        <v>1669</v>
      </c>
    </row>
    <row r="1379" spans="1:2">
      <c r="A1379" s="2" t="s">
        <v>4175</v>
      </c>
      <c r="B1379" s="2" t="s">
        <v>7811</v>
      </c>
    </row>
    <row r="1380" spans="1:2">
      <c r="A1380" s="2" t="s">
        <v>4177</v>
      </c>
      <c r="B1380" s="2" t="s">
        <v>7811</v>
      </c>
    </row>
    <row r="1381" spans="1:2">
      <c r="A1381" s="2" t="s">
        <v>4178</v>
      </c>
      <c r="B1381" s="2" t="s">
        <v>7811</v>
      </c>
    </row>
    <row r="1382" spans="1:2">
      <c r="A1382" s="2" t="s">
        <v>4179</v>
      </c>
      <c r="B1382" s="2" t="s">
        <v>7811</v>
      </c>
    </row>
    <row r="1383" spans="1:2">
      <c r="A1383" s="2" t="s">
        <v>4180</v>
      </c>
      <c r="B1383" s="2" t="s">
        <v>7811</v>
      </c>
    </row>
    <row r="1384" spans="1:2">
      <c r="A1384" s="2" t="s">
        <v>4181</v>
      </c>
      <c r="B1384" s="2" t="s">
        <v>7811</v>
      </c>
    </row>
    <row r="1385" spans="1:2">
      <c r="A1385" s="2" t="s">
        <v>4182</v>
      </c>
      <c r="B1385" s="2" t="s">
        <v>7811</v>
      </c>
    </row>
    <row r="1386" spans="1:2">
      <c r="A1386" s="2" t="s">
        <v>4183</v>
      </c>
      <c r="B1386" s="2" t="s">
        <v>7811</v>
      </c>
    </row>
    <row r="1387" spans="1:2">
      <c r="A1387" s="2" t="s">
        <v>4184</v>
      </c>
      <c r="B1387" s="2" t="s">
        <v>7811</v>
      </c>
    </row>
    <row r="1388" spans="1:2">
      <c r="A1388" s="2" t="s">
        <v>4185</v>
      </c>
      <c r="B1388" s="2" t="s">
        <v>7811</v>
      </c>
    </row>
    <row r="1389" spans="1:2">
      <c r="A1389" s="2" t="s">
        <v>4186</v>
      </c>
      <c r="B1389" s="2" t="s">
        <v>7811</v>
      </c>
    </row>
    <row r="1390" spans="1:2">
      <c r="A1390" s="2" t="s">
        <v>7812</v>
      </c>
      <c r="B1390" s="2" t="s">
        <v>7811</v>
      </c>
    </row>
    <row r="1391" spans="1:2">
      <c r="A1391" s="2" t="s">
        <v>4187</v>
      </c>
      <c r="B1391" s="2" t="s">
        <v>7811</v>
      </c>
    </row>
    <row r="1392" spans="1:2">
      <c r="A1392" s="2" t="s">
        <v>7813</v>
      </c>
      <c r="B1392" s="2" t="s">
        <v>7811</v>
      </c>
    </row>
    <row r="1393" spans="1:2">
      <c r="A1393" s="2" t="s">
        <v>7814</v>
      </c>
      <c r="B1393" s="2" t="s">
        <v>7811</v>
      </c>
    </row>
    <row r="1394" spans="1:2">
      <c r="A1394" s="2" t="s">
        <v>7815</v>
      </c>
      <c r="B1394" s="2" t="s">
        <v>7811</v>
      </c>
    </row>
    <row r="1395" spans="1:2">
      <c r="A1395" s="2" t="s">
        <v>7816</v>
      </c>
      <c r="B1395" s="2" t="s">
        <v>7811</v>
      </c>
    </row>
    <row r="1396" spans="1:2">
      <c r="A1396" s="2" t="s">
        <v>7817</v>
      </c>
      <c r="B1396" s="2" t="s">
        <v>7811</v>
      </c>
    </row>
    <row r="1397" spans="1:2">
      <c r="A1397" s="2" t="s">
        <v>7818</v>
      </c>
      <c r="B1397" s="2" t="s">
        <v>7811</v>
      </c>
    </row>
    <row r="1398" spans="1:2">
      <c r="A1398" s="2" t="s">
        <v>7819</v>
      </c>
      <c r="B1398" s="2" t="s">
        <v>7811</v>
      </c>
    </row>
    <row r="1399" spans="1:2">
      <c r="A1399" s="2" t="s">
        <v>7820</v>
      </c>
      <c r="B1399" s="2" t="s">
        <v>7811</v>
      </c>
    </row>
    <row r="1400" spans="1:2">
      <c r="A1400" s="2" t="s">
        <v>7821</v>
      </c>
      <c r="B1400" s="2" t="s">
        <v>7811</v>
      </c>
    </row>
    <row r="1401" spans="1:2">
      <c r="A1401" s="2" t="s">
        <v>4818</v>
      </c>
      <c r="B1401" s="2" t="s">
        <v>7811</v>
      </c>
    </row>
    <row r="1402" spans="1:2">
      <c r="A1402" s="2" t="s">
        <v>5435</v>
      </c>
      <c r="B1402" s="2" t="s">
        <v>1246</v>
      </c>
    </row>
    <row r="1403" spans="1:2">
      <c r="A1403" s="2" t="s">
        <v>5436</v>
      </c>
      <c r="B1403" s="2" t="s">
        <v>1246</v>
      </c>
    </row>
    <row r="1404" spans="1:2">
      <c r="A1404" s="2" t="s">
        <v>5548</v>
      </c>
      <c r="B1404" s="2" t="s">
        <v>1246</v>
      </c>
    </row>
    <row r="1405" spans="1:2">
      <c r="A1405" s="2" t="s">
        <v>5549</v>
      </c>
      <c r="B1405" s="2" t="s">
        <v>1246</v>
      </c>
    </row>
    <row r="1406" spans="1:2">
      <c r="A1406" s="2" t="s">
        <v>5554</v>
      </c>
      <c r="B1406" s="2" t="s">
        <v>1246</v>
      </c>
    </row>
    <row r="1407" spans="1:2">
      <c r="A1407" s="2" t="s">
        <v>5560</v>
      </c>
      <c r="B1407" s="2" t="s">
        <v>1246</v>
      </c>
    </row>
    <row r="1408" spans="1:2">
      <c r="A1408" s="2" t="s">
        <v>5561</v>
      </c>
      <c r="B1408" s="2" t="s">
        <v>1246</v>
      </c>
    </row>
    <row r="1409" spans="1:2">
      <c r="A1409" s="2" t="s">
        <v>5564</v>
      </c>
      <c r="B1409" s="2" t="s">
        <v>1246</v>
      </c>
    </row>
    <row r="1410" spans="1:2">
      <c r="A1410" s="2" t="s">
        <v>6589</v>
      </c>
      <c r="B1410" s="2" t="s">
        <v>1246</v>
      </c>
    </row>
    <row r="1411" spans="1:2">
      <c r="A1411" s="2" t="s">
        <v>5566</v>
      </c>
      <c r="B1411" s="2" t="s">
        <v>1246</v>
      </c>
    </row>
    <row r="1412" spans="1:2">
      <c r="A1412" s="2" t="s">
        <v>5569</v>
      </c>
      <c r="B1412" s="2" t="s">
        <v>1246</v>
      </c>
    </row>
    <row r="1413" spans="1:2">
      <c r="A1413" s="2" t="s">
        <v>6667</v>
      </c>
      <c r="B1413" s="2" t="s">
        <v>1246</v>
      </c>
    </row>
    <row r="1414" spans="1:2">
      <c r="A1414" s="2" t="s">
        <v>6680</v>
      </c>
      <c r="B1414" s="2" t="s">
        <v>1246</v>
      </c>
    </row>
    <row r="1415" spans="1:2">
      <c r="A1415" s="2" t="s">
        <v>5864</v>
      </c>
      <c r="B1415" s="2" t="s">
        <v>1246</v>
      </c>
    </row>
    <row r="1416" spans="1:2">
      <c r="A1416" s="2" t="s">
        <v>5868</v>
      </c>
      <c r="B1416" s="2" t="s">
        <v>1246</v>
      </c>
    </row>
    <row r="1417" spans="1:2">
      <c r="A1417" s="2" t="s">
        <v>5899</v>
      </c>
      <c r="B1417" s="2" t="s">
        <v>1246</v>
      </c>
    </row>
    <row r="1418" spans="1:2">
      <c r="A1418" s="2" t="s">
        <v>5900</v>
      </c>
      <c r="B1418" s="2" t="s">
        <v>1246</v>
      </c>
    </row>
    <row r="1419" spans="1:2">
      <c r="A1419" s="2" t="s">
        <v>2770</v>
      </c>
      <c r="B1419" s="2" t="s">
        <v>1246</v>
      </c>
    </row>
    <row r="1420" spans="1:2">
      <c r="A1420" s="2" t="s">
        <v>6860</v>
      </c>
      <c r="B1420" s="2" t="s">
        <v>1246</v>
      </c>
    </row>
    <row r="1421" spans="1:2">
      <c r="A1421" s="2" t="s">
        <v>5903</v>
      </c>
      <c r="B1421" s="2" t="s">
        <v>1246</v>
      </c>
    </row>
    <row r="1422" spans="1:2">
      <c r="A1422" s="2" t="s">
        <v>7822</v>
      </c>
      <c r="B1422" s="2" t="s">
        <v>1246</v>
      </c>
    </row>
    <row r="1423" spans="1:2">
      <c r="A1423" s="2" t="s">
        <v>5905</v>
      </c>
      <c r="B1423" s="2" t="s">
        <v>1246</v>
      </c>
    </row>
    <row r="1424" spans="1:2">
      <c r="A1424" s="2" t="s">
        <v>4351</v>
      </c>
      <c r="B1424" s="2" t="s">
        <v>6842</v>
      </c>
    </row>
    <row r="1425" spans="1:2">
      <c r="A1425" s="2" t="s">
        <v>7823</v>
      </c>
      <c r="B1425" s="2" t="s">
        <v>6842</v>
      </c>
    </row>
    <row r="1426" spans="1:2">
      <c r="A1426" s="2" t="s">
        <v>4400</v>
      </c>
      <c r="B1426" s="2" t="s">
        <v>6842</v>
      </c>
    </row>
    <row r="1427" spans="1:2">
      <c r="A1427" s="2" t="s">
        <v>4402</v>
      </c>
      <c r="B1427" s="2" t="s">
        <v>6842</v>
      </c>
    </row>
    <row r="1428" spans="1:2">
      <c r="A1428" s="2" t="s">
        <v>7824</v>
      </c>
      <c r="B1428" s="2" t="s">
        <v>6842</v>
      </c>
    </row>
    <row r="1429" spans="1:2">
      <c r="A1429" s="2" t="s">
        <v>4606</v>
      </c>
      <c r="B1429" s="2" t="s">
        <v>6842</v>
      </c>
    </row>
    <row r="1430" spans="1:2">
      <c r="A1430" s="2" t="s">
        <v>4608</v>
      </c>
      <c r="B1430" s="2" t="s">
        <v>6842</v>
      </c>
    </row>
    <row r="1431" spans="1:2">
      <c r="A1431" s="2" t="s">
        <v>6837</v>
      </c>
      <c r="B1431" s="2" t="s">
        <v>6842</v>
      </c>
    </row>
    <row r="1432" spans="1:2">
      <c r="A1432" s="2" t="s">
        <v>4694</v>
      </c>
      <c r="B1432" s="2" t="s">
        <v>6842</v>
      </c>
    </row>
    <row r="1433" spans="1:2">
      <c r="A1433" s="2" t="s">
        <v>4696</v>
      </c>
      <c r="B1433" s="2" t="s">
        <v>6842</v>
      </c>
    </row>
    <row r="1434" spans="1:2">
      <c r="A1434" s="2" t="s">
        <v>7825</v>
      </c>
      <c r="B1434" s="2" t="s">
        <v>6842</v>
      </c>
    </row>
    <row r="1435" spans="1:2">
      <c r="A1435" s="2" t="s">
        <v>6951</v>
      </c>
      <c r="B1435" s="2" t="s">
        <v>6842</v>
      </c>
    </row>
    <row r="1436" spans="1:2">
      <c r="A1436" s="2" t="s">
        <v>3156</v>
      </c>
      <c r="B1436" s="2" t="s">
        <v>6842</v>
      </c>
    </row>
    <row r="1437" spans="1:2">
      <c r="A1437" s="2" t="s">
        <v>7104</v>
      </c>
      <c r="B1437" s="2" t="s">
        <v>6842</v>
      </c>
    </row>
    <row r="1438" spans="1:2">
      <c r="A1438" s="2" t="s">
        <v>3939</v>
      </c>
      <c r="B1438" s="2" t="s">
        <v>6842</v>
      </c>
    </row>
    <row r="1439" spans="1:2">
      <c r="A1439" s="2" t="s">
        <v>4996</v>
      </c>
      <c r="B1439" s="2" t="s">
        <v>131</v>
      </c>
    </row>
    <row r="1440" spans="1:2">
      <c r="A1440" s="2" t="s">
        <v>5123</v>
      </c>
      <c r="B1440" s="2" t="s">
        <v>131</v>
      </c>
    </row>
    <row r="1441" spans="1:2">
      <c r="A1441" s="2" t="s">
        <v>5124</v>
      </c>
      <c r="B1441" s="2" t="s">
        <v>131</v>
      </c>
    </row>
    <row r="1442" spans="1:2">
      <c r="A1442" s="2" t="s">
        <v>5125</v>
      </c>
      <c r="B1442" s="2" t="s">
        <v>131</v>
      </c>
    </row>
    <row r="1443" spans="1:2">
      <c r="A1443" s="2" t="s">
        <v>5138</v>
      </c>
      <c r="B1443" s="2" t="s">
        <v>131</v>
      </c>
    </row>
    <row r="1444" spans="1:2">
      <c r="A1444" s="2" t="s">
        <v>5232</v>
      </c>
      <c r="B1444" s="2" t="s">
        <v>131</v>
      </c>
    </row>
    <row r="1445" spans="1:2">
      <c r="A1445" s="2" t="s">
        <v>5236</v>
      </c>
      <c r="B1445" s="2" t="s">
        <v>131</v>
      </c>
    </row>
    <row r="1446" spans="1:2">
      <c r="A1446" s="2" t="s">
        <v>5238</v>
      </c>
      <c r="B1446" s="2" t="s">
        <v>131</v>
      </c>
    </row>
    <row r="1447" spans="1:2">
      <c r="A1447" s="2" t="s">
        <v>5240</v>
      </c>
      <c r="B1447" s="2" t="s">
        <v>131</v>
      </c>
    </row>
    <row r="1448" spans="1:2">
      <c r="A1448" s="2" t="s">
        <v>5317</v>
      </c>
      <c r="B1448" s="2" t="s">
        <v>131</v>
      </c>
    </row>
    <row r="1449" spans="1:2">
      <c r="A1449" s="2" t="s">
        <v>5401</v>
      </c>
      <c r="B1449" s="2" t="s">
        <v>131</v>
      </c>
    </row>
    <row r="1450" spans="1:2">
      <c r="A1450" s="2" t="s">
        <v>5453</v>
      </c>
      <c r="B1450" s="2" t="s">
        <v>131</v>
      </c>
    </row>
    <row r="1451" spans="1:2">
      <c r="A1451" s="2" t="s">
        <v>5454</v>
      </c>
      <c r="B1451" s="2" t="s">
        <v>131</v>
      </c>
    </row>
    <row r="1452" spans="1:2">
      <c r="A1452" s="2" t="s">
        <v>5456</v>
      </c>
      <c r="B1452" s="2" t="s">
        <v>131</v>
      </c>
    </row>
    <row r="1453" spans="1:2">
      <c r="A1453" s="2" t="s">
        <v>903</v>
      </c>
      <c r="B1453" s="2" t="s">
        <v>131</v>
      </c>
    </row>
    <row r="1454" spans="1:2">
      <c r="A1454" s="2" t="s">
        <v>6505</v>
      </c>
      <c r="B1454" s="2" t="s">
        <v>131</v>
      </c>
    </row>
    <row r="1455" spans="1:2">
      <c r="A1455" s="2" t="s">
        <v>6851</v>
      </c>
      <c r="B1455" s="2" t="s">
        <v>131</v>
      </c>
    </row>
    <row r="1456" spans="1:2">
      <c r="A1456" s="2" t="s">
        <v>5906</v>
      </c>
      <c r="B1456" s="2" t="s">
        <v>131</v>
      </c>
    </row>
    <row r="1457" spans="1:2">
      <c r="A1457" s="2" t="s">
        <v>5962</v>
      </c>
      <c r="B1457" s="2" t="s">
        <v>131</v>
      </c>
    </row>
    <row r="1458" spans="1:2">
      <c r="A1458" s="2" t="s">
        <v>6015</v>
      </c>
      <c r="B1458" s="2" t="s">
        <v>131</v>
      </c>
    </row>
    <row r="1459" spans="1:2">
      <c r="A1459" s="2" t="s">
        <v>6016</v>
      </c>
      <c r="B1459" s="2" t="s">
        <v>131</v>
      </c>
    </row>
    <row r="1460" spans="1:2">
      <c r="A1460" s="2" t="s">
        <v>6022</v>
      </c>
      <c r="B1460" s="2" t="s">
        <v>131</v>
      </c>
    </row>
    <row r="1461" spans="1:2">
      <c r="A1461" s="2" t="s">
        <v>6023</v>
      </c>
      <c r="B1461" s="2" t="s">
        <v>131</v>
      </c>
    </row>
    <row r="1462" spans="1:2">
      <c r="A1462" s="2" t="s">
        <v>3166</v>
      </c>
      <c r="B1462" s="2" t="s">
        <v>131</v>
      </c>
    </row>
    <row r="1463" spans="1:2">
      <c r="A1463" s="2" t="s">
        <v>6028</v>
      </c>
      <c r="B1463" s="2" t="s">
        <v>131</v>
      </c>
    </row>
    <row r="1464" spans="1:2">
      <c r="A1464" s="2" t="s">
        <v>6030</v>
      </c>
      <c r="B1464" s="2" t="s">
        <v>131</v>
      </c>
    </row>
    <row r="1465" spans="1:2">
      <c r="A1465" s="2" t="s">
        <v>7154</v>
      </c>
      <c r="B1465" s="2" t="s">
        <v>131</v>
      </c>
    </row>
    <row r="1466" spans="1:2">
      <c r="A1466" s="2" t="s">
        <v>7279</v>
      </c>
      <c r="B1466" s="2" t="s">
        <v>131</v>
      </c>
    </row>
    <row r="1467" spans="1:2">
      <c r="A1467" s="2" t="s">
        <v>6507</v>
      </c>
      <c r="B1467" s="2" t="s">
        <v>398</v>
      </c>
    </row>
    <row r="1468" spans="1:2">
      <c r="A1468" s="2" t="s">
        <v>7826</v>
      </c>
      <c r="B1468" s="2" t="s">
        <v>398</v>
      </c>
    </row>
    <row r="1469" spans="1:2">
      <c r="A1469" s="2" t="s">
        <v>7827</v>
      </c>
      <c r="B1469" s="2" t="s">
        <v>398</v>
      </c>
    </row>
    <row r="1470" spans="1:2">
      <c r="A1470" s="2" t="s">
        <v>921</v>
      </c>
      <c r="B1470" s="2" t="s">
        <v>393</v>
      </c>
    </row>
    <row r="1471" spans="1:2">
      <c r="A1471" s="2" t="s">
        <v>5584</v>
      </c>
      <c r="B1471" s="2" t="s">
        <v>393</v>
      </c>
    </row>
    <row r="1472" spans="1:2">
      <c r="A1472" s="2" t="s">
        <v>5586</v>
      </c>
      <c r="B1472" s="2" t="s">
        <v>393</v>
      </c>
    </row>
    <row r="1473" spans="1:2">
      <c r="A1473" s="2" t="s">
        <v>5587</v>
      </c>
      <c r="B1473" s="2" t="s">
        <v>393</v>
      </c>
    </row>
    <row r="1474" spans="1:2">
      <c r="A1474" s="2" t="s">
        <v>5589</v>
      </c>
      <c r="B1474" s="2" t="s">
        <v>393</v>
      </c>
    </row>
    <row r="1475" spans="1:2">
      <c r="A1475" s="2" t="s">
        <v>5659</v>
      </c>
      <c r="B1475" s="2" t="s">
        <v>393</v>
      </c>
    </row>
    <row r="1476" spans="1:2">
      <c r="A1476" s="2" t="s">
        <v>5994</v>
      </c>
      <c r="B1476" s="2" t="s">
        <v>393</v>
      </c>
    </row>
    <row r="1477" spans="1:2">
      <c r="A1477" s="2" t="s">
        <v>5996</v>
      </c>
      <c r="B1477" s="2" t="s">
        <v>393</v>
      </c>
    </row>
    <row r="1478" spans="1:2">
      <c r="A1478" s="2" t="s">
        <v>3053</v>
      </c>
      <c r="B1478" s="2" t="s">
        <v>393</v>
      </c>
    </row>
    <row r="1479" spans="1:2">
      <c r="A1479" s="2" t="s">
        <v>6003</v>
      </c>
      <c r="B1479" s="2" t="s">
        <v>393</v>
      </c>
    </row>
    <row r="1480" spans="1:2">
      <c r="A1480" s="2" t="s">
        <v>3188</v>
      </c>
      <c r="B1480" s="2" t="s">
        <v>393</v>
      </c>
    </row>
    <row r="1481" spans="1:2">
      <c r="A1481" s="2" t="s">
        <v>6037</v>
      </c>
      <c r="B1481" s="2" t="s">
        <v>393</v>
      </c>
    </row>
    <row r="1482" spans="1:2">
      <c r="A1482" s="2" t="s">
        <v>3692</v>
      </c>
      <c r="B1482" s="2" t="s">
        <v>393</v>
      </c>
    </row>
    <row r="1483" spans="1:2">
      <c r="A1483" s="2" t="s">
        <v>6093</v>
      </c>
      <c r="B1483" s="2" t="s">
        <v>393</v>
      </c>
    </row>
    <row r="1484" spans="1:2">
      <c r="A1484" s="2" t="s">
        <v>4932</v>
      </c>
      <c r="B1484" s="2" t="s">
        <v>393</v>
      </c>
    </row>
    <row r="1485" spans="1:2">
      <c r="A1485" s="2" t="s">
        <v>3756</v>
      </c>
      <c r="B1485" s="2" t="s">
        <v>393</v>
      </c>
    </row>
    <row r="1486" spans="1:2">
      <c r="A1486" s="2" t="s">
        <v>6094</v>
      </c>
      <c r="B1486" s="2" t="s">
        <v>393</v>
      </c>
    </row>
    <row r="1487" spans="1:2">
      <c r="A1487" s="2" t="s">
        <v>6095</v>
      </c>
      <c r="B1487" s="2" t="s">
        <v>393</v>
      </c>
    </row>
    <row r="1488" spans="1:2">
      <c r="A1488" s="2" t="s">
        <v>6183</v>
      </c>
      <c r="B1488" s="2" t="s">
        <v>393</v>
      </c>
    </row>
    <row r="1489" spans="1:2">
      <c r="A1489" s="2" t="s">
        <v>6185</v>
      </c>
      <c r="B1489" s="2" t="s">
        <v>393</v>
      </c>
    </row>
    <row r="1490" spans="1:2">
      <c r="A1490" s="2" t="s">
        <v>3983</v>
      </c>
      <c r="B1490" s="2" t="s">
        <v>2294</v>
      </c>
    </row>
    <row r="1491" spans="1:2">
      <c r="A1491" s="2" t="s">
        <v>5211</v>
      </c>
      <c r="B1491" s="2" t="s">
        <v>3325</v>
      </c>
    </row>
    <row r="1492" spans="1:2">
      <c r="A1492" s="2" t="s">
        <v>7828</v>
      </c>
      <c r="B1492" s="2" t="s">
        <v>3325</v>
      </c>
    </row>
    <row r="1493" spans="1:2">
      <c r="A1493" s="2" t="s">
        <v>7829</v>
      </c>
      <c r="B1493" s="2" t="s">
        <v>3325</v>
      </c>
    </row>
    <row r="1494" spans="1:2">
      <c r="A1494" s="2" t="s">
        <v>7830</v>
      </c>
      <c r="B1494" s="2" t="s">
        <v>3325</v>
      </c>
    </row>
    <row r="1495" spans="1:2">
      <c r="A1495" s="2" t="s">
        <v>7831</v>
      </c>
      <c r="B1495" s="2" t="s">
        <v>3325</v>
      </c>
    </row>
    <row r="1496" spans="1:2">
      <c r="A1496" s="2" t="s">
        <v>7832</v>
      </c>
      <c r="B1496" s="2" t="s">
        <v>3325</v>
      </c>
    </row>
    <row r="1497" spans="1:2">
      <c r="A1497" s="2" t="s">
        <v>7833</v>
      </c>
      <c r="B1497" s="2" t="s">
        <v>3325</v>
      </c>
    </row>
    <row r="1498" spans="1:2">
      <c r="A1498" s="2" t="s">
        <v>7834</v>
      </c>
      <c r="B1498" s="2" t="s">
        <v>3325</v>
      </c>
    </row>
    <row r="1499" spans="1:2">
      <c r="A1499" s="2" t="s">
        <v>5293</v>
      </c>
      <c r="B1499" s="2" t="s">
        <v>3325</v>
      </c>
    </row>
    <row r="1500" spans="1:2">
      <c r="A1500" s="2" t="s">
        <v>5295</v>
      </c>
      <c r="B1500" s="2" t="s">
        <v>3325</v>
      </c>
    </row>
    <row r="1501" spans="1:2">
      <c r="A1501" s="2" t="s">
        <v>6415</v>
      </c>
      <c r="B1501" s="2" t="s">
        <v>3325</v>
      </c>
    </row>
    <row r="1502" spans="1:2">
      <c r="A1502" s="2" t="s">
        <v>5363</v>
      </c>
      <c r="B1502" s="2" t="s">
        <v>3325</v>
      </c>
    </row>
    <row r="1503" spans="1:2">
      <c r="A1503" s="2" t="s">
        <v>5365</v>
      </c>
      <c r="B1503" s="2" t="s">
        <v>3325</v>
      </c>
    </row>
    <row r="1504" spans="1:2">
      <c r="A1504" s="2" t="s">
        <v>5441</v>
      </c>
      <c r="B1504" s="2" t="s">
        <v>3325</v>
      </c>
    </row>
    <row r="1505" spans="1:2">
      <c r="A1505" s="2" t="s">
        <v>5468</v>
      </c>
      <c r="B1505" s="2" t="s">
        <v>3325</v>
      </c>
    </row>
    <row r="1506" spans="1:2">
      <c r="A1506" s="2" t="s">
        <v>5470</v>
      </c>
      <c r="B1506" s="2" t="s">
        <v>3325</v>
      </c>
    </row>
    <row r="1507" spans="1:2">
      <c r="A1507" s="2" t="s">
        <v>5579</v>
      </c>
      <c r="B1507" s="2" t="s">
        <v>3325</v>
      </c>
    </row>
    <row r="1508" spans="1:2">
      <c r="A1508" s="2" t="s">
        <v>5776</v>
      </c>
      <c r="B1508" s="2" t="s">
        <v>3325</v>
      </c>
    </row>
    <row r="1509" spans="1:2">
      <c r="A1509" s="2" t="s">
        <v>7835</v>
      </c>
      <c r="B1509" s="2" t="s">
        <v>3325</v>
      </c>
    </row>
    <row r="1510" spans="1:2">
      <c r="A1510" s="2" t="s">
        <v>6008</v>
      </c>
      <c r="B1510" s="2" t="s">
        <v>3325</v>
      </c>
    </row>
    <row r="1511" spans="1:2">
      <c r="A1511" s="2" t="s">
        <v>6009</v>
      </c>
      <c r="B1511" s="2" t="s">
        <v>3325</v>
      </c>
    </row>
    <row r="1512" spans="1:2">
      <c r="A1512" s="2" t="s">
        <v>4807</v>
      </c>
      <c r="B1512" s="2" t="s">
        <v>3325</v>
      </c>
    </row>
    <row r="1513" spans="1:2">
      <c r="A1513" s="2" t="s">
        <v>4809</v>
      </c>
      <c r="B1513" s="2" t="s">
        <v>3325</v>
      </c>
    </row>
    <row r="1514" spans="1:2">
      <c r="A1514" s="2" t="s">
        <v>4810</v>
      </c>
      <c r="B1514" s="2" t="s">
        <v>3325</v>
      </c>
    </row>
    <row r="1515" spans="1:2">
      <c r="A1515" s="2" t="s">
        <v>6033</v>
      </c>
      <c r="B1515" s="2" t="s">
        <v>3325</v>
      </c>
    </row>
    <row r="1516" spans="1:2">
      <c r="A1516" s="2" t="s">
        <v>7122</v>
      </c>
      <c r="B1516" s="2" t="s">
        <v>3325</v>
      </c>
    </row>
    <row r="1517" spans="1:2">
      <c r="A1517" s="2" t="s">
        <v>6038</v>
      </c>
      <c r="B1517" s="2" t="s">
        <v>3325</v>
      </c>
    </row>
    <row r="1518" spans="1:2">
      <c r="A1518" s="2" t="s">
        <v>6047</v>
      </c>
      <c r="B1518" s="2" t="s">
        <v>3325</v>
      </c>
    </row>
    <row r="1519" spans="1:2">
      <c r="A1519" s="2" t="s">
        <v>6065</v>
      </c>
      <c r="B1519" s="2" t="s">
        <v>3325</v>
      </c>
    </row>
    <row r="1520" spans="1:2">
      <c r="A1520" s="2" t="s">
        <v>6109</v>
      </c>
      <c r="B1520" s="2" t="s">
        <v>3325</v>
      </c>
    </row>
    <row r="1521" spans="1:2">
      <c r="A1521" s="2" t="s">
        <v>6128</v>
      </c>
      <c r="B1521" s="2" t="s">
        <v>3325</v>
      </c>
    </row>
    <row r="1522" spans="1:2">
      <c r="A1522" s="2" t="s">
        <v>6130</v>
      </c>
      <c r="B1522" s="2" t="s">
        <v>3325</v>
      </c>
    </row>
    <row r="1523" spans="1:2">
      <c r="A1523" s="2" t="s">
        <v>6197</v>
      </c>
      <c r="B1523" s="2" t="s">
        <v>3325</v>
      </c>
    </row>
    <row r="1524" spans="1:2">
      <c r="A1524" s="2" t="s">
        <v>7836</v>
      </c>
      <c r="B1524" s="2" t="s">
        <v>3325</v>
      </c>
    </row>
    <row r="1525" spans="1:2">
      <c r="A1525" s="2" t="s">
        <v>6199</v>
      </c>
      <c r="B1525" s="2" t="s">
        <v>3325</v>
      </c>
    </row>
    <row r="1526" spans="1:2">
      <c r="A1526" s="2" t="s">
        <v>6204</v>
      </c>
      <c r="B1526" s="2" t="s">
        <v>3325</v>
      </c>
    </row>
    <row r="1527" spans="1:2">
      <c r="A1527" s="2" t="s">
        <v>7837</v>
      </c>
      <c r="B1527" s="2" t="s">
        <v>3325</v>
      </c>
    </row>
    <row r="1528" spans="1:2">
      <c r="A1528" s="2" t="s">
        <v>4951</v>
      </c>
      <c r="B1528" s="2" t="s">
        <v>3325</v>
      </c>
    </row>
    <row r="1529" spans="1:2">
      <c r="A1529" s="2" t="s">
        <v>4953</v>
      </c>
      <c r="B1529" s="2" t="s">
        <v>3325</v>
      </c>
    </row>
    <row r="1530" spans="1:2">
      <c r="A1530" s="2" t="s">
        <v>6205</v>
      </c>
      <c r="B1530" s="2" t="s">
        <v>3325</v>
      </c>
    </row>
    <row r="1531" spans="1:2">
      <c r="A1531" s="2" t="s">
        <v>4349</v>
      </c>
      <c r="B1531" s="2" t="s">
        <v>7443</v>
      </c>
    </row>
    <row r="1532" spans="1:2">
      <c r="A1532" s="2" t="s">
        <v>4372</v>
      </c>
      <c r="B1532" s="2" t="s">
        <v>7443</v>
      </c>
    </row>
    <row r="1533" spans="1:2">
      <c r="A1533" s="2" t="s">
        <v>7838</v>
      </c>
      <c r="B1533" s="2" t="s">
        <v>7443</v>
      </c>
    </row>
    <row r="1534" spans="1:2">
      <c r="A1534" s="2" t="s">
        <v>5551</v>
      </c>
      <c r="B1534" s="2" t="s">
        <v>7443</v>
      </c>
    </row>
    <row r="1535" spans="1:2">
      <c r="A1535" s="2" t="s">
        <v>4824</v>
      </c>
      <c r="B1535" s="2" t="s">
        <v>7443</v>
      </c>
    </row>
    <row r="1536" spans="1:2">
      <c r="A1536" s="2" t="s">
        <v>4826</v>
      </c>
      <c r="B1536" s="2" t="s">
        <v>7443</v>
      </c>
    </row>
    <row r="1537" spans="1:2">
      <c r="A1537" s="2" t="s">
        <v>4827</v>
      </c>
      <c r="B1537" s="2" t="s">
        <v>7443</v>
      </c>
    </row>
    <row r="1538" spans="1:2">
      <c r="A1538" s="2" t="s">
        <v>4829</v>
      </c>
      <c r="B1538" s="2" t="s">
        <v>7443</v>
      </c>
    </row>
    <row r="1539" spans="1:2">
      <c r="A1539" s="2" t="s">
        <v>6149</v>
      </c>
      <c r="B1539" s="2" t="s">
        <v>7443</v>
      </c>
    </row>
    <row r="1540" spans="1:2">
      <c r="A1540" s="2" t="s">
        <v>5069</v>
      </c>
      <c r="B1540" s="2" t="s">
        <v>2288</v>
      </c>
    </row>
    <row r="1541" spans="1:2">
      <c r="A1541" s="2" t="s">
        <v>4281</v>
      </c>
      <c r="B1541" s="2" t="s">
        <v>2288</v>
      </c>
    </row>
    <row r="1542" spans="1:2">
      <c r="A1542" s="2" t="s">
        <v>4283</v>
      </c>
      <c r="B1542" s="2" t="s">
        <v>2288</v>
      </c>
    </row>
    <row r="1543" spans="1:2">
      <c r="A1543" s="2" t="s">
        <v>5242</v>
      </c>
      <c r="B1543" s="2" t="s">
        <v>2288</v>
      </c>
    </row>
    <row r="1544" spans="1:2">
      <c r="A1544" s="2" t="s">
        <v>4390</v>
      </c>
      <c r="B1544" s="2" t="s">
        <v>2288</v>
      </c>
    </row>
    <row r="1545" spans="1:2">
      <c r="A1545" s="2" t="s">
        <v>4718</v>
      </c>
      <c r="B1545" s="2" t="s">
        <v>2288</v>
      </c>
    </row>
    <row r="1546" spans="1:2">
      <c r="A1546" s="2" t="s">
        <v>4720</v>
      </c>
      <c r="B1546" s="2" t="s">
        <v>2288</v>
      </c>
    </row>
    <row r="1547" spans="1:2">
      <c r="A1547" s="2" t="s">
        <v>7049</v>
      </c>
      <c r="B1547" s="2" t="s">
        <v>2288</v>
      </c>
    </row>
    <row r="1548" spans="1:2">
      <c r="A1548" s="2" t="s">
        <v>4836</v>
      </c>
      <c r="B1548" s="2" t="s">
        <v>2288</v>
      </c>
    </row>
    <row r="1549" spans="1:2">
      <c r="A1549" s="2" t="s">
        <v>4311</v>
      </c>
      <c r="B1549" s="2" t="s">
        <v>7839</v>
      </c>
    </row>
    <row r="1550" spans="1:2">
      <c r="A1550" s="2" t="s">
        <v>5323</v>
      </c>
      <c r="B1550" s="2" t="s">
        <v>7839</v>
      </c>
    </row>
    <row r="1551" spans="1:2">
      <c r="A1551" s="2" t="s">
        <v>7840</v>
      </c>
      <c r="B1551" s="2" t="s">
        <v>7839</v>
      </c>
    </row>
    <row r="1552" spans="1:2">
      <c r="A1552" s="2" t="s">
        <v>4378</v>
      </c>
      <c r="B1552" s="2" t="s">
        <v>7839</v>
      </c>
    </row>
    <row r="1553" spans="1:2">
      <c r="A1553" s="2" t="s">
        <v>5353</v>
      </c>
      <c r="B1553" s="2" t="s">
        <v>7839</v>
      </c>
    </row>
    <row r="1554" spans="1:2">
      <c r="A1554" s="2" t="s">
        <v>5355</v>
      </c>
      <c r="B1554" s="2" t="s">
        <v>7839</v>
      </c>
    </row>
    <row r="1555" spans="1:2">
      <c r="A1555" s="2" t="s">
        <v>5357</v>
      </c>
      <c r="B1555" s="2" t="s">
        <v>7839</v>
      </c>
    </row>
    <row r="1556" spans="1:2">
      <c r="A1556" s="2" t="s">
        <v>7841</v>
      </c>
      <c r="B1556" s="2" t="s">
        <v>7839</v>
      </c>
    </row>
    <row r="1557" spans="1:2">
      <c r="A1557" s="2" t="s">
        <v>5359</v>
      </c>
      <c r="B1557" s="2" t="s">
        <v>7839</v>
      </c>
    </row>
    <row r="1558" spans="1:2">
      <c r="A1558" s="2" t="s">
        <v>7842</v>
      </c>
      <c r="B1558" s="2" t="s">
        <v>7839</v>
      </c>
    </row>
    <row r="1559" spans="1:2">
      <c r="A1559" s="2" t="s">
        <v>7843</v>
      </c>
      <c r="B1559" s="2" t="s">
        <v>7839</v>
      </c>
    </row>
    <row r="1560" spans="1:2">
      <c r="A1560" s="2" t="s">
        <v>7844</v>
      </c>
      <c r="B1560" s="2" t="s">
        <v>7839</v>
      </c>
    </row>
    <row r="1561" spans="1:2">
      <c r="A1561" s="2" t="s">
        <v>7845</v>
      </c>
      <c r="B1561" s="2" t="s">
        <v>7839</v>
      </c>
    </row>
    <row r="1562" spans="1:2">
      <c r="A1562" s="2" t="s">
        <v>5377</v>
      </c>
      <c r="B1562" s="2" t="s">
        <v>7839</v>
      </c>
    </row>
    <row r="1563" spans="1:2">
      <c r="A1563" s="2" t="s">
        <v>7846</v>
      </c>
      <c r="B1563" s="2" t="s">
        <v>7839</v>
      </c>
    </row>
    <row r="1564" spans="1:2">
      <c r="A1564" s="2" t="s">
        <v>5478</v>
      </c>
      <c r="B1564" s="2" t="s">
        <v>7839</v>
      </c>
    </row>
    <row r="1565" spans="1:2">
      <c r="A1565" s="2" t="s">
        <v>7847</v>
      </c>
      <c r="B1565" s="2" t="s">
        <v>7839</v>
      </c>
    </row>
    <row r="1566" spans="1:2">
      <c r="A1566" s="2" t="s">
        <v>7848</v>
      </c>
      <c r="B1566" s="2" t="s">
        <v>7839</v>
      </c>
    </row>
    <row r="1567" spans="1:2">
      <c r="A1567" s="2" t="s">
        <v>7849</v>
      </c>
      <c r="B1567" s="2" t="s">
        <v>7839</v>
      </c>
    </row>
    <row r="1568" spans="1:2">
      <c r="A1568" s="2" t="s">
        <v>1225</v>
      </c>
      <c r="B1568" s="2" t="s">
        <v>7839</v>
      </c>
    </row>
    <row r="1569" spans="1:2">
      <c r="A1569" s="2" t="s">
        <v>4509</v>
      </c>
      <c r="B1569" s="2" t="s">
        <v>7839</v>
      </c>
    </row>
    <row r="1570" spans="1:2">
      <c r="A1570" s="2" t="s">
        <v>4512</v>
      </c>
      <c r="B1570" s="2" t="s">
        <v>7839</v>
      </c>
    </row>
    <row r="1571" spans="1:2">
      <c r="A1571" s="2" t="s">
        <v>6564</v>
      </c>
      <c r="B1571" s="2" t="s">
        <v>7839</v>
      </c>
    </row>
    <row r="1572" spans="1:2">
      <c r="A1572" s="2" t="s">
        <v>1318</v>
      </c>
      <c r="B1572" s="2" t="s">
        <v>7839</v>
      </c>
    </row>
    <row r="1573" spans="1:2">
      <c r="A1573" s="2" t="s">
        <v>5620</v>
      </c>
      <c r="B1573" s="2" t="s">
        <v>7839</v>
      </c>
    </row>
    <row r="1574" spans="1:2">
      <c r="A1574" s="2" t="s">
        <v>7850</v>
      </c>
      <c r="B1574" s="2" t="s">
        <v>7839</v>
      </c>
    </row>
    <row r="1575" spans="1:2">
      <c r="A1575" s="2" t="s">
        <v>1507</v>
      </c>
      <c r="B1575" s="2" t="s">
        <v>7839</v>
      </c>
    </row>
    <row r="1576" spans="1:2">
      <c r="A1576" s="2" t="s">
        <v>1511</v>
      </c>
      <c r="B1576" s="2" t="s">
        <v>7839</v>
      </c>
    </row>
    <row r="1577" spans="1:2">
      <c r="A1577" s="2" t="s">
        <v>4585</v>
      </c>
      <c r="B1577" s="2" t="s">
        <v>7839</v>
      </c>
    </row>
    <row r="1578" spans="1:2">
      <c r="A1578" s="2" t="s">
        <v>5716</v>
      </c>
      <c r="B1578" s="2" t="s">
        <v>7839</v>
      </c>
    </row>
    <row r="1579" spans="1:2">
      <c r="A1579" s="2" t="s">
        <v>4590</v>
      </c>
      <c r="B1579" s="2" t="s">
        <v>7839</v>
      </c>
    </row>
    <row r="1580" spans="1:2">
      <c r="A1580" s="2" t="s">
        <v>4592</v>
      </c>
      <c r="B1580" s="2" t="s">
        <v>7839</v>
      </c>
    </row>
    <row r="1581" spans="1:2">
      <c r="A1581" s="2" t="s">
        <v>5718</v>
      </c>
      <c r="B1581" s="2" t="s">
        <v>7839</v>
      </c>
    </row>
    <row r="1582" spans="1:2">
      <c r="A1582" s="2" t="s">
        <v>5735</v>
      </c>
      <c r="B1582" s="2" t="s">
        <v>7839</v>
      </c>
    </row>
    <row r="1583" spans="1:2">
      <c r="A1583" s="2" t="s">
        <v>5737</v>
      </c>
      <c r="B1583" s="2" t="s">
        <v>7839</v>
      </c>
    </row>
    <row r="1584" spans="1:2">
      <c r="A1584" s="2" t="s">
        <v>4680</v>
      </c>
      <c r="B1584" s="2" t="s">
        <v>7839</v>
      </c>
    </row>
    <row r="1585" spans="1:2">
      <c r="A1585" s="2" t="s">
        <v>4682</v>
      </c>
      <c r="B1585" s="2" t="s">
        <v>7839</v>
      </c>
    </row>
    <row r="1586" spans="1:2">
      <c r="A1586" s="2" t="s">
        <v>4683</v>
      </c>
      <c r="B1586" s="2" t="s">
        <v>7839</v>
      </c>
    </row>
    <row r="1587" spans="1:2">
      <c r="A1587" s="2" t="s">
        <v>4684</v>
      </c>
      <c r="B1587" s="2" t="s">
        <v>7839</v>
      </c>
    </row>
    <row r="1588" spans="1:2">
      <c r="A1588" s="2" t="s">
        <v>7851</v>
      </c>
      <c r="B1588" s="2" t="s">
        <v>7839</v>
      </c>
    </row>
    <row r="1589" spans="1:2">
      <c r="A1589" s="2" t="s">
        <v>7852</v>
      </c>
      <c r="B1589" s="2" t="s">
        <v>7839</v>
      </c>
    </row>
    <row r="1590" spans="1:2">
      <c r="A1590" s="2" t="s">
        <v>7853</v>
      </c>
      <c r="B1590" s="2" t="s">
        <v>7839</v>
      </c>
    </row>
    <row r="1591" spans="1:2">
      <c r="A1591" s="2" t="s">
        <v>7854</v>
      </c>
      <c r="B1591" s="2" t="s">
        <v>7839</v>
      </c>
    </row>
    <row r="1592" spans="1:2">
      <c r="A1592" s="2" t="s">
        <v>7855</v>
      </c>
      <c r="B1592" s="2" t="s">
        <v>7839</v>
      </c>
    </row>
    <row r="1593" spans="1:2">
      <c r="A1593" s="2" t="s">
        <v>4728</v>
      </c>
      <c r="B1593" s="2" t="s">
        <v>7839</v>
      </c>
    </row>
    <row r="1594" spans="1:2">
      <c r="A1594" s="2" t="s">
        <v>7856</v>
      </c>
      <c r="B1594" s="2" t="s">
        <v>7839</v>
      </c>
    </row>
    <row r="1595" spans="1:2">
      <c r="A1595" s="2" t="s">
        <v>4783</v>
      </c>
      <c r="B1595" s="2" t="s">
        <v>7839</v>
      </c>
    </row>
    <row r="1596" spans="1:2">
      <c r="A1596" s="2" t="s">
        <v>6024</v>
      </c>
      <c r="B1596" s="2" t="s">
        <v>7839</v>
      </c>
    </row>
    <row r="1597" spans="1:2">
      <c r="A1597" s="2" t="s">
        <v>3162</v>
      </c>
      <c r="B1597" s="2" t="s">
        <v>7839</v>
      </c>
    </row>
    <row r="1598" spans="1:2">
      <c r="A1598" s="2" t="s">
        <v>6039</v>
      </c>
      <c r="B1598" s="2" t="s">
        <v>7839</v>
      </c>
    </row>
    <row r="1599" spans="1:2">
      <c r="A1599" s="2" t="s">
        <v>6122</v>
      </c>
      <c r="B1599" s="2" t="s">
        <v>7839</v>
      </c>
    </row>
    <row r="1600" spans="1:2">
      <c r="A1600" s="2" t="s">
        <v>6169</v>
      </c>
      <c r="B1600" s="2" t="s">
        <v>7839</v>
      </c>
    </row>
    <row r="1601" spans="1:2">
      <c r="A1601" s="2" t="s">
        <v>7857</v>
      </c>
      <c r="B1601" s="2" t="s">
        <v>7839</v>
      </c>
    </row>
    <row r="1602" spans="1:2">
      <c r="A1602" s="2" t="s">
        <v>7858</v>
      </c>
      <c r="B1602" s="2" t="s">
        <v>7839</v>
      </c>
    </row>
    <row r="1603" spans="1:2">
      <c r="A1603" s="2" t="s">
        <v>4056</v>
      </c>
      <c r="B1603" s="2" t="s">
        <v>7839</v>
      </c>
    </row>
    <row r="1604" spans="1:2">
      <c r="A1604" s="2" t="s">
        <v>7859</v>
      </c>
      <c r="B1604" s="2" t="s">
        <v>7839</v>
      </c>
    </row>
    <row r="1605" spans="1:2">
      <c r="A1605" s="2" t="s">
        <v>4059</v>
      </c>
      <c r="B1605" s="2" t="s">
        <v>7839</v>
      </c>
    </row>
    <row r="1606" spans="1:2">
      <c r="A1606" s="2" t="s">
        <v>4962</v>
      </c>
      <c r="B1606" s="2" t="s">
        <v>7839</v>
      </c>
    </row>
    <row r="1607" spans="1:2">
      <c r="A1607" s="2" t="s">
        <v>4964</v>
      </c>
      <c r="B1607" s="2" t="s">
        <v>7839</v>
      </c>
    </row>
    <row r="1608" spans="1:2">
      <c r="A1608" s="2" t="s">
        <v>4199</v>
      </c>
      <c r="B1608" s="2" t="s">
        <v>314</v>
      </c>
    </row>
    <row r="1609" spans="1:2">
      <c r="A1609" s="2" t="s">
        <v>4201</v>
      </c>
      <c r="B1609" s="2" t="s">
        <v>314</v>
      </c>
    </row>
    <row r="1610" spans="1:2">
      <c r="A1610" s="2" t="s">
        <v>6262</v>
      </c>
      <c r="B1610" s="2" t="s">
        <v>314</v>
      </c>
    </row>
    <row r="1611" spans="1:2">
      <c r="A1611" s="2" t="s">
        <v>6287</v>
      </c>
      <c r="B1611" s="2" t="s">
        <v>314</v>
      </c>
    </row>
    <row r="1612" spans="1:2">
      <c r="A1612" s="2" t="s">
        <v>371</v>
      </c>
      <c r="B1612" s="2" t="s">
        <v>314</v>
      </c>
    </row>
    <row r="1613" spans="1:2">
      <c r="A1613" s="2" t="s">
        <v>4315</v>
      </c>
      <c r="B1613" s="2" t="s">
        <v>314</v>
      </c>
    </row>
    <row r="1614" spans="1:2">
      <c r="A1614" s="2" t="s">
        <v>4316</v>
      </c>
      <c r="B1614" s="2" t="s">
        <v>314</v>
      </c>
    </row>
    <row r="1615" spans="1:2">
      <c r="A1615" s="2" t="s">
        <v>5723</v>
      </c>
      <c r="B1615" s="2" t="s">
        <v>314</v>
      </c>
    </row>
    <row r="1616" spans="1:2">
      <c r="A1616" s="2" t="s">
        <v>5741</v>
      </c>
      <c r="B1616" s="2" t="s">
        <v>314</v>
      </c>
    </row>
    <row r="1617" spans="1:2">
      <c r="A1617" s="2" t="s">
        <v>5742</v>
      </c>
      <c r="B1617" s="2" t="s">
        <v>314</v>
      </c>
    </row>
    <row r="1618" spans="1:2">
      <c r="A1618" s="2" t="s">
        <v>5744</v>
      </c>
      <c r="B1618" s="2" t="s">
        <v>314</v>
      </c>
    </row>
    <row r="1619" spans="1:2">
      <c r="A1619" s="2" t="s">
        <v>6829</v>
      </c>
      <c r="B1619" s="2" t="s">
        <v>314</v>
      </c>
    </row>
    <row r="1620" spans="1:2">
      <c r="A1620" s="2" t="s">
        <v>5843</v>
      </c>
      <c r="B1620" s="2" t="s">
        <v>314</v>
      </c>
    </row>
    <row r="1621" spans="1:2">
      <c r="A1621" s="2" t="s">
        <v>7860</v>
      </c>
      <c r="B1621" s="2" t="s">
        <v>314</v>
      </c>
    </row>
    <row r="1622" spans="1:2">
      <c r="A1622" s="2" t="s">
        <v>7861</v>
      </c>
      <c r="B1622" s="2" t="s">
        <v>314</v>
      </c>
    </row>
    <row r="1623" spans="1:2">
      <c r="A1623" s="2" t="s">
        <v>5963</v>
      </c>
      <c r="B1623" s="2" t="s">
        <v>314</v>
      </c>
    </row>
    <row r="1624" spans="1:2">
      <c r="A1624" s="2" t="s">
        <v>5965</v>
      </c>
      <c r="B1624" s="2" t="s">
        <v>314</v>
      </c>
    </row>
    <row r="1625" spans="1:2">
      <c r="A1625" s="2" t="s">
        <v>5966</v>
      </c>
      <c r="B1625" s="2" t="s">
        <v>314</v>
      </c>
    </row>
    <row r="1626" spans="1:2">
      <c r="A1626" s="2" t="s">
        <v>7862</v>
      </c>
      <c r="B1626" s="2" t="s">
        <v>314</v>
      </c>
    </row>
    <row r="1627" spans="1:2">
      <c r="A1627" s="2" t="s">
        <v>4730</v>
      </c>
      <c r="B1627" s="2" t="s">
        <v>314</v>
      </c>
    </row>
    <row r="1628" spans="1:2">
      <c r="A1628" s="2" t="s">
        <v>4732</v>
      </c>
      <c r="B1628" s="2" t="s">
        <v>314</v>
      </c>
    </row>
    <row r="1629" spans="1:2">
      <c r="A1629" s="2" t="s">
        <v>6018</v>
      </c>
      <c r="B1629" s="2" t="s">
        <v>314</v>
      </c>
    </row>
    <row r="1630" spans="1:2">
      <c r="A1630" s="2" t="s">
        <v>6020</v>
      </c>
      <c r="B1630" s="2" t="s">
        <v>314</v>
      </c>
    </row>
    <row r="1631" spans="1:2">
      <c r="A1631" s="2" t="s">
        <v>6021</v>
      </c>
      <c r="B1631" s="2" t="s">
        <v>314</v>
      </c>
    </row>
    <row r="1632" spans="1:2">
      <c r="A1632" s="2" t="s">
        <v>7126</v>
      </c>
      <c r="B1632" s="2" t="s">
        <v>314</v>
      </c>
    </row>
    <row r="1633" spans="1:2">
      <c r="A1633" s="2" t="s">
        <v>7863</v>
      </c>
      <c r="B1633" t="s">
        <v>785</v>
      </c>
    </row>
    <row r="1634" spans="1:2">
      <c r="A1634" s="2" t="s">
        <v>4188</v>
      </c>
      <c r="B1634" s="2" t="s">
        <v>153</v>
      </c>
    </row>
    <row r="1635" spans="1:2">
      <c r="A1635" s="2" t="s">
        <v>5058</v>
      </c>
      <c r="B1635" s="2" t="s">
        <v>153</v>
      </c>
    </row>
    <row r="1636" spans="1:2">
      <c r="A1636" s="2" t="s">
        <v>5059</v>
      </c>
      <c r="B1636" s="2" t="s">
        <v>153</v>
      </c>
    </row>
    <row r="1637" spans="1:2">
      <c r="A1637" s="2" t="s">
        <v>5060</v>
      </c>
      <c r="B1637" s="2" t="s">
        <v>153</v>
      </c>
    </row>
    <row r="1638" spans="1:2">
      <c r="A1638" s="2" t="s">
        <v>6283</v>
      </c>
      <c r="B1638" s="2" t="s">
        <v>153</v>
      </c>
    </row>
    <row r="1639" spans="1:2">
      <c r="A1639" s="2" t="s">
        <v>147</v>
      </c>
      <c r="B1639" s="2" t="s">
        <v>153</v>
      </c>
    </row>
    <row r="1640" spans="1:2">
      <c r="A1640" s="2" t="s">
        <v>6299</v>
      </c>
      <c r="B1640" s="2" t="s">
        <v>153</v>
      </c>
    </row>
    <row r="1641" spans="1:2">
      <c r="A1641" s="2" t="s">
        <v>5134</v>
      </c>
      <c r="B1641" s="2" t="s">
        <v>153</v>
      </c>
    </row>
    <row r="1642" spans="1:2">
      <c r="A1642" s="2" t="s">
        <v>6303</v>
      </c>
      <c r="B1642" s="2" t="s">
        <v>153</v>
      </c>
    </row>
    <row r="1643" spans="1:2">
      <c r="A1643" s="2" t="s">
        <v>4272</v>
      </c>
      <c r="B1643" s="2" t="s">
        <v>153</v>
      </c>
    </row>
    <row r="1644" spans="1:2">
      <c r="A1644" s="2" t="s">
        <v>4274</v>
      </c>
      <c r="B1644" s="2" t="s">
        <v>153</v>
      </c>
    </row>
    <row r="1645" spans="1:2">
      <c r="A1645" s="2" t="s">
        <v>5142</v>
      </c>
      <c r="B1645" s="2" t="s">
        <v>153</v>
      </c>
    </row>
    <row r="1646" spans="1:2">
      <c r="A1646" s="2" t="s">
        <v>172</v>
      </c>
      <c r="B1646" s="2" t="s">
        <v>153</v>
      </c>
    </row>
    <row r="1647" spans="1:2">
      <c r="A1647" s="2" t="s">
        <v>6311</v>
      </c>
      <c r="B1647" s="2" t="s">
        <v>153</v>
      </c>
    </row>
    <row r="1648" spans="1:2">
      <c r="A1648" s="2" t="s">
        <v>6315</v>
      </c>
      <c r="B1648" s="2" t="s">
        <v>153</v>
      </c>
    </row>
    <row r="1649" spans="1:2">
      <c r="A1649" s="2" t="s">
        <v>6318</v>
      </c>
      <c r="B1649" s="2" t="s">
        <v>153</v>
      </c>
    </row>
    <row r="1650" spans="1:2">
      <c r="A1650" s="2" t="s">
        <v>6326</v>
      </c>
      <c r="B1650" s="2" t="s">
        <v>153</v>
      </c>
    </row>
    <row r="1651" spans="1:2">
      <c r="A1651" s="2" t="s">
        <v>5143</v>
      </c>
      <c r="B1651" s="2" t="s">
        <v>153</v>
      </c>
    </row>
    <row r="1652" spans="1:2">
      <c r="A1652" s="2" t="s">
        <v>5144</v>
      </c>
      <c r="B1652" s="2" t="s">
        <v>153</v>
      </c>
    </row>
    <row r="1653" spans="1:2">
      <c r="A1653" s="2" t="s">
        <v>6330</v>
      </c>
      <c r="B1653" s="2" t="s">
        <v>153</v>
      </c>
    </row>
    <row r="1654" spans="1:2">
      <c r="A1654" s="2" t="s">
        <v>5146</v>
      </c>
      <c r="B1654" s="2" t="s">
        <v>153</v>
      </c>
    </row>
    <row r="1655" spans="1:2">
      <c r="A1655" s="2" t="s">
        <v>4275</v>
      </c>
      <c r="B1655" s="2" t="s">
        <v>153</v>
      </c>
    </row>
    <row r="1656" spans="1:2">
      <c r="A1656" s="2" t="s">
        <v>189</v>
      </c>
      <c r="B1656" s="2" t="s">
        <v>153</v>
      </c>
    </row>
    <row r="1657" spans="1:2">
      <c r="A1657" s="2" t="s">
        <v>195</v>
      </c>
      <c r="B1657" s="2" t="s">
        <v>153</v>
      </c>
    </row>
    <row r="1658" spans="1:2">
      <c r="A1658" s="2" t="s">
        <v>4279</v>
      </c>
      <c r="B1658" s="2" t="s">
        <v>153</v>
      </c>
    </row>
    <row r="1659" spans="1:2">
      <c r="A1659" s="2" t="s">
        <v>207</v>
      </c>
      <c r="B1659" s="2" t="s">
        <v>153</v>
      </c>
    </row>
    <row r="1660" spans="1:2">
      <c r="A1660" s="2" t="s">
        <v>213</v>
      </c>
      <c r="B1660" s="2" t="s">
        <v>153</v>
      </c>
    </row>
    <row r="1661" spans="1:2">
      <c r="A1661" s="2" t="s">
        <v>216</v>
      </c>
      <c r="B1661" s="2" t="s">
        <v>153</v>
      </c>
    </row>
    <row r="1662" spans="1:2">
      <c r="A1662" s="2" t="s">
        <v>5153</v>
      </c>
      <c r="B1662" s="2" t="s">
        <v>153</v>
      </c>
    </row>
    <row r="1663" spans="1:2">
      <c r="A1663" s="2" t="s">
        <v>4284</v>
      </c>
      <c r="B1663" s="2" t="s">
        <v>153</v>
      </c>
    </row>
    <row r="1664" spans="1:2">
      <c r="A1664" s="2" t="s">
        <v>4286</v>
      </c>
      <c r="B1664" s="2" t="s">
        <v>153</v>
      </c>
    </row>
    <row r="1665" spans="1:2">
      <c r="A1665" s="2" t="s">
        <v>4287</v>
      </c>
      <c r="B1665" s="2" t="s">
        <v>153</v>
      </c>
    </row>
    <row r="1666" spans="1:2">
      <c r="A1666" s="2" t="s">
        <v>7864</v>
      </c>
      <c r="B1666" s="2" t="s">
        <v>153</v>
      </c>
    </row>
    <row r="1667" spans="1:2">
      <c r="A1667" s="2" t="s">
        <v>4291</v>
      </c>
      <c r="B1667" s="2" t="s">
        <v>153</v>
      </c>
    </row>
    <row r="1668" spans="1:2">
      <c r="A1668" s="2" t="s">
        <v>245</v>
      </c>
      <c r="B1668" s="2" t="s">
        <v>153</v>
      </c>
    </row>
    <row r="1669" spans="1:2">
      <c r="A1669" s="2" t="s">
        <v>6351</v>
      </c>
      <c r="B1669" s="2" t="s">
        <v>153</v>
      </c>
    </row>
    <row r="1670" spans="1:2">
      <c r="A1670" s="2" t="s">
        <v>6388</v>
      </c>
      <c r="B1670" s="2" t="s">
        <v>153</v>
      </c>
    </row>
    <row r="1671" spans="1:2">
      <c r="A1671" s="2" t="s">
        <v>5203</v>
      </c>
      <c r="B1671" s="2" t="s">
        <v>153</v>
      </c>
    </row>
    <row r="1672" spans="1:2">
      <c r="A1672" s="2" t="s">
        <v>5204</v>
      </c>
      <c r="B1672" s="2" t="s">
        <v>153</v>
      </c>
    </row>
    <row r="1673" spans="1:2">
      <c r="A1673" s="2" t="s">
        <v>6397</v>
      </c>
      <c r="B1673" s="2" t="s">
        <v>153</v>
      </c>
    </row>
    <row r="1674" spans="1:2">
      <c r="A1674" s="2" t="s">
        <v>5231</v>
      </c>
      <c r="B1674" s="2" t="s">
        <v>153</v>
      </c>
    </row>
    <row r="1675" spans="1:2">
      <c r="A1675" s="2" t="s">
        <v>4308</v>
      </c>
      <c r="B1675" s="2" t="s">
        <v>153</v>
      </c>
    </row>
    <row r="1676" spans="1:2">
      <c r="A1676" s="2" t="s">
        <v>4310</v>
      </c>
      <c r="B1676" s="2" t="s">
        <v>153</v>
      </c>
    </row>
    <row r="1677" spans="1:2">
      <c r="A1677" s="2" t="s">
        <v>4313</v>
      </c>
      <c r="B1677" s="2" t="s">
        <v>153</v>
      </c>
    </row>
    <row r="1678" spans="1:2">
      <c r="A1678" s="2" t="s">
        <v>4317</v>
      </c>
      <c r="B1678" s="2" t="s">
        <v>153</v>
      </c>
    </row>
    <row r="1679" spans="1:2">
      <c r="A1679" s="2" t="s">
        <v>5265</v>
      </c>
      <c r="B1679" s="2" t="s">
        <v>153</v>
      </c>
    </row>
    <row r="1680" spans="1:2">
      <c r="A1680" s="2" t="s">
        <v>5267</v>
      </c>
      <c r="B1680" s="2" t="s">
        <v>153</v>
      </c>
    </row>
    <row r="1681" spans="1:2">
      <c r="A1681" s="2" t="s">
        <v>5269</v>
      </c>
      <c r="B1681" s="2" t="s">
        <v>153</v>
      </c>
    </row>
    <row r="1682" spans="1:2">
      <c r="A1682" s="2" t="s">
        <v>7865</v>
      </c>
      <c r="B1682" s="2" t="s">
        <v>153</v>
      </c>
    </row>
    <row r="1683" spans="1:2">
      <c r="A1683" s="2" t="s">
        <v>5270</v>
      </c>
      <c r="B1683" s="2" t="s">
        <v>153</v>
      </c>
    </row>
    <row r="1684" spans="1:2">
      <c r="A1684" s="2" t="s">
        <v>5271</v>
      </c>
      <c r="B1684" s="2" t="s">
        <v>153</v>
      </c>
    </row>
    <row r="1685" spans="1:2">
      <c r="A1685" s="2" t="s">
        <v>5276</v>
      </c>
      <c r="B1685" s="2" t="s">
        <v>153</v>
      </c>
    </row>
    <row r="1686" spans="1:2">
      <c r="A1686" s="2" t="s">
        <v>5278</v>
      </c>
      <c r="B1686" s="2" t="s">
        <v>153</v>
      </c>
    </row>
    <row r="1687" spans="1:2">
      <c r="A1687" s="2" t="s">
        <v>5279</v>
      </c>
      <c r="B1687" s="2" t="s">
        <v>153</v>
      </c>
    </row>
    <row r="1688" spans="1:2">
      <c r="A1688" s="2" t="s">
        <v>4340</v>
      </c>
      <c r="B1688" s="2" t="s">
        <v>153</v>
      </c>
    </row>
    <row r="1689" spans="1:2">
      <c r="A1689" s="2" t="s">
        <v>5283</v>
      </c>
      <c r="B1689" s="2" t="s">
        <v>153</v>
      </c>
    </row>
    <row r="1690" spans="1:2">
      <c r="A1690" s="2" t="s">
        <v>4341</v>
      </c>
      <c r="B1690" s="2" t="s">
        <v>153</v>
      </c>
    </row>
    <row r="1691" spans="1:2">
      <c r="A1691" s="2" t="s">
        <v>4345</v>
      </c>
      <c r="B1691" s="2" t="s">
        <v>153</v>
      </c>
    </row>
    <row r="1692" spans="1:2">
      <c r="A1692" s="2" t="s">
        <v>5289</v>
      </c>
      <c r="B1692" s="2" t="s">
        <v>153</v>
      </c>
    </row>
    <row r="1693" spans="1:2">
      <c r="A1693" s="2" t="s">
        <v>4346</v>
      </c>
      <c r="B1693" s="2" t="s">
        <v>153</v>
      </c>
    </row>
    <row r="1694" spans="1:2">
      <c r="A1694" s="2" t="s">
        <v>5290</v>
      </c>
      <c r="B1694" s="2" t="s">
        <v>153</v>
      </c>
    </row>
    <row r="1695" spans="1:2">
      <c r="A1695" s="2" t="s">
        <v>5291</v>
      </c>
      <c r="B1695" s="2" t="s">
        <v>153</v>
      </c>
    </row>
    <row r="1696" spans="1:2">
      <c r="A1696" s="2" t="s">
        <v>4347</v>
      </c>
      <c r="B1696" s="2" t="s">
        <v>153</v>
      </c>
    </row>
    <row r="1697" spans="1:2">
      <c r="A1697" s="2" t="s">
        <v>5299</v>
      </c>
      <c r="B1697" s="2" t="s">
        <v>153</v>
      </c>
    </row>
    <row r="1698" spans="1:2">
      <c r="A1698" s="2" t="s">
        <v>7866</v>
      </c>
      <c r="B1698" s="2" t="s">
        <v>153</v>
      </c>
    </row>
    <row r="1699" spans="1:2">
      <c r="A1699" s="2" t="s">
        <v>5328</v>
      </c>
      <c r="B1699" s="2" t="s">
        <v>153</v>
      </c>
    </row>
    <row r="1700" spans="1:2">
      <c r="A1700" s="2" t="s">
        <v>5334</v>
      </c>
      <c r="B1700" s="2" t="s">
        <v>153</v>
      </c>
    </row>
    <row r="1701" spans="1:2">
      <c r="A1701" s="2" t="s">
        <v>5336</v>
      </c>
      <c r="B1701" s="2" t="s">
        <v>153</v>
      </c>
    </row>
    <row r="1702" spans="1:2">
      <c r="A1702" s="2" t="s">
        <v>7867</v>
      </c>
      <c r="B1702" s="2" t="s">
        <v>153</v>
      </c>
    </row>
    <row r="1703" spans="1:2">
      <c r="A1703" s="2" t="s">
        <v>743</v>
      </c>
      <c r="B1703" s="2" t="s">
        <v>153</v>
      </c>
    </row>
    <row r="1704" spans="1:2">
      <c r="A1704" s="2" t="s">
        <v>6453</v>
      </c>
      <c r="B1704" s="2" t="s">
        <v>153</v>
      </c>
    </row>
    <row r="1705" spans="1:2">
      <c r="A1705" s="2" t="s">
        <v>747</v>
      </c>
      <c r="B1705" s="2" t="s">
        <v>153</v>
      </c>
    </row>
    <row r="1706" spans="1:2">
      <c r="A1706" s="2" t="s">
        <v>5412</v>
      </c>
      <c r="B1706" s="2" t="s">
        <v>153</v>
      </c>
    </row>
    <row r="1707" spans="1:2">
      <c r="A1707" s="2" t="s">
        <v>4423</v>
      </c>
      <c r="B1707" s="2" t="s">
        <v>153</v>
      </c>
    </row>
    <row r="1708" spans="1:2">
      <c r="A1708" s="2" t="s">
        <v>4425</v>
      </c>
      <c r="B1708" s="2" t="s">
        <v>153</v>
      </c>
    </row>
    <row r="1709" spans="1:2">
      <c r="A1709" s="2" t="s">
        <v>7868</v>
      </c>
      <c r="B1709" s="2" t="s">
        <v>153</v>
      </c>
    </row>
    <row r="1710" spans="1:2">
      <c r="A1710" s="2" t="s">
        <v>805</v>
      </c>
      <c r="B1710" s="2" t="s">
        <v>153</v>
      </c>
    </row>
    <row r="1711" spans="1:2">
      <c r="A1711" s="2" t="s">
        <v>4457</v>
      </c>
      <c r="B1711" s="2" t="s">
        <v>153</v>
      </c>
    </row>
    <row r="1712" spans="1:2">
      <c r="A1712" s="2" t="s">
        <v>7869</v>
      </c>
      <c r="B1712" s="2" t="s">
        <v>153</v>
      </c>
    </row>
    <row r="1713" spans="1:2">
      <c r="A1713" s="2" t="s">
        <v>5424</v>
      </c>
      <c r="B1713" s="2" t="s">
        <v>153</v>
      </c>
    </row>
    <row r="1714" spans="1:2">
      <c r="A1714" s="2" t="s">
        <v>5457</v>
      </c>
      <c r="B1714" s="2" t="s">
        <v>153</v>
      </c>
    </row>
    <row r="1715" spans="1:2">
      <c r="A1715" s="2" t="s">
        <v>6568</v>
      </c>
      <c r="B1715" s="2" t="s">
        <v>153</v>
      </c>
    </row>
    <row r="1716" spans="1:2">
      <c r="A1716" s="2" t="s">
        <v>5558</v>
      </c>
      <c r="B1716" s="2" t="s">
        <v>153</v>
      </c>
    </row>
    <row r="1717" spans="1:2">
      <c r="A1717" s="2" t="s">
        <v>5559</v>
      </c>
      <c r="B1717" s="2" t="s">
        <v>153</v>
      </c>
    </row>
    <row r="1718" spans="1:2">
      <c r="A1718" s="2" t="s">
        <v>1409</v>
      </c>
      <c r="B1718" s="2" t="s">
        <v>153</v>
      </c>
    </row>
    <row r="1719" spans="1:2">
      <c r="A1719" s="2" t="s">
        <v>6639</v>
      </c>
      <c r="B1719" s="2" t="s">
        <v>153</v>
      </c>
    </row>
    <row r="1720" spans="1:2">
      <c r="A1720" s="2" t="s">
        <v>5610</v>
      </c>
      <c r="B1720" s="2" t="s">
        <v>153</v>
      </c>
    </row>
    <row r="1721" spans="1:2">
      <c r="A1721" s="2" t="s">
        <v>4535</v>
      </c>
      <c r="B1721" s="2" t="s">
        <v>153</v>
      </c>
    </row>
    <row r="1722" spans="1:2">
      <c r="A1722" s="2" t="s">
        <v>4537</v>
      </c>
      <c r="B1722" s="2" t="s">
        <v>153</v>
      </c>
    </row>
    <row r="1723" spans="1:2">
      <c r="A1723" s="2" t="s">
        <v>4540</v>
      </c>
      <c r="B1723" s="2" t="s">
        <v>153</v>
      </c>
    </row>
    <row r="1724" spans="1:2">
      <c r="A1724" s="2" t="s">
        <v>6651</v>
      </c>
      <c r="B1724" s="2" t="s">
        <v>153</v>
      </c>
    </row>
    <row r="1725" spans="1:2">
      <c r="A1725" s="2" t="s">
        <v>6659</v>
      </c>
      <c r="B1725" s="2" t="s">
        <v>153</v>
      </c>
    </row>
    <row r="1726" spans="1:2">
      <c r="A1726" s="2" t="s">
        <v>5618</v>
      </c>
      <c r="B1726" s="2" t="s">
        <v>153</v>
      </c>
    </row>
    <row r="1727" spans="1:2">
      <c r="A1727" s="2" t="s">
        <v>1439</v>
      </c>
      <c r="B1727" s="2" t="s">
        <v>153</v>
      </c>
    </row>
    <row r="1728" spans="1:2">
      <c r="A1728" s="2" t="s">
        <v>6665</v>
      </c>
      <c r="B1728" s="2" t="s">
        <v>153</v>
      </c>
    </row>
    <row r="1729" spans="1:2">
      <c r="A1729" s="2" t="s">
        <v>5654</v>
      </c>
      <c r="B1729" s="2" t="s">
        <v>153</v>
      </c>
    </row>
    <row r="1730" spans="1:2">
      <c r="A1730" s="2" t="s">
        <v>5655</v>
      </c>
      <c r="B1730" s="2" t="s">
        <v>153</v>
      </c>
    </row>
    <row r="1731" spans="1:2">
      <c r="A1731" s="2" t="s">
        <v>5656</v>
      </c>
      <c r="B1731" s="2" t="s">
        <v>153</v>
      </c>
    </row>
    <row r="1732" spans="1:2">
      <c r="A1732" s="2" t="s">
        <v>5657</v>
      </c>
      <c r="B1732" s="2" t="s">
        <v>153</v>
      </c>
    </row>
    <row r="1733" spans="1:2">
      <c r="A1733" s="2" t="s">
        <v>5658</v>
      </c>
      <c r="B1733" s="2" t="s">
        <v>153</v>
      </c>
    </row>
    <row r="1734" spans="1:2">
      <c r="A1734" s="2" t="s">
        <v>4568</v>
      </c>
      <c r="B1734" s="2" t="s">
        <v>153</v>
      </c>
    </row>
    <row r="1735" spans="1:2">
      <c r="A1735" s="2" t="s">
        <v>4574</v>
      </c>
      <c r="B1735" s="2" t="s">
        <v>153</v>
      </c>
    </row>
    <row r="1736" spans="1:2">
      <c r="A1736" s="2" t="s">
        <v>6699</v>
      </c>
      <c r="B1736" s="2" t="s">
        <v>153</v>
      </c>
    </row>
    <row r="1737" spans="1:2">
      <c r="A1737" s="2" t="s">
        <v>1629</v>
      </c>
      <c r="B1737" s="2" t="s">
        <v>153</v>
      </c>
    </row>
    <row r="1738" spans="1:2">
      <c r="A1738" s="2" t="s">
        <v>6703</v>
      </c>
      <c r="B1738" s="2" t="s">
        <v>153</v>
      </c>
    </row>
    <row r="1739" spans="1:2">
      <c r="A1739" s="2" t="s">
        <v>4577</v>
      </c>
      <c r="B1739" s="2" t="s">
        <v>153</v>
      </c>
    </row>
    <row r="1740" spans="1:2">
      <c r="A1740" s="2" t="s">
        <v>4578</v>
      </c>
      <c r="B1740" s="2" t="s">
        <v>153</v>
      </c>
    </row>
    <row r="1741" spans="1:2">
      <c r="A1741" s="2" t="s">
        <v>4580</v>
      </c>
      <c r="B1741" s="2" t="s">
        <v>153</v>
      </c>
    </row>
    <row r="1742" spans="1:2">
      <c r="A1742" s="2" t="s">
        <v>6707</v>
      </c>
      <c r="B1742" s="2" t="s">
        <v>153</v>
      </c>
    </row>
    <row r="1743" spans="1:2">
      <c r="A1743" s="2" t="s">
        <v>4582</v>
      </c>
      <c r="B1743" s="2" t="s">
        <v>153</v>
      </c>
    </row>
    <row r="1744" spans="1:2">
      <c r="A1744" s="2" t="s">
        <v>5676</v>
      </c>
      <c r="B1744" s="2" t="s">
        <v>153</v>
      </c>
    </row>
    <row r="1745" spans="1:2">
      <c r="A1745" s="2" t="s">
        <v>1635</v>
      </c>
      <c r="B1745" s="2" t="s">
        <v>153</v>
      </c>
    </row>
    <row r="1746" spans="1:2">
      <c r="A1746" s="2" t="s">
        <v>5727</v>
      </c>
      <c r="B1746" s="2" t="s">
        <v>153</v>
      </c>
    </row>
    <row r="1747" spans="1:2">
      <c r="A1747" s="2" t="s">
        <v>4597</v>
      </c>
      <c r="B1747" s="2" t="s">
        <v>153</v>
      </c>
    </row>
    <row r="1748" spans="1:2">
      <c r="A1748" s="2" t="s">
        <v>6744</v>
      </c>
      <c r="B1748" s="2" t="s">
        <v>153</v>
      </c>
    </row>
    <row r="1749" spans="1:2">
      <c r="A1749" s="2" t="s">
        <v>2508</v>
      </c>
      <c r="B1749" s="2" t="s">
        <v>153</v>
      </c>
    </row>
    <row r="1750" spans="1:2">
      <c r="A1750" s="2" t="s">
        <v>5751</v>
      </c>
      <c r="B1750" s="2" t="s">
        <v>153</v>
      </c>
    </row>
    <row r="1751" spans="1:2">
      <c r="A1751" s="2" t="s">
        <v>5762</v>
      </c>
      <c r="B1751" s="2" t="s">
        <v>153</v>
      </c>
    </row>
    <row r="1752" spans="1:2">
      <c r="A1752" s="2" t="s">
        <v>5768</v>
      </c>
      <c r="B1752" s="2" t="s">
        <v>153</v>
      </c>
    </row>
    <row r="1753" spans="1:2">
      <c r="A1753" s="2" t="s">
        <v>2535</v>
      </c>
      <c r="B1753" s="2" t="s">
        <v>153</v>
      </c>
    </row>
    <row r="1754" spans="1:2">
      <c r="A1754" s="2" t="s">
        <v>5787</v>
      </c>
      <c r="B1754" s="2" t="s">
        <v>153</v>
      </c>
    </row>
    <row r="1755" spans="1:2">
      <c r="A1755" s="2" t="s">
        <v>5788</v>
      </c>
      <c r="B1755" s="2" t="s">
        <v>153</v>
      </c>
    </row>
    <row r="1756" spans="1:2">
      <c r="A1756" s="2" t="s">
        <v>5790</v>
      </c>
      <c r="B1756" s="2" t="s">
        <v>153</v>
      </c>
    </row>
    <row r="1757" spans="1:2">
      <c r="A1757" s="2" t="s">
        <v>4615</v>
      </c>
      <c r="B1757" s="2" t="s">
        <v>153</v>
      </c>
    </row>
    <row r="1758" spans="1:2">
      <c r="A1758" s="2" t="s">
        <v>4616</v>
      </c>
      <c r="B1758" s="2" t="s">
        <v>153</v>
      </c>
    </row>
    <row r="1759" spans="1:2">
      <c r="A1759" s="2" t="s">
        <v>6905</v>
      </c>
      <c r="B1759" s="2" t="s">
        <v>153</v>
      </c>
    </row>
    <row r="1760" spans="1:2">
      <c r="A1760" s="2" t="s">
        <v>4700</v>
      </c>
      <c r="B1760" s="2" t="s">
        <v>153</v>
      </c>
    </row>
    <row r="1761" spans="1:2">
      <c r="A1761" s="2" t="s">
        <v>5917</v>
      </c>
      <c r="B1761" s="2" t="s">
        <v>153</v>
      </c>
    </row>
    <row r="1762" spans="1:2">
      <c r="A1762" s="2" t="s">
        <v>2897</v>
      </c>
      <c r="B1762" s="2" t="s">
        <v>153</v>
      </c>
    </row>
    <row r="1763" spans="1:2">
      <c r="A1763" s="2" t="s">
        <v>2901</v>
      </c>
      <c r="B1763" s="2" t="s">
        <v>153</v>
      </c>
    </row>
    <row r="1764" spans="1:2">
      <c r="A1764" s="2" t="s">
        <v>2919</v>
      </c>
      <c r="B1764" s="2" t="s">
        <v>153</v>
      </c>
    </row>
    <row r="1765" spans="1:2">
      <c r="A1765" s="2" t="s">
        <v>2922</v>
      </c>
      <c r="B1765" s="2" t="s">
        <v>153</v>
      </c>
    </row>
    <row r="1766" spans="1:2">
      <c r="A1766" s="2" t="s">
        <v>2925</v>
      </c>
      <c r="B1766" s="2" t="s">
        <v>153</v>
      </c>
    </row>
    <row r="1767" spans="1:2">
      <c r="A1767" s="2" t="s">
        <v>2928</v>
      </c>
      <c r="B1767" s="2" t="s">
        <v>153</v>
      </c>
    </row>
    <row r="1768" spans="1:2">
      <c r="A1768" s="2" t="s">
        <v>5938</v>
      </c>
      <c r="B1768" s="2" t="s">
        <v>153</v>
      </c>
    </row>
    <row r="1769" spans="1:2">
      <c r="A1769" s="2" t="s">
        <v>6990</v>
      </c>
      <c r="B1769" s="2" t="s">
        <v>153</v>
      </c>
    </row>
    <row r="1770" spans="1:2">
      <c r="A1770" s="2" t="s">
        <v>6994</v>
      </c>
      <c r="B1770" s="2" t="s">
        <v>153</v>
      </c>
    </row>
    <row r="1771" spans="1:2">
      <c r="A1771" s="2" t="s">
        <v>5939</v>
      </c>
      <c r="B1771" s="2" t="s">
        <v>153</v>
      </c>
    </row>
    <row r="1772" spans="1:2">
      <c r="A1772" s="2" t="s">
        <v>7003</v>
      </c>
      <c r="B1772" s="2" t="s">
        <v>153</v>
      </c>
    </row>
    <row r="1773" spans="1:2">
      <c r="A1773" s="2" t="s">
        <v>7007</v>
      </c>
      <c r="B1773" s="2" t="s">
        <v>153</v>
      </c>
    </row>
    <row r="1774" spans="1:2">
      <c r="A1774" s="2" t="s">
        <v>7010</v>
      </c>
      <c r="B1774" s="2" t="s">
        <v>153</v>
      </c>
    </row>
    <row r="1775" spans="1:2">
      <c r="A1775" s="2" t="s">
        <v>7022</v>
      </c>
      <c r="B1775" s="2" t="s">
        <v>153</v>
      </c>
    </row>
    <row r="1776" spans="1:2">
      <c r="A1776" s="2" t="s">
        <v>7035</v>
      </c>
      <c r="B1776" s="2" t="s">
        <v>153</v>
      </c>
    </row>
    <row r="1777" spans="1:2">
      <c r="A1777" s="2" t="s">
        <v>7870</v>
      </c>
      <c r="B1777" s="2" t="s">
        <v>153</v>
      </c>
    </row>
    <row r="1778" spans="1:2">
      <c r="A1778" s="2" t="s">
        <v>7061</v>
      </c>
      <c r="B1778" s="2" t="s">
        <v>153</v>
      </c>
    </row>
    <row r="1779" spans="1:2">
      <c r="A1779" s="2" t="s">
        <v>7065</v>
      </c>
      <c r="B1779" s="2" t="s">
        <v>153</v>
      </c>
    </row>
    <row r="1780" spans="1:2">
      <c r="A1780" s="2" t="s">
        <v>7116</v>
      </c>
      <c r="B1780" s="2" t="s">
        <v>153</v>
      </c>
    </row>
    <row r="1781" spans="1:2">
      <c r="A1781" s="2" t="s">
        <v>4815</v>
      </c>
      <c r="B1781" s="2" t="s">
        <v>153</v>
      </c>
    </row>
    <row r="1782" spans="1:2">
      <c r="A1782" s="2" t="s">
        <v>4817</v>
      </c>
      <c r="B1782" s="2" t="s">
        <v>153</v>
      </c>
    </row>
    <row r="1783" spans="1:2">
      <c r="A1783" s="2" t="s">
        <v>3205</v>
      </c>
      <c r="B1783" s="2" t="s">
        <v>153</v>
      </c>
    </row>
    <row r="1784" spans="1:2">
      <c r="A1784" s="2" t="s">
        <v>6049</v>
      </c>
      <c r="B1784" s="2" t="s">
        <v>153</v>
      </c>
    </row>
    <row r="1785" spans="1:2">
      <c r="A1785" s="2" t="s">
        <v>6050</v>
      </c>
      <c r="B1785" s="2" t="s">
        <v>153</v>
      </c>
    </row>
    <row r="1786" spans="1:2">
      <c r="A1786" s="2" t="s">
        <v>3211</v>
      </c>
      <c r="B1786" s="2" t="s">
        <v>153</v>
      </c>
    </row>
    <row r="1787" spans="1:2">
      <c r="A1787" s="2" t="s">
        <v>6051</v>
      </c>
      <c r="B1787" s="2" t="s">
        <v>153</v>
      </c>
    </row>
    <row r="1788" spans="1:2">
      <c r="A1788" s="2" t="s">
        <v>6052</v>
      </c>
      <c r="B1788" s="2" t="s">
        <v>153</v>
      </c>
    </row>
    <row r="1789" spans="1:2">
      <c r="A1789" s="2" t="s">
        <v>6054</v>
      </c>
      <c r="B1789" s="2" t="s">
        <v>153</v>
      </c>
    </row>
    <row r="1790" spans="1:2">
      <c r="A1790" s="2" t="s">
        <v>6055</v>
      </c>
      <c r="B1790" s="2" t="s">
        <v>153</v>
      </c>
    </row>
    <row r="1791" spans="1:2">
      <c r="A1791" s="2" t="s">
        <v>3222</v>
      </c>
      <c r="B1791" s="2" t="s">
        <v>153</v>
      </c>
    </row>
    <row r="1792" spans="1:2">
      <c r="A1792" s="2" t="s">
        <v>6056</v>
      </c>
      <c r="B1792" s="2" t="s">
        <v>153</v>
      </c>
    </row>
    <row r="1793" spans="1:2">
      <c r="A1793" s="2" t="s">
        <v>3236</v>
      </c>
      <c r="B1793" s="2" t="s">
        <v>153</v>
      </c>
    </row>
    <row r="1794" spans="1:2">
      <c r="A1794" s="2" t="s">
        <v>3258</v>
      </c>
      <c r="B1794" s="2" t="s">
        <v>153</v>
      </c>
    </row>
    <row r="1795" spans="1:2">
      <c r="A1795" s="2" t="s">
        <v>7160</v>
      </c>
      <c r="B1795" s="2" t="s">
        <v>153</v>
      </c>
    </row>
    <row r="1796" spans="1:2">
      <c r="A1796" s="2" t="s">
        <v>3266</v>
      </c>
      <c r="B1796" s="2" t="s">
        <v>153</v>
      </c>
    </row>
    <row r="1797" spans="1:2">
      <c r="A1797" s="2" t="s">
        <v>7164</v>
      </c>
      <c r="B1797" s="2" t="s">
        <v>153</v>
      </c>
    </row>
    <row r="1798" spans="1:2">
      <c r="A1798" s="2" t="s">
        <v>3274</v>
      </c>
      <c r="B1798" s="2" t="s">
        <v>153</v>
      </c>
    </row>
    <row r="1799" spans="1:2">
      <c r="A1799" s="2" t="s">
        <v>7168</v>
      </c>
      <c r="B1799" s="2" t="s">
        <v>153</v>
      </c>
    </row>
    <row r="1800" spans="1:2">
      <c r="A1800" s="2" t="s">
        <v>3280</v>
      </c>
      <c r="B1800" s="2" t="s">
        <v>153</v>
      </c>
    </row>
    <row r="1801" spans="1:2">
      <c r="A1801" s="2" t="s">
        <v>7172</v>
      </c>
      <c r="B1801" s="2" t="s">
        <v>153</v>
      </c>
    </row>
    <row r="1802" spans="1:2">
      <c r="A1802" s="2" t="s">
        <v>6085</v>
      </c>
      <c r="B1802" s="2" t="s">
        <v>153</v>
      </c>
    </row>
    <row r="1803" spans="1:2">
      <c r="A1803" s="2" t="s">
        <v>3719</v>
      </c>
      <c r="B1803" s="2" t="s">
        <v>153</v>
      </c>
    </row>
    <row r="1804" spans="1:2">
      <c r="A1804" s="2" t="s">
        <v>3725</v>
      </c>
      <c r="B1804" s="2" t="s">
        <v>153</v>
      </c>
    </row>
    <row r="1805" spans="1:2">
      <c r="A1805" s="2" t="s">
        <v>3738</v>
      </c>
      <c r="B1805" s="2" t="s">
        <v>153</v>
      </c>
    </row>
    <row r="1806" spans="1:2">
      <c r="A1806" s="2" t="s">
        <v>3744</v>
      </c>
      <c r="B1806" s="2" t="s">
        <v>153</v>
      </c>
    </row>
    <row r="1807" spans="1:2">
      <c r="A1807" s="2" t="s">
        <v>4855</v>
      </c>
      <c r="B1807" s="2" t="s">
        <v>153</v>
      </c>
    </row>
    <row r="1808" spans="1:2">
      <c r="A1808" s="2" t="s">
        <v>7209</v>
      </c>
      <c r="B1808" s="2" t="s">
        <v>153</v>
      </c>
    </row>
    <row r="1809" spans="1:2">
      <c r="A1809" s="2" t="s">
        <v>4885</v>
      </c>
      <c r="B1809" s="2" t="s">
        <v>153</v>
      </c>
    </row>
    <row r="1810" spans="1:2">
      <c r="A1810" s="2" t="s">
        <v>6223</v>
      </c>
      <c r="B1810" s="2" t="s">
        <v>153</v>
      </c>
    </row>
    <row r="1811" spans="1:2">
      <c r="A1811" s="2" t="s">
        <v>7871</v>
      </c>
      <c r="B1811" s="2" t="s">
        <v>153</v>
      </c>
    </row>
    <row r="1812" spans="1:2">
      <c r="A1812" s="2" t="s">
        <v>4974</v>
      </c>
      <c r="B1812" s="2" t="s">
        <v>153</v>
      </c>
    </row>
    <row r="1813" spans="1:2">
      <c r="A1813" s="2" t="s">
        <v>6239</v>
      </c>
      <c r="B1813" s="2" t="s">
        <v>153</v>
      </c>
    </row>
    <row r="1814" spans="1:2">
      <c r="A1814" s="2" t="s">
        <v>7872</v>
      </c>
      <c r="B1814" s="2" t="s">
        <v>153</v>
      </c>
    </row>
    <row r="1815" spans="1:2">
      <c r="A1815" s="2" t="s">
        <v>6247</v>
      </c>
      <c r="B1815" s="2" t="s">
        <v>153</v>
      </c>
    </row>
    <row r="1816" spans="1:2">
      <c r="A1816" s="2" t="s">
        <v>6248</v>
      </c>
      <c r="B1816" s="2" t="s">
        <v>153</v>
      </c>
    </row>
    <row r="1817" spans="1:2">
      <c r="A1817" s="2" t="s">
        <v>6250</v>
      </c>
      <c r="B1817" s="2" t="s">
        <v>153</v>
      </c>
    </row>
    <row r="1818" spans="1:2">
      <c r="A1818" s="2" t="s">
        <v>4984</v>
      </c>
      <c r="B1818" s="2" t="s">
        <v>153</v>
      </c>
    </row>
    <row r="1819" spans="1:2">
      <c r="A1819" s="2" t="s">
        <v>4105</v>
      </c>
      <c r="B1819" s="2" t="s">
        <v>153</v>
      </c>
    </row>
    <row r="1820" spans="1:2">
      <c r="A1820" s="2" t="s">
        <v>4985</v>
      </c>
      <c r="B1820" s="2" t="s">
        <v>153</v>
      </c>
    </row>
    <row r="1821" spans="1:2">
      <c r="A1821" s="2" t="s">
        <v>469</v>
      </c>
      <c r="B1821" s="2" t="s">
        <v>648</v>
      </c>
    </row>
    <row r="1822" spans="1:2">
      <c r="A1822" s="2" t="s">
        <v>5255</v>
      </c>
      <c r="B1822" s="2" t="s">
        <v>648</v>
      </c>
    </row>
    <row r="1823" spans="1:2">
      <c r="A1823" s="2" t="s">
        <v>4335</v>
      </c>
      <c r="B1823" s="2" t="s">
        <v>648</v>
      </c>
    </row>
    <row r="1824" spans="1:2">
      <c r="A1824" s="2" t="s">
        <v>5272</v>
      </c>
      <c r="B1824" s="2" t="s">
        <v>648</v>
      </c>
    </row>
    <row r="1825" spans="1:2">
      <c r="A1825" s="2" t="s">
        <v>5273</v>
      </c>
      <c r="B1825" s="2" t="s">
        <v>648</v>
      </c>
    </row>
    <row r="1826" spans="1:2">
      <c r="A1826" s="2" t="s">
        <v>7873</v>
      </c>
      <c r="B1826" s="2" t="s">
        <v>648</v>
      </c>
    </row>
    <row r="1827" spans="1:2">
      <c r="A1827" s="2" t="s">
        <v>4337</v>
      </c>
      <c r="B1827" s="2" t="s">
        <v>648</v>
      </c>
    </row>
    <row r="1828" spans="1:2">
      <c r="A1828" s="2" t="s">
        <v>4339</v>
      </c>
      <c r="B1828" s="2" t="s">
        <v>648</v>
      </c>
    </row>
    <row r="1829" spans="1:2">
      <c r="A1829" s="2" t="s">
        <v>5280</v>
      </c>
      <c r="B1829" s="2" t="s">
        <v>648</v>
      </c>
    </row>
    <row r="1830" spans="1:2">
      <c r="A1830" s="2" t="s">
        <v>5281</v>
      </c>
      <c r="B1830" s="2" t="s">
        <v>648</v>
      </c>
    </row>
    <row r="1831" spans="1:2">
      <c r="A1831" s="2" t="s">
        <v>7874</v>
      </c>
      <c r="B1831" s="2" t="s">
        <v>648</v>
      </c>
    </row>
    <row r="1832" spans="1:2">
      <c r="A1832" s="2" t="s">
        <v>4343</v>
      </c>
      <c r="B1832" s="2" t="s">
        <v>648</v>
      </c>
    </row>
    <row r="1833" spans="1:2">
      <c r="A1833" s="2" t="s">
        <v>5285</v>
      </c>
      <c r="B1833" s="2" t="s">
        <v>648</v>
      </c>
    </row>
    <row r="1834" spans="1:2">
      <c r="A1834" s="2" t="s">
        <v>5286</v>
      </c>
      <c r="B1834" s="2" t="s">
        <v>648</v>
      </c>
    </row>
    <row r="1835" spans="1:2">
      <c r="A1835" s="2" t="s">
        <v>4344</v>
      </c>
      <c r="B1835" s="2" t="s">
        <v>648</v>
      </c>
    </row>
    <row r="1836" spans="1:2">
      <c r="A1836" s="2" t="s">
        <v>5288</v>
      </c>
      <c r="B1836" s="2" t="s">
        <v>648</v>
      </c>
    </row>
    <row r="1837" spans="1:2">
      <c r="A1837" s="2" t="s">
        <v>4357</v>
      </c>
      <c r="B1837" s="2" t="s">
        <v>648</v>
      </c>
    </row>
    <row r="1838" spans="1:2">
      <c r="A1838" s="2" t="s">
        <v>5301</v>
      </c>
      <c r="B1838" s="2" t="s">
        <v>648</v>
      </c>
    </row>
    <row r="1839" spans="1:2">
      <c r="A1839" s="2" t="s">
        <v>4358</v>
      </c>
      <c r="B1839" s="2" t="s">
        <v>648</v>
      </c>
    </row>
    <row r="1840" spans="1:2">
      <c r="A1840" s="2" t="s">
        <v>5351</v>
      </c>
      <c r="B1840" s="2" t="s">
        <v>648</v>
      </c>
    </row>
    <row r="1841" spans="1:2">
      <c r="A1841" s="2" t="s">
        <v>6412</v>
      </c>
      <c r="B1841" s="2" t="s">
        <v>648</v>
      </c>
    </row>
    <row r="1842" spans="1:2">
      <c r="A1842" s="2" t="s">
        <v>4374</v>
      </c>
      <c r="B1842" s="2" t="s">
        <v>648</v>
      </c>
    </row>
    <row r="1843" spans="1:2">
      <c r="A1843" s="2" t="s">
        <v>5371</v>
      </c>
      <c r="B1843" s="2" t="s">
        <v>648</v>
      </c>
    </row>
    <row r="1844" spans="1:2">
      <c r="A1844" s="2" t="s">
        <v>6419</v>
      </c>
      <c r="B1844" s="2" t="s">
        <v>648</v>
      </c>
    </row>
    <row r="1845" spans="1:2">
      <c r="A1845" s="2" t="s">
        <v>5387</v>
      </c>
      <c r="B1845" s="2" t="s">
        <v>648</v>
      </c>
    </row>
    <row r="1846" spans="1:2">
      <c r="A1846" s="2" t="s">
        <v>642</v>
      </c>
      <c r="B1846" s="2" t="s">
        <v>648</v>
      </c>
    </row>
    <row r="1847" spans="1:2">
      <c r="A1847" s="2" t="s">
        <v>4399</v>
      </c>
      <c r="B1847" s="2" t="s">
        <v>648</v>
      </c>
    </row>
    <row r="1848" spans="1:2">
      <c r="A1848" s="2" t="s">
        <v>6424</v>
      </c>
      <c r="B1848" s="2" t="s">
        <v>648</v>
      </c>
    </row>
    <row r="1849" spans="1:2">
      <c r="A1849" s="2" t="s">
        <v>4404</v>
      </c>
      <c r="B1849" s="2" t="s">
        <v>648</v>
      </c>
    </row>
    <row r="1850" spans="1:2">
      <c r="A1850" s="2" t="s">
        <v>703</v>
      </c>
      <c r="B1850" s="2" t="s">
        <v>648</v>
      </c>
    </row>
    <row r="1851" spans="1:2">
      <c r="A1851" s="2" t="s">
        <v>709</v>
      </c>
      <c r="B1851" s="2" t="s">
        <v>648</v>
      </c>
    </row>
    <row r="1852" spans="1:2">
      <c r="A1852" s="2" t="s">
        <v>6434</v>
      </c>
      <c r="B1852" s="2" t="s">
        <v>648</v>
      </c>
    </row>
    <row r="1853" spans="1:2">
      <c r="A1853" s="2" t="s">
        <v>714</v>
      </c>
      <c r="B1853" s="2" t="s">
        <v>648</v>
      </c>
    </row>
    <row r="1854" spans="1:2">
      <c r="A1854" s="2" t="s">
        <v>6438</v>
      </c>
      <c r="B1854" s="2" t="s">
        <v>648</v>
      </c>
    </row>
    <row r="1855" spans="1:2">
      <c r="A1855" s="2" t="s">
        <v>722</v>
      </c>
      <c r="B1855" s="2" t="s">
        <v>648</v>
      </c>
    </row>
    <row r="1856" spans="1:2">
      <c r="A1856" s="2" t="s">
        <v>6442</v>
      </c>
      <c r="B1856" s="2" t="s">
        <v>648</v>
      </c>
    </row>
    <row r="1857" spans="1:2">
      <c r="A1857" s="2" t="s">
        <v>728</v>
      </c>
      <c r="B1857" s="2" t="s">
        <v>648</v>
      </c>
    </row>
    <row r="1858" spans="1:2">
      <c r="A1858" s="2" t="s">
        <v>6447</v>
      </c>
      <c r="B1858" s="2" t="s">
        <v>648</v>
      </c>
    </row>
    <row r="1859" spans="1:2">
      <c r="A1859" s="2" t="s">
        <v>6449</v>
      </c>
      <c r="B1859" s="2" t="s">
        <v>648</v>
      </c>
    </row>
    <row r="1860" spans="1:2">
      <c r="A1860" s="2" t="s">
        <v>4426</v>
      </c>
      <c r="B1860" s="2" t="s">
        <v>648</v>
      </c>
    </row>
    <row r="1861" spans="1:2">
      <c r="A1861" s="2" t="s">
        <v>4427</v>
      </c>
      <c r="B1861" s="2" t="s">
        <v>648</v>
      </c>
    </row>
    <row r="1862" spans="1:2">
      <c r="A1862" s="2" t="s">
        <v>6461</v>
      </c>
      <c r="B1862" s="2" t="s">
        <v>648</v>
      </c>
    </row>
    <row r="1863" spans="1:2">
      <c r="A1863" s="2" t="s">
        <v>5417</v>
      </c>
      <c r="B1863" s="2" t="s">
        <v>648</v>
      </c>
    </row>
    <row r="1864" spans="1:2">
      <c r="A1864" s="2" t="s">
        <v>4428</v>
      </c>
      <c r="B1864" s="2" t="s">
        <v>648</v>
      </c>
    </row>
    <row r="1865" spans="1:2">
      <c r="A1865" s="2" t="s">
        <v>5418</v>
      </c>
      <c r="B1865" s="2" t="s">
        <v>648</v>
      </c>
    </row>
    <row r="1866" spans="1:2">
      <c r="A1866" s="2" t="s">
        <v>5420</v>
      </c>
      <c r="B1866" s="2" t="s">
        <v>648</v>
      </c>
    </row>
    <row r="1867" spans="1:2">
      <c r="A1867" s="2" t="s">
        <v>6464</v>
      </c>
      <c r="B1867" s="2" t="s">
        <v>648</v>
      </c>
    </row>
    <row r="1868" spans="1:2">
      <c r="A1868" s="2" t="s">
        <v>6467</v>
      </c>
      <c r="B1868" s="2" t="s">
        <v>648</v>
      </c>
    </row>
    <row r="1869" spans="1:2">
      <c r="A1869" s="2" t="s">
        <v>4429</v>
      </c>
      <c r="B1869" s="2" t="s">
        <v>648</v>
      </c>
    </row>
    <row r="1870" spans="1:2">
      <c r="A1870" s="2" t="s">
        <v>4430</v>
      </c>
      <c r="B1870" s="2" t="s">
        <v>648</v>
      </c>
    </row>
    <row r="1871" spans="1:2">
      <c r="A1871" s="2" t="s">
        <v>792</v>
      </c>
      <c r="B1871" s="2" t="s">
        <v>648</v>
      </c>
    </row>
    <row r="1872" spans="1:2">
      <c r="A1872" s="2" t="s">
        <v>6472</v>
      </c>
      <c r="B1872" s="2" t="s">
        <v>648</v>
      </c>
    </row>
    <row r="1873" spans="1:2">
      <c r="A1873" s="2" t="s">
        <v>4458</v>
      </c>
      <c r="B1873" s="2" t="s">
        <v>648</v>
      </c>
    </row>
    <row r="1874" spans="1:2">
      <c r="A1874" s="2" t="s">
        <v>4464</v>
      </c>
      <c r="B1874" s="2" t="s">
        <v>648</v>
      </c>
    </row>
    <row r="1875" spans="1:2">
      <c r="A1875" s="2" t="s">
        <v>6480</v>
      </c>
      <c r="B1875" s="2" t="s">
        <v>648</v>
      </c>
    </row>
    <row r="1876" spans="1:2">
      <c r="A1876" s="2" t="s">
        <v>6491</v>
      </c>
      <c r="B1876" s="2" t="s">
        <v>648</v>
      </c>
    </row>
    <row r="1877" spans="1:2">
      <c r="A1877" s="2" t="s">
        <v>5443</v>
      </c>
      <c r="B1877" s="2" t="s">
        <v>648</v>
      </c>
    </row>
    <row r="1878" spans="1:2">
      <c r="A1878" s="2" t="s">
        <v>5444</v>
      </c>
      <c r="B1878" s="2" t="s">
        <v>648</v>
      </c>
    </row>
    <row r="1879" spans="1:2">
      <c r="A1879" s="2" t="s">
        <v>5445</v>
      </c>
      <c r="B1879" s="2" t="s">
        <v>648</v>
      </c>
    </row>
    <row r="1880" spans="1:2">
      <c r="A1880" s="2" t="s">
        <v>934</v>
      </c>
      <c r="B1880" s="2" t="s">
        <v>648</v>
      </c>
    </row>
    <row r="1881" spans="1:2">
      <c r="A1881" s="2" t="s">
        <v>4473</v>
      </c>
      <c r="B1881" s="2" t="s">
        <v>648</v>
      </c>
    </row>
    <row r="1882" spans="1:2">
      <c r="A1882" s="2" t="s">
        <v>4474</v>
      </c>
      <c r="B1882" s="2" t="s">
        <v>648</v>
      </c>
    </row>
    <row r="1883" spans="1:2">
      <c r="A1883" s="2" t="s">
        <v>4475</v>
      </c>
      <c r="B1883" s="2" t="s">
        <v>648</v>
      </c>
    </row>
    <row r="1884" spans="1:2">
      <c r="A1884" s="2" t="s">
        <v>4476</v>
      </c>
      <c r="B1884" s="2" t="s">
        <v>648</v>
      </c>
    </row>
    <row r="1885" spans="1:2">
      <c r="A1885" s="2" t="s">
        <v>6510</v>
      </c>
      <c r="B1885" s="2" t="s">
        <v>648</v>
      </c>
    </row>
    <row r="1886" spans="1:2">
      <c r="A1886" s="2" t="s">
        <v>6513</v>
      </c>
      <c r="B1886" s="2" t="s">
        <v>648</v>
      </c>
    </row>
    <row r="1887" spans="1:2">
      <c r="A1887" s="2" t="s">
        <v>4477</v>
      </c>
      <c r="B1887" s="2" t="s">
        <v>648</v>
      </c>
    </row>
    <row r="1888" spans="1:2">
      <c r="A1888" s="2" t="s">
        <v>6516</v>
      </c>
      <c r="B1888" s="2" t="s">
        <v>648</v>
      </c>
    </row>
    <row r="1889" spans="1:2">
      <c r="A1889" s="2" t="s">
        <v>6520</v>
      </c>
      <c r="B1889" s="2" t="s">
        <v>648</v>
      </c>
    </row>
    <row r="1890" spans="1:2">
      <c r="A1890" s="2" t="s">
        <v>944</v>
      </c>
      <c r="B1890" s="2" t="s">
        <v>648</v>
      </c>
    </row>
    <row r="1891" spans="1:2">
      <c r="A1891" s="2" t="s">
        <v>6523</v>
      </c>
      <c r="B1891" s="2" t="s">
        <v>648</v>
      </c>
    </row>
    <row r="1892" spans="1:2">
      <c r="A1892" s="2" t="s">
        <v>4478</v>
      </c>
      <c r="B1892" s="2" t="s">
        <v>648</v>
      </c>
    </row>
    <row r="1893" spans="1:2">
      <c r="A1893" s="2" t="s">
        <v>5476</v>
      </c>
      <c r="B1893" s="2" t="s">
        <v>648</v>
      </c>
    </row>
    <row r="1894" spans="1:2">
      <c r="A1894" s="2" t="s">
        <v>954</v>
      </c>
      <c r="B1894" s="2" t="s">
        <v>648</v>
      </c>
    </row>
    <row r="1895" spans="1:2">
      <c r="A1895" s="2" t="s">
        <v>4479</v>
      </c>
      <c r="B1895" s="2" t="s">
        <v>648</v>
      </c>
    </row>
    <row r="1896" spans="1:2">
      <c r="A1896" s="2" t="s">
        <v>6530</v>
      </c>
      <c r="B1896" s="2" t="s">
        <v>648</v>
      </c>
    </row>
    <row r="1897" spans="1:2">
      <c r="A1897" s="2" t="s">
        <v>4571</v>
      </c>
      <c r="B1897" s="2" t="s">
        <v>648</v>
      </c>
    </row>
    <row r="1898" spans="1:2">
      <c r="A1898" s="2" t="s">
        <v>4579</v>
      </c>
      <c r="B1898" s="2" t="s">
        <v>648</v>
      </c>
    </row>
    <row r="1899" spans="1:2">
      <c r="A1899" s="2" t="s">
        <v>5704</v>
      </c>
      <c r="B1899" s="2" t="s">
        <v>648</v>
      </c>
    </row>
    <row r="1900" spans="1:2">
      <c r="A1900" s="2" t="s">
        <v>5705</v>
      </c>
      <c r="B1900" s="2" t="s">
        <v>648</v>
      </c>
    </row>
    <row r="1901" spans="1:2">
      <c r="A1901" s="2" t="s">
        <v>4614</v>
      </c>
      <c r="B1901" s="2" t="s">
        <v>648</v>
      </c>
    </row>
    <row r="1902" spans="1:2">
      <c r="A1902" s="2" t="s">
        <v>4618</v>
      </c>
      <c r="B1902" s="2" t="s">
        <v>648</v>
      </c>
    </row>
    <row r="1903" spans="1:2">
      <c r="A1903" s="2" t="s">
        <v>6909</v>
      </c>
      <c r="B1903" s="2" t="s">
        <v>648</v>
      </c>
    </row>
    <row r="1904" spans="1:2">
      <c r="A1904" s="2" t="s">
        <v>6913</v>
      </c>
      <c r="B1904" s="2" t="s">
        <v>648</v>
      </c>
    </row>
    <row r="1905" spans="1:2">
      <c r="A1905" s="2" t="s">
        <v>2818</v>
      </c>
      <c r="B1905" s="2" t="s">
        <v>648</v>
      </c>
    </row>
    <row r="1906" spans="1:2">
      <c r="A1906" s="2" t="s">
        <v>2824</v>
      </c>
      <c r="B1906" s="2" t="s">
        <v>648</v>
      </c>
    </row>
    <row r="1907" spans="1:2">
      <c r="A1907" s="2" t="s">
        <v>2828</v>
      </c>
      <c r="B1907" s="2" t="s">
        <v>648</v>
      </c>
    </row>
    <row r="1908" spans="1:2">
      <c r="A1908" s="2" t="s">
        <v>2832</v>
      </c>
      <c r="B1908" s="2" t="s">
        <v>648</v>
      </c>
    </row>
    <row r="1909" spans="1:2">
      <c r="A1909" s="2" t="s">
        <v>2836</v>
      </c>
      <c r="B1909" s="2" t="s">
        <v>648</v>
      </c>
    </row>
    <row r="1910" spans="1:2">
      <c r="A1910" s="2" t="s">
        <v>2840</v>
      </c>
      <c r="B1910" s="2" t="s">
        <v>648</v>
      </c>
    </row>
    <row r="1911" spans="1:2">
      <c r="A1911" s="2" t="s">
        <v>2844</v>
      </c>
      <c r="B1911" s="2" t="s">
        <v>648</v>
      </c>
    </row>
    <row r="1912" spans="1:2">
      <c r="A1912" s="2" t="s">
        <v>2848</v>
      </c>
      <c r="B1912" s="2" t="s">
        <v>648</v>
      </c>
    </row>
    <row r="1913" spans="1:2">
      <c r="A1913" s="2" t="s">
        <v>2852</v>
      </c>
      <c r="B1913" s="2" t="s">
        <v>648</v>
      </c>
    </row>
    <row r="1914" spans="1:2">
      <c r="A1914" s="2" t="s">
        <v>2893</v>
      </c>
      <c r="B1914" s="2" t="s">
        <v>648</v>
      </c>
    </row>
    <row r="1915" spans="1:2">
      <c r="A1915" s="2" t="s">
        <v>6968</v>
      </c>
      <c r="B1915" s="2" t="s">
        <v>648</v>
      </c>
    </row>
    <row r="1916" spans="1:2">
      <c r="A1916" s="2" t="s">
        <v>2905</v>
      </c>
      <c r="B1916" s="2" t="s">
        <v>648</v>
      </c>
    </row>
    <row r="1917" spans="1:2">
      <c r="A1917" s="2" t="s">
        <v>2908</v>
      </c>
      <c r="B1917" s="2" t="s">
        <v>648</v>
      </c>
    </row>
    <row r="1918" spans="1:2">
      <c r="A1918" s="2" t="s">
        <v>2911</v>
      </c>
      <c r="B1918" s="2" t="s">
        <v>648</v>
      </c>
    </row>
    <row r="1919" spans="1:2">
      <c r="A1919" s="2" t="s">
        <v>2915</v>
      </c>
      <c r="B1919" s="2" t="s">
        <v>648</v>
      </c>
    </row>
    <row r="1920" spans="1:2">
      <c r="A1920" s="2" t="s">
        <v>6997</v>
      </c>
      <c r="B1920" s="2" t="s">
        <v>648</v>
      </c>
    </row>
    <row r="1921" spans="1:2">
      <c r="A1921" s="2" t="s">
        <v>7000</v>
      </c>
      <c r="B1921" s="2" t="s">
        <v>648</v>
      </c>
    </row>
    <row r="1922" spans="1:2">
      <c r="A1922" s="2" t="s">
        <v>7013</v>
      </c>
      <c r="B1922" s="2" t="s">
        <v>648</v>
      </c>
    </row>
    <row r="1923" spans="1:2">
      <c r="A1923" s="2" t="s">
        <v>7018</v>
      </c>
      <c r="B1923" s="2" t="s">
        <v>648</v>
      </c>
    </row>
    <row r="1924" spans="1:2">
      <c r="A1924" s="2" t="s">
        <v>7027</v>
      </c>
      <c r="B1924" s="2" t="s">
        <v>648</v>
      </c>
    </row>
    <row r="1925" spans="1:2">
      <c r="A1925" s="2" t="s">
        <v>7031</v>
      </c>
      <c r="B1925" s="2" t="s">
        <v>648</v>
      </c>
    </row>
    <row r="1926" spans="1:2">
      <c r="A1926" s="2" t="s">
        <v>2949</v>
      </c>
      <c r="B1926" s="2" t="s">
        <v>648</v>
      </c>
    </row>
    <row r="1927" spans="1:2">
      <c r="A1927" s="2" t="s">
        <v>5954</v>
      </c>
      <c r="B1927" s="2" t="s">
        <v>648</v>
      </c>
    </row>
    <row r="1928" spans="1:2">
      <c r="A1928" s="2" t="s">
        <v>5955</v>
      </c>
      <c r="B1928" s="2" t="s">
        <v>648</v>
      </c>
    </row>
    <row r="1929" spans="1:2">
      <c r="A1929" s="2" t="s">
        <v>2970</v>
      </c>
      <c r="B1929" s="2" t="s">
        <v>648</v>
      </c>
    </row>
    <row r="1930" spans="1:2">
      <c r="A1930" s="2" t="s">
        <v>3730</v>
      </c>
      <c r="B1930" s="2" t="s">
        <v>648</v>
      </c>
    </row>
    <row r="1931" spans="1:2">
      <c r="A1931" s="2" t="s">
        <v>3734</v>
      </c>
      <c r="B1931" s="2" t="s">
        <v>648</v>
      </c>
    </row>
    <row r="1932" spans="1:2">
      <c r="A1932" s="2" t="s">
        <v>3748</v>
      </c>
      <c r="B1932" s="2" t="s">
        <v>648</v>
      </c>
    </row>
    <row r="1933" spans="1:2">
      <c r="A1933" s="2" t="s">
        <v>3752</v>
      </c>
      <c r="B1933" s="2" t="s">
        <v>648</v>
      </c>
    </row>
    <row r="1934" spans="1:2">
      <c r="A1934" s="2" t="s">
        <v>4934</v>
      </c>
      <c r="B1934" s="2" t="s">
        <v>648</v>
      </c>
    </row>
    <row r="1935" spans="1:2">
      <c r="A1935" s="2" t="s">
        <v>4936</v>
      </c>
      <c r="B1935" s="2" t="s">
        <v>648</v>
      </c>
    </row>
    <row r="1936" spans="1:2">
      <c r="A1936" s="2" t="s">
        <v>3904</v>
      </c>
      <c r="B1936" s="2" t="s">
        <v>648</v>
      </c>
    </row>
    <row r="1937" spans="1:2">
      <c r="A1937" s="2" t="s">
        <v>7247</v>
      </c>
      <c r="B1937" s="2" t="s">
        <v>648</v>
      </c>
    </row>
    <row r="1938" spans="1:2">
      <c r="A1938" s="2" t="s">
        <v>3921</v>
      </c>
      <c r="B1938" s="2" t="s">
        <v>648</v>
      </c>
    </row>
    <row r="1939" spans="1:2">
      <c r="A1939" s="2" t="s">
        <v>6189</v>
      </c>
      <c r="B1939" s="2" t="s">
        <v>648</v>
      </c>
    </row>
    <row r="1940" spans="1:2">
      <c r="A1940" s="2" t="s">
        <v>7268</v>
      </c>
      <c r="B1940" s="2" t="s">
        <v>648</v>
      </c>
    </row>
    <row r="1941" spans="1:2">
      <c r="A1941" s="2" t="s">
        <v>7271</v>
      </c>
      <c r="B1941" s="2" t="s">
        <v>648</v>
      </c>
    </row>
    <row r="1942" spans="1:2">
      <c r="A1942" s="2" t="s">
        <v>6213</v>
      </c>
      <c r="B1942" s="2" t="s">
        <v>648</v>
      </c>
    </row>
    <row r="1943" spans="1:2">
      <c r="A1943" s="2" t="s">
        <v>7276</v>
      </c>
      <c r="B1943" s="2" t="s">
        <v>648</v>
      </c>
    </row>
    <row r="1944" spans="1:2">
      <c r="A1944" s="2" t="s">
        <v>4051</v>
      </c>
      <c r="B1944" s="2" t="s">
        <v>648</v>
      </c>
    </row>
    <row r="1945" spans="1:2">
      <c r="A1945" s="2" t="s">
        <v>7875</v>
      </c>
      <c r="B1945" s="2" t="s">
        <v>648</v>
      </c>
    </row>
    <row r="1946" spans="1:2">
      <c r="A1946" s="2" t="s">
        <v>6230</v>
      </c>
      <c r="B1946" s="2" t="s">
        <v>648</v>
      </c>
    </row>
    <row r="1947" spans="1:2">
      <c r="A1947" s="2" t="s">
        <v>4961</v>
      </c>
      <c r="B1947" s="2" t="s">
        <v>648</v>
      </c>
    </row>
    <row r="1948" spans="1:2">
      <c r="A1948" s="2" t="s">
        <v>4063</v>
      </c>
      <c r="B1948" s="2" t="s">
        <v>648</v>
      </c>
    </row>
    <row r="1949" spans="1:2">
      <c r="A1949" s="2" t="s">
        <v>6235</v>
      </c>
      <c r="B1949" s="2" t="s">
        <v>648</v>
      </c>
    </row>
    <row r="1950" spans="1:2">
      <c r="A1950" s="2" t="s">
        <v>7301</v>
      </c>
      <c r="B1950" s="2" t="s">
        <v>648</v>
      </c>
    </row>
    <row r="1951" spans="1:2">
      <c r="A1951" s="2" t="s">
        <v>4079</v>
      </c>
      <c r="B1951" s="2" t="s">
        <v>648</v>
      </c>
    </row>
    <row r="1952" spans="1:2">
      <c r="A1952" s="2" t="s">
        <v>7308</v>
      </c>
      <c r="B1952" s="2" t="s">
        <v>648</v>
      </c>
    </row>
    <row r="1953" spans="1:2">
      <c r="A1953" s="2" t="s">
        <v>4083</v>
      </c>
      <c r="B1953" s="2" t="s">
        <v>648</v>
      </c>
    </row>
    <row r="1954" spans="1:2">
      <c r="A1954" s="2" t="s">
        <v>7312</v>
      </c>
      <c r="B1954" s="2" t="s">
        <v>648</v>
      </c>
    </row>
    <row r="1955" spans="1:2">
      <c r="A1955" s="2" t="s">
        <v>4088</v>
      </c>
      <c r="B1955" s="2" t="s">
        <v>648</v>
      </c>
    </row>
    <row r="1956" spans="1:2">
      <c r="A1956" s="2" t="s">
        <v>7315</v>
      </c>
      <c r="B1956" s="2" t="s">
        <v>648</v>
      </c>
    </row>
    <row r="1957" spans="1:2">
      <c r="A1957" s="2" t="s">
        <v>6241</v>
      </c>
      <c r="B1957" s="2" t="s">
        <v>648</v>
      </c>
    </row>
    <row r="1958" spans="1:2">
      <c r="A1958" s="2" t="s">
        <v>4976</v>
      </c>
      <c r="B1958" s="2" t="s">
        <v>648</v>
      </c>
    </row>
    <row r="1959" spans="1:2">
      <c r="A1959" s="2" t="s">
        <v>6242</v>
      </c>
      <c r="B1959" s="2" t="s">
        <v>648</v>
      </c>
    </row>
    <row r="1960" spans="1:2">
      <c r="A1960" s="2" t="s">
        <v>4977</v>
      </c>
      <c r="B1960" s="2" t="s">
        <v>648</v>
      </c>
    </row>
    <row r="1961" spans="1:2">
      <c r="A1961" s="2" t="s">
        <v>6244</v>
      </c>
      <c r="B1961" s="2" t="s">
        <v>648</v>
      </c>
    </row>
    <row r="1962" spans="1:2">
      <c r="A1962" s="2" t="s">
        <v>4978</v>
      </c>
      <c r="B1962" s="2" t="s">
        <v>648</v>
      </c>
    </row>
    <row r="1963" spans="1:2">
      <c r="A1963" s="2" t="s">
        <v>5071</v>
      </c>
      <c r="B1963" s="2" t="s">
        <v>74</v>
      </c>
    </row>
    <row r="1964" spans="1:2">
      <c r="A1964" s="2" t="s">
        <v>68</v>
      </c>
      <c r="B1964" s="2" t="s">
        <v>74</v>
      </c>
    </row>
    <row r="1965" spans="1:2">
      <c r="A1965" s="2" t="s">
        <v>75</v>
      </c>
      <c r="B1965" s="2" t="s">
        <v>74</v>
      </c>
    </row>
    <row r="1966" spans="1:2">
      <c r="A1966" s="2" t="s">
        <v>5086</v>
      </c>
      <c r="B1966" s="2" t="s">
        <v>74</v>
      </c>
    </row>
    <row r="1967" spans="1:2">
      <c r="A1967" s="2" t="s">
        <v>5091</v>
      </c>
      <c r="B1967" s="2" t="s">
        <v>74</v>
      </c>
    </row>
    <row r="1968" spans="1:2">
      <c r="A1968" s="2" t="s">
        <v>4202</v>
      </c>
      <c r="B1968" s="2" t="s">
        <v>74</v>
      </c>
    </row>
    <row r="1969" spans="1:2">
      <c r="A1969" s="2" t="s">
        <v>4204</v>
      </c>
      <c r="B1969" s="2" t="s">
        <v>74</v>
      </c>
    </row>
    <row r="1970" spans="1:2">
      <c r="A1970" s="2" t="s">
        <v>4205</v>
      </c>
      <c r="B1970" s="2" t="s">
        <v>74</v>
      </c>
    </row>
    <row r="1971" spans="1:2">
      <c r="A1971" s="2" t="s">
        <v>4207</v>
      </c>
      <c r="B1971" s="2" t="s">
        <v>74</v>
      </c>
    </row>
    <row r="1972" spans="1:2">
      <c r="A1972" s="2" t="s">
        <v>6360</v>
      </c>
      <c r="B1972" s="2" t="s">
        <v>74</v>
      </c>
    </row>
    <row r="1973" spans="1:2">
      <c r="A1973" s="2" t="s">
        <v>303</v>
      </c>
      <c r="B1973" s="2" t="s">
        <v>74</v>
      </c>
    </row>
    <row r="1974" spans="1:2">
      <c r="A1974" s="2" t="s">
        <v>6367</v>
      </c>
      <c r="B1974" s="2" t="s">
        <v>74</v>
      </c>
    </row>
    <row r="1975" spans="1:2">
      <c r="A1975" s="2" t="s">
        <v>5179</v>
      </c>
      <c r="B1975" s="2" t="s">
        <v>74</v>
      </c>
    </row>
    <row r="1976" spans="1:2">
      <c r="A1976" s="2" t="s">
        <v>5181</v>
      </c>
      <c r="B1976" s="2" t="s">
        <v>74</v>
      </c>
    </row>
    <row r="1977" spans="1:2">
      <c r="A1977" s="2" t="s">
        <v>4299</v>
      </c>
      <c r="B1977" s="2" t="s">
        <v>74</v>
      </c>
    </row>
    <row r="1978" spans="1:2">
      <c r="A1978" s="2" t="s">
        <v>4301</v>
      </c>
      <c r="B1978" s="2" t="s">
        <v>74</v>
      </c>
    </row>
    <row r="1979" spans="1:2">
      <c r="A1979" s="2" t="s">
        <v>315</v>
      </c>
      <c r="B1979" s="2" t="s">
        <v>74</v>
      </c>
    </row>
    <row r="1980" spans="1:2">
      <c r="A1980" s="2" t="s">
        <v>6379</v>
      </c>
      <c r="B1980" s="2" t="s">
        <v>74</v>
      </c>
    </row>
    <row r="1981" spans="1:2">
      <c r="A1981" s="2" t="s">
        <v>5183</v>
      </c>
      <c r="B1981" s="2" t="s">
        <v>74</v>
      </c>
    </row>
    <row r="1982" spans="1:2">
      <c r="A1982" s="2" t="s">
        <v>5185</v>
      </c>
      <c r="B1982" s="2" t="s">
        <v>74</v>
      </c>
    </row>
    <row r="1983" spans="1:2">
      <c r="A1983" s="2" t="s">
        <v>5241</v>
      </c>
      <c r="B1983" s="2" t="s">
        <v>74</v>
      </c>
    </row>
    <row r="1984" spans="1:2">
      <c r="A1984" s="2" t="s">
        <v>4324</v>
      </c>
      <c r="B1984" s="2" t="s">
        <v>74</v>
      </c>
    </row>
    <row r="1985" spans="1:2">
      <c r="A1985" s="2" t="s">
        <v>7876</v>
      </c>
      <c r="B1985" s="2" t="s">
        <v>74</v>
      </c>
    </row>
    <row r="1986" spans="1:2">
      <c r="A1986" s="2" t="s">
        <v>4560</v>
      </c>
      <c r="B1986" s="2" t="s">
        <v>74</v>
      </c>
    </row>
    <row r="1987" spans="1:2">
      <c r="A1987" s="2" t="s">
        <v>4613</v>
      </c>
      <c r="B1987" s="2" t="s">
        <v>74</v>
      </c>
    </row>
    <row r="1988" spans="1:2">
      <c r="A1988" s="2" t="s">
        <v>4621</v>
      </c>
      <c r="B1988" s="2" t="s">
        <v>74</v>
      </c>
    </row>
    <row r="1989" spans="1:2">
      <c r="A1989" s="2" t="s">
        <v>5803</v>
      </c>
      <c r="B1989" s="2" t="s">
        <v>74</v>
      </c>
    </row>
    <row r="1990" spans="1:2">
      <c r="A1990" s="2" t="s">
        <v>5811</v>
      </c>
      <c r="B1990" s="2" t="s">
        <v>74</v>
      </c>
    </row>
    <row r="1991" spans="1:2">
      <c r="A1991" s="2" t="s">
        <v>4628</v>
      </c>
      <c r="B1991" s="2" t="s">
        <v>74</v>
      </c>
    </row>
    <row r="1992" spans="1:2">
      <c r="A1992" s="2" t="s">
        <v>7877</v>
      </c>
      <c r="B1992" s="2" t="s">
        <v>74</v>
      </c>
    </row>
    <row r="1993" spans="1:2">
      <c r="A1993" s="2" t="s">
        <v>4632</v>
      </c>
      <c r="B1993" s="2" t="s">
        <v>74</v>
      </c>
    </row>
    <row r="1994" spans="1:2">
      <c r="A1994" s="2" t="s">
        <v>5817</v>
      </c>
      <c r="B1994" s="2" t="s">
        <v>74</v>
      </c>
    </row>
    <row r="1995" spans="1:2">
      <c r="A1995" s="2" t="s">
        <v>5818</v>
      </c>
      <c r="B1995" s="2" t="s">
        <v>74</v>
      </c>
    </row>
    <row r="1996" spans="1:2">
      <c r="A1996" s="2" t="s">
        <v>2992</v>
      </c>
      <c r="B1996" s="2" t="s">
        <v>74</v>
      </c>
    </row>
    <row r="1997" spans="1:2">
      <c r="A1997" s="2" t="s">
        <v>7072</v>
      </c>
      <c r="B1997" s="2" t="s">
        <v>74</v>
      </c>
    </row>
    <row r="1998" spans="1:2">
      <c r="A1998" s="2" t="s">
        <v>5989</v>
      </c>
      <c r="B1998" s="2" t="s">
        <v>74</v>
      </c>
    </row>
    <row r="1999" spans="1:2">
      <c r="A1999" s="2" t="s">
        <v>5991</v>
      </c>
      <c r="B1999" s="2" t="s">
        <v>74</v>
      </c>
    </row>
    <row r="2000" spans="1:2">
      <c r="A2000" s="2" t="s">
        <v>7129</v>
      </c>
      <c r="B2000" s="2" t="s">
        <v>74</v>
      </c>
    </row>
    <row r="2001" spans="1:2">
      <c r="A2001" s="2" t="s">
        <v>4834</v>
      </c>
      <c r="B2001" s="2" t="s">
        <v>74</v>
      </c>
    </row>
    <row r="2002" spans="1:2">
      <c r="A2002" s="2" t="s">
        <v>4835</v>
      </c>
      <c r="B2002" s="2" t="s">
        <v>74</v>
      </c>
    </row>
    <row r="2003" spans="1:2">
      <c r="A2003" s="2" t="s">
        <v>6081</v>
      </c>
      <c r="B2003" s="2" t="s">
        <v>74</v>
      </c>
    </row>
    <row r="2004" spans="1:2">
      <c r="A2004" s="2" t="s">
        <v>4844</v>
      </c>
      <c r="B2004" s="2" t="s">
        <v>74</v>
      </c>
    </row>
    <row r="2005" spans="1:2">
      <c r="A2005" s="2" t="s">
        <v>4600</v>
      </c>
      <c r="B2005" s="2" t="s">
        <v>74</v>
      </c>
    </row>
    <row r="2006" spans="1:2">
      <c r="A2006" s="2" t="s">
        <v>4602</v>
      </c>
      <c r="B2006" s="2" t="s">
        <v>74</v>
      </c>
    </row>
    <row r="2007" spans="1:2">
      <c r="A2007" s="2" t="s">
        <v>4604</v>
      </c>
      <c r="B2007" s="2" t="s">
        <v>74</v>
      </c>
    </row>
    <row r="2008" spans="1:2">
      <c r="A2008" s="2" t="s">
        <v>4360</v>
      </c>
      <c r="B2008" s="2" t="s">
        <v>7878</v>
      </c>
    </row>
    <row r="2009" spans="1:2">
      <c r="A2009" s="2" t="s">
        <v>5344</v>
      </c>
      <c r="B2009" s="2" t="s">
        <v>7878</v>
      </c>
    </row>
    <row r="2010" spans="1:2">
      <c r="A2010" s="2" t="s">
        <v>5381</v>
      </c>
      <c r="B2010" s="2" t="s">
        <v>7878</v>
      </c>
    </row>
    <row r="2011" spans="1:2">
      <c r="A2011" s="2" t="s">
        <v>5383</v>
      </c>
      <c r="B2011" s="2" t="s">
        <v>7878</v>
      </c>
    </row>
    <row r="2012" spans="1:2">
      <c r="A2012" s="2" t="s">
        <v>4396</v>
      </c>
      <c r="B2012" s="2" t="s">
        <v>7878</v>
      </c>
    </row>
    <row r="2013" spans="1:2">
      <c r="A2013" s="2" t="s">
        <v>4638</v>
      </c>
      <c r="B2013" s="2" t="s">
        <v>7878</v>
      </c>
    </row>
    <row r="2014" spans="1:2">
      <c r="A2014" s="2" t="s">
        <v>4652</v>
      </c>
      <c r="B2014" s="2" t="s">
        <v>7878</v>
      </c>
    </row>
    <row r="2015" spans="1:2">
      <c r="A2015" s="2" t="s">
        <v>7879</v>
      </c>
      <c r="B2015" s="2" t="s">
        <v>7878</v>
      </c>
    </row>
    <row r="2016" spans="1:2">
      <c r="A2016" s="2" t="s">
        <v>4849</v>
      </c>
      <c r="B2016" s="2" t="s">
        <v>7878</v>
      </c>
    </row>
    <row r="2017" spans="1:2">
      <c r="A2017" s="2" t="s">
        <v>4850</v>
      </c>
      <c r="B2017" s="2" t="s">
        <v>7878</v>
      </c>
    </row>
    <row r="2018" spans="1:2">
      <c r="A2018" s="2" t="s">
        <v>7880</v>
      </c>
      <c r="B2018" s="2" t="s">
        <v>7878</v>
      </c>
    </row>
    <row r="2019" spans="1:2">
      <c r="A2019" s="2" t="s">
        <v>4853</v>
      </c>
      <c r="B2019" s="2" t="s">
        <v>7878</v>
      </c>
    </row>
    <row r="2020" spans="1:2">
      <c r="A2020" s="2" t="s">
        <v>4854</v>
      </c>
      <c r="B2020" s="2" t="s">
        <v>7878</v>
      </c>
    </row>
    <row r="2021" spans="1:2">
      <c r="A2021" s="2" t="s">
        <v>6192</v>
      </c>
      <c r="B2021" s="2" t="s">
        <v>7878</v>
      </c>
    </row>
    <row r="2022" spans="1:2">
      <c r="A2022" s="2" t="s">
        <v>6194</v>
      </c>
      <c r="B2022" s="2" t="s">
        <v>7878</v>
      </c>
    </row>
    <row r="2023" spans="1:2">
      <c r="A2023" s="2" t="s">
        <v>4948</v>
      </c>
      <c r="B2023" s="2" t="s">
        <v>7878</v>
      </c>
    </row>
    <row r="2024" spans="1:2">
      <c r="A2024" s="2" t="s">
        <v>6279</v>
      </c>
      <c r="B2024" s="2" t="s">
        <v>387</v>
      </c>
    </row>
    <row r="2025" spans="1:2">
      <c r="A2025" s="2" t="s">
        <v>5156</v>
      </c>
      <c r="B2025" s="2" t="s">
        <v>387</v>
      </c>
    </row>
    <row r="2026" spans="1:2">
      <c r="A2026" s="2" t="s">
        <v>4320</v>
      </c>
      <c r="B2026" s="2" t="s">
        <v>387</v>
      </c>
    </row>
    <row r="2027" spans="1:2">
      <c r="A2027" s="2" t="s">
        <v>5247</v>
      </c>
      <c r="B2027" s="2" t="s">
        <v>387</v>
      </c>
    </row>
    <row r="2028" spans="1:2">
      <c r="A2028" s="2" t="s">
        <v>5302</v>
      </c>
      <c r="B2028" s="2" t="s">
        <v>387</v>
      </c>
    </row>
    <row r="2029" spans="1:2">
      <c r="A2029" s="2" t="s">
        <v>5303</v>
      </c>
      <c r="B2029" s="2" t="s">
        <v>387</v>
      </c>
    </row>
    <row r="2030" spans="1:2">
      <c r="A2030" s="2" t="s">
        <v>7881</v>
      </c>
      <c r="B2030" s="2" t="s">
        <v>387</v>
      </c>
    </row>
    <row r="2031" spans="1:2">
      <c r="A2031" s="2" t="s">
        <v>7882</v>
      </c>
      <c r="B2031" s="2" t="s">
        <v>387</v>
      </c>
    </row>
    <row r="2032" spans="1:2">
      <c r="A2032" s="2" t="s">
        <v>5450</v>
      </c>
      <c r="B2032" s="2" t="s">
        <v>387</v>
      </c>
    </row>
    <row r="2033" spans="1:2">
      <c r="A2033" s="2" t="s">
        <v>6537</v>
      </c>
      <c r="B2033" s="2" t="s">
        <v>387</v>
      </c>
    </row>
    <row r="2034" spans="1:2">
      <c r="A2034" s="2" t="s">
        <v>1247</v>
      </c>
      <c r="B2034" s="2" t="s">
        <v>387</v>
      </c>
    </row>
    <row r="2035" spans="1:2">
      <c r="A2035" s="2" t="s">
        <v>4575</v>
      </c>
      <c r="B2035" s="2" t="s">
        <v>387</v>
      </c>
    </row>
    <row r="2036" spans="1:2">
      <c r="A2036" s="2" t="s">
        <v>5926</v>
      </c>
      <c r="B2036" s="2" t="s">
        <v>387</v>
      </c>
    </row>
    <row r="2037" spans="1:2">
      <c r="A2037" s="2" t="s">
        <v>7883</v>
      </c>
      <c r="B2037" s="2" t="s">
        <v>387</v>
      </c>
    </row>
    <row r="2038" spans="1:2">
      <c r="A2038" s="2" t="s">
        <v>6086</v>
      </c>
      <c r="B2038" s="2" t="s">
        <v>387</v>
      </c>
    </row>
    <row r="2039" spans="1:2">
      <c r="A2039" s="2" t="s">
        <v>3682</v>
      </c>
      <c r="B2039" s="2" t="s">
        <v>387</v>
      </c>
    </row>
    <row r="2040" spans="1:2">
      <c r="A2040" s="2" t="s">
        <v>6092</v>
      </c>
      <c r="B2040" s="2" t="s">
        <v>387</v>
      </c>
    </row>
    <row r="2041" spans="1:2">
      <c r="A2041" s="2" t="s">
        <v>5099</v>
      </c>
      <c r="B2041" t="s">
        <v>3368</v>
      </c>
    </row>
    <row r="2042" spans="1:2">
      <c r="A2042" s="2" t="s">
        <v>5100</v>
      </c>
      <c r="B2042" t="s">
        <v>3368</v>
      </c>
    </row>
    <row r="2043" spans="1:2">
      <c r="A2043" s="2" t="s">
        <v>4262</v>
      </c>
      <c r="B2043" t="s">
        <v>3368</v>
      </c>
    </row>
    <row r="2044" spans="1:2">
      <c r="A2044" s="2" t="s">
        <v>4264</v>
      </c>
      <c r="B2044" t="s">
        <v>3368</v>
      </c>
    </row>
    <row r="2045" spans="1:2">
      <c r="A2045" s="2" t="s">
        <v>4266</v>
      </c>
      <c r="B2045" t="s">
        <v>3368</v>
      </c>
    </row>
    <row r="2046" spans="1:2">
      <c r="A2046" s="2" t="s">
        <v>6010</v>
      </c>
      <c r="B2046" t="s">
        <v>3368</v>
      </c>
    </row>
    <row r="2047" spans="1:2">
      <c r="A2047" s="2" t="s">
        <v>6012</v>
      </c>
      <c r="B2047" t="s">
        <v>3368</v>
      </c>
    </row>
    <row r="2048" spans="1:2">
      <c r="A2048" s="2" t="s">
        <v>6102</v>
      </c>
      <c r="B2048" t="s">
        <v>3368</v>
      </c>
    </row>
    <row r="2049" spans="1:2">
      <c r="A2049" s="2" t="s">
        <v>4860</v>
      </c>
      <c r="B2049" t="s">
        <v>3368</v>
      </c>
    </row>
    <row r="2050" spans="1:2">
      <c r="A2050" s="2" t="s">
        <v>7884</v>
      </c>
      <c r="B2050" t="s">
        <v>3368</v>
      </c>
    </row>
    <row r="2051" spans="1:2">
      <c r="A2051" s="2" t="s">
        <v>6103</v>
      </c>
      <c r="B2051" t="s">
        <v>3368</v>
      </c>
    </row>
    <row r="2052" spans="1:2">
      <c r="A2052" s="2" t="s">
        <v>6104</v>
      </c>
      <c r="B2052" t="s">
        <v>3368</v>
      </c>
    </row>
    <row r="2053" spans="1:2">
      <c r="A2053" s="2" t="s">
        <v>4862</v>
      </c>
      <c r="B2053" t="s">
        <v>3368</v>
      </c>
    </row>
    <row r="2054" spans="1:2">
      <c r="A2054" s="2" t="s">
        <v>6106</v>
      </c>
      <c r="B2054" t="s">
        <v>3368</v>
      </c>
    </row>
    <row r="2055" spans="1:2">
      <c r="A2055" s="2" t="s">
        <v>6134</v>
      </c>
      <c r="B2055" t="s">
        <v>3368</v>
      </c>
    </row>
    <row r="2056" spans="1:2">
      <c r="A2056" s="2" t="s">
        <v>6136</v>
      </c>
      <c r="B2056" t="s">
        <v>3368</v>
      </c>
    </row>
    <row r="2057" spans="1:2">
      <c r="A2057" s="2" t="s">
        <v>6151</v>
      </c>
      <c r="B2057" t="s">
        <v>3368</v>
      </c>
    </row>
    <row r="2058" spans="1:2">
      <c r="A2058" s="2" t="s">
        <v>6152</v>
      </c>
      <c r="B2058" t="s">
        <v>3368</v>
      </c>
    </row>
    <row r="2059" spans="1:2">
      <c r="A2059" s="2" t="s">
        <v>7885</v>
      </c>
      <c r="B2059" s="2" t="s">
        <v>7886</v>
      </c>
    </row>
    <row r="2060" spans="1:2">
      <c r="A2060" s="2" t="s">
        <v>7887</v>
      </c>
      <c r="B2060" s="2" t="s">
        <v>7886</v>
      </c>
    </row>
    <row r="2061" spans="1:2">
      <c r="A2061" s="2" t="s">
        <v>7888</v>
      </c>
      <c r="B2061" s="2" t="s">
        <v>7886</v>
      </c>
    </row>
    <row r="2062" spans="1:2">
      <c r="A2062" s="2" t="s">
        <v>7889</v>
      </c>
      <c r="B2062" s="2" t="s">
        <v>7886</v>
      </c>
    </row>
    <row r="2063" spans="1:2">
      <c r="A2063" s="2" t="s">
        <v>7890</v>
      </c>
      <c r="B2063" s="2" t="s">
        <v>7886</v>
      </c>
    </row>
    <row r="2064" spans="1:2">
      <c r="A2064" s="2" t="s">
        <v>7891</v>
      </c>
      <c r="B2064" s="2" t="s">
        <v>7886</v>
      </c>
    </row>
    <row r="2065" spans="1:2">
      <c r="A2065" s="2" t="s">
        <v>7892</v>
      </c>
      <c r="B2065" s="2" t="s">
        <v>7886</v>
      </c>
    </row>
    <row r="2066" spans="1:2">
      <c r="A2066" s="2" t="s">
        <v>7893</v>
      </c>
      <c r="B2066" s="2" t="s">
        <v>7886</v>
      </c>
    </row>
    <row r="2067" spans="1:2">
      <c r="A2067" s="2" t="s">
        <v>7894</v>
      </c>
      <c r="B2067" s="2" t="s">
        <v>7886</v>
      </c>
    </row>
    <row r="2068" spans="1:2">
      <c r="A2068" s="2" t="s">
        <v>7895</v>
      </c>
      <c r="B2068" s="2" t="s">
        <v>7886</v>
      </c>
    </row>
    <row r="2069" spans="1:2">
      <c r="A2069" s="2" t="s">
        <v>7896</v>
      </c>
      <c r="B2069" s="2" t="s">
        <v>7886</v>
      </c>
    </row>
    <row r="2070" spans="1:2">
      <c r="A2070" s="2" t="s">
        <v>7897</v>
      </c>
      <c r="B2070" s="2" t="s">
        <v>7886</v>
      </c>
    </row>
    <row r="2071" spans="1:2">
      <c r="A2071" s="2" t="s">
        <v>5000</v>
      </c>
      <c r="B2071" s="2" t="s">
        <v>7898</v>
      </c>
    </row>
    <row r="2072" spans="1:2">
      <c r="A2072" s="2" t="s">
        <v>7899</v>
      </c>
      <c r="B2072" s="2" t="s">
        <v>7898</v>
      </c>
    </row>
    <row r="2073" spans="1:2">
      <c r="A2073" s="2" t="s">
        <v>7900</v>
      </c>
      <c r="B2073" s="2" t="s">
        <v>7898</v>
      </c>
    </row>
    <row r="2074" spans="1:2">
      <c r="A2074" s="2" t="s">
        <v>7901</v>
      </c>
      <c r="B2074" s="2" t="s">
        <v>7898</v>
      </c>
    </row>
    <row r="2075" spans="1:2">
      <c r="A2075" s="2" t="s">
        <v>7902</v>
      </c>
      <c r="B2075" s="2" t="s">
        <v>7898</v>
      </c>
    </row>
    <row r="2076" spans="1:2">
      <c r="A2076" s="2" t="s">
        <v>6068</v>
      </c>
      <c r="B2076" s="2" t="s">
        <v>7898</v>
      </c>
    </row>
    <row r="2077" spans="1:2">
      <c r="A2077" s="2" t="s">
        <v>6111</v>
      </c>
      <c r="B2077" s="2" t="s">
        <v>7898</v>
      </c>
    </row>
    <row r="2078" spans="1:2">
      <c r="A2078" s="2" t="s">
        <v>6118</v>
      </c>
      <c r="B2078" s="2" t="s">
        <v>7898</v>
      </c>
    </row>
    <row r="2079" spans="1:2">
      <c r="A2079" s="2" t="s">
        <v>6120</v>
      </c>
      <c r="B2079" s="2" t="s">
        <v>7898</v>
      </c>
    </row>
    <row r="2080" spans="1:2">
      <c r="A2080" s="2" t="s">
        <v>7903</v>
      </c>
      <c r="B2080" s="2" t="s">
        <v>7898</v>
      </c>
    </row>
    <row r="2081" spans="1:2">
      <c r="A2081" s="2" t="s">
        <v>6132</v>
      </c>
      <c r="B2081" s="2" t="s">
        <v>7898</v>
      </c>
    </row>
    <row r="2082" spans="1:2">
      <c r="A2082" s="2" t="s">
        <v>4870</v>
      </c>
      <c r="B2082" s="2" t="s">
        <v>7898</v>
      </c>
    </row>
    <row r="2083" spans="1:2">
      <c r="A2083" s="2" t="s">
        <v>4872</v>
      </c>
      <c r="B2083" s="2" t="s">
        <v>7898</v>
      </c>
    </row>
    <row r="2084" spans="1:2">
      <c r="A2084" s="2" t="s">
        <v>6140</v>
      </c>
      <c r="B2084" s="2" t="s">
        <v>7898</v>
      </c>
    </row>
    <row r="2085" spans="1:2">
      <c r="A2085" s="2" t="s">
        <v>5062</v>
      </c>
      <c r="B2085" s="2" t="s">
        <v>1310</v>
      </c>
    </row>
    <row r="2086" spans="1:2">
      <c r="A2086" s="2" t="s">
        <v>5064</v>
      </c>
      <c r="B2086" s="2" t="s">
        <v>1310</v>
      </c>
    </row>
    <row r="2087" spans="1:2">
      <c r="A2087" s="2" t="s">
        <v>5066</v>
      </c>
      <c r="B2087" s="2" t="s">
        <v>1310</v>
      </c>
    </row>
    <row r="2088" spans="1:2">
      <c r="A2088" s="2" t="s">
        <v>5068</v>
      </c>
      <c r="B2088" s="2" t="s">
        <v>1310</v>
      </c>
    </row>
    <row r="2089" spans="1:2">
      <c r="A2089" s="2" t="s">
        <v>4362</v>
      </c>
      <c r="B2089" s="2" t="s">
        <v>1310</v>
      </c>
    </row>
    <row r="2090" spans="1:2">
      <c r="A2090" s="2" t="s">
        <v>4856</v>
      </c>
      <c r="B2090" s="2" t="s">
        <v>1310</v>
      </c>
    </row>
    <row r="2091" spans="1:2">
      <c r="A2091" s="2" t="s">
        <v>4873</v>
      </c>
      <c r="B2091" s="2" t="s">
        <v>1310</v>
      </c>
    </row>
    <row r="2092" spans="1:2">
      <c r="A2092" s="2" t="s">
        <v>4942</v>
      </c>
      <c r="B2092" s="2" t="s">
        <v>1310</v>
      </c>
    </row>
    <row r="2093" spans="1:2">
      <c r="A2093" s="2" t="s">
        <v>7262</v>
      </c>
      <c r="B2093" s="2" t="s">
        <v>1310</v>
      </c>
    </row>
    <row r="2094" spans="1:2">
      <c r="A2094" s="2" t="s">
        <v>6217</v>
      </c>
      <c r="B2094" s="2" t="s">
        <v>1310</v>
      </c>
    </row>
    <row r="2095" spans="1:2">
      <c r="A2095" s="2" t="s">
        <v>4956</v>
      </c>
      <c r="B2095" s="2" t="s">
        <v>1310</v>
      </c>
    </row>
    <row r="2096" spans="1:2">
      <c r="A2096" s="2" t="s">
        <v>4958</v>
      </c>
      <c r="B2096" s="2" t="s">
        <v>1310</v>
      </c>
    </row>
    <row r="2097" spans="1:2">
      <c r="A2097" s="2" t="s">
        <v>6224</v>
      </c>
      <c r="B2097" s="2" t="s">
        <v>1310</v>
      </c>
    </row>
    <row r="2098" spans="1:2">
      <c r="A2098" s="2" t="s">
        <v>4959</v>
      </c>
      <c r="B2098" s="2" t="s">
        <v>1310</v>
      </c>
    </row>
    <row r="2099" spans="1:2">
      <c r="A2099" s="2" t="s">
        <v>6227</v>
      </c>
      <c r="B2099" s="2" t="s">
        <v>1310</v>
      </c>
    </row>
    <row r="2100" spans="1:2">
      <c r="A2100" s="2" t="s">
        <v>6219</v>
      </c>
      <c r="B2100" s="2" t="s">
        <v>1310</v>
      </c>
    </row>
    <row r="2101" spans="1:2">
      <c r="A2101" s="2" t="s">
        <v>4554</v>
      </c>
      <c r="B2101" s="2" t="s">
        <v>1310</v>
      </c>
    </row>
    <row r="2102" spans="1:2">
      <c r="A2102" s="2" t="s">
        <v>4878</v>
      </c>
      <c r="B2102" s="2" t="s">
        <v>1310</v>
      </c>
    </row>
    <row r="2103" spans="1:2">
      <c r="A2103" s="2" t="s">
        <v>4880</v>
      </c>
      <c r="B2103" s="2" t="s">
        <v>1310</v>
      </c>
    </row>
    <row r="2104" spans="1:2">
      <c r="A2104" s="2" t="s">
        <v>4881</v>
      </c>
      <c r="B2104" s="2" t="s">
        <v>1310</v>
      </c>
    </row>
    <row r="2105" spans="1:2">
      <c r="A2105" s="2" t="s">
        <v>4882</v>
      </c>
      <c r="B2105" s="2" t="s">
        <v>1310</v>
      </c>
    </row>
    <row r="2106" spans="1:2">
      <c r="A2106" s="2" t="s">
        <v>4883</v>
      </c>
      <c r="B2106" s="2" t="s">
        <v>1310</v>
      </c>
    </row>
    <row r="2107" spans="1:2">
      <c r="A2107" s="2" t="s">
        <v>6338</v>
      </c>
      <c r="B2107" s="2" t="s">
        <v>1310</v>
      </c>
    </row>
    <row r="2108" spans="1:2">
      <c r="A2108" s="2" t="s">
        <v>4322</v>
      </c>
      <c r="B2108" s="2" t="s">
        <v>1310</v>
      </c>
    </row>
    <row r="2109" spans="1:2">
      <c r="A2109" s="2" t="s">
        <v>5330</v>
      </c>
      <c r="B2109" s="2" t="s">
        <v>1310</v>
      </c>
    </row>
    <row r="2110" spans="1:2">
      <c r="A2110" s="2" t="s">
        <v>7904</v>
      </c>
      <c r="B2110" s="2" t="s">
        <v>1310</v>
      </c>
    </row>
    <row r="2111" spans="1:2">
      <c r="A2111" s="2" t="s">
        <v>7212</v>
      </c>
      <c r="B2111" s="2" t="s">
        <v>1310</v>
      </c>
    </row>
    <row r="2112" spans="1:2">
      <c r="A2112" s="2" t="s">
        <v>6157</v>
      </c>
      <c r="B2112" s="2" t="s">
        <v>1310</v>
      </c>
    </row>
    <row r="2113" spans="1:2">
      <c r="A2113" s="2" t="s">
        <v>6159</v>
      </c>
      <c r="B2113" s="2" t="s">
        <v>1310</v>
      </c>
    </row>
    <row r="2114" spans="1:2">
      <c r="A2114" s="2" t="s">
        <v>4887</v>
      </c>
      <c r="B2114" s="2" t="s">
        <v>1310</v>
      </c>
    </row>
    <row r="2115" spans="1:2">
      <c r="A2115" s="2" t="s">
        <v>6160</v>
      </c>
      <c r="B2115" s="2" t="s">
        <v>1310</v>
      </c>
    </row>
    <row r="2116" spans="1:2">
      <c r="A2116" s="2" t="s">
        <v>7905</v>
      </c>
      <c r="B2116" s="2" t="s">
        <v>1310</v>
      </c>
    </row>
    <row r="2117" spans="1:2">
      <c r="A2117" s="2" t="s">
        <v>7906</v>
      </c>
      <c r="B2117" s="2" t="s">
        <v>1310</v>
      </c>
    </row>
    <row r="2118" spans="1:2">
      <c r="A2118" s="2" t="s">
        <v>6741</v>
      </c>
      <c r="B2118" s="2" t="s">
        <v>6720</v>
      </c>
    </row>
    <row r="2119" spans="1:2">
      <c r="A2119" s="2" t="s">
        <v>5116</v>
      </c>
      <c r="B2119" s="2" t="s">
        <v>6274</v>
      </c>
    </row>
    <row r="2120" spans="1:2">
      <c r="A2120" s="2" t="s">
        <v>5119</v>
      </c>
      <c r="B2120" s="2" t="s">
        <v>6274</v>
      </c>
    </row>
    <row r="2121" spans="1:2">
      <c r="A2121" s="2" t="s">
        <v>4292</v>
      </c>
      <c r="B2121" s="2" t="s">
        <v>6274</v>
      </c>
    </row>
    <row r="2122" spans="1:2">
      <c r="A2122" s="2" t="s">
        <v>5173</v>
      </c>
      <c r="B2122" s="2" t="s">
        <v>6274</v>
      </c>
    </row>
    <row r="2123" spans="1:2">
      <c r="A2123" s="2" t="s">
        <v>5385</v>
      </c>
      <c r="B2123" s="2" t="s">
        <v>6274</v>
      </c>
    </row>
    <row r="2124" spans="1:2">
      <c r="A2124" s="2" t="s">
        <v>5388</v>
      </c>
      <c r="B2124" s="2" t="s">
        <v>6274</v>
      </c>
    </row>
    <row r="2125" spans="1:2">
      <c r="A2125" s="2" t="s">
        <v>5389</v>
      </c>
      <c r="B2125" s="2" t="s">
        <v>6274</v>
      </c>
    </row>
    <row r="2126" spans="1:2">
      <c r="A2126" s="2" t="s">
        <v>7907</v>
      </c>
      <c r="B2126" s="2" t="s">
        <v>6274</v>
      </c>
    </row>
    <row r="2127" spans="1:2">
      <c r="A2127" s="2" t="s">
        <v>5760</v>
      </c>
      <c r="B2127" s="2" t="s">
        <v>6274</v>
      </c>
    </row>
    <row r="2128" spans="1:2">
      <c r="A2128" s="2" t="s">
        <v>6761</v>
      </c>
      <c r="B2128" s="2" t="s">
        <v>6274</v>
      </c>
    </row>
    <row r="2129" spans="1:2">
      <c r="A2129" s="2" t="s">
        <v>5856</v>
      </c>
      <c r="B2129" s="2" t="s">
        <v>6274</v>
      </c>
    </row>
    <row r="2130" spans="1:2">
      <c r="A2130" s="2" t="s">
        <v>6153</v>
      </c>
      <c r="B2130" s="2" t="s">
        <v>6274</v>
      </c>
    </row>
    <row r="2131" spans="1:2">
      <c r="A2131" s="2" t="s">
        <v>7056</v>
      </c>
      <c r="B2131" s="2" t="s">
        <v>6274</v>
      </c>
    </row>
    <row r="2132" spans="1:2">
      <c r="A2132" s="2" t="s">
        <v>6765</v>
      </c>
      <c r="B2132" s="2" t="s">
        <v>6274</v>
      </c>
    </row>
    <row r="2133" spans="1:2">
      <c r="A2133" s="2" t="s">
        <v>5969</v>
      </c>
      <c r="B2133" s="2" t="s">
        <v>6274</v>
      </c>
    </row>
    <row r="2134" spans="1:2">
      <c r="A2134" s="2" t="s">
        <v>5859</v>
      </c>
      <c r="B2134" s="2" t="s">
        <v>6274</v>
      </c>
    </row>
    <row r="2135" spans="1:2">
      <c r="A2135" s="2" t="s">
        <v>5861</v>
      </c>
      <c r="B2135" s="2" t="s">
        <v>6274</v>
      </c>
    </row>
    <row r="2136" spans="1:2">
      <c r="A2136" s="2" t="s">
        <v>5862</v>
      </c>
      <c r="B2136" s="2" t="s">
        <v>6274</v>
      </c>
    </row>
    <row r="2137" spans="1:2">
      <c r="A2137" s="2" t="s">
        <v>5863</v>
      </c>
      <c r="B2137" s="2" t="s">
        <v>6274</v>
      </c>
    </row>
    <row r="2138" spans="1:2">
      <c r="A2138" s="2" t="s">
        <v>5118</v>
      </c>
      <c r="B2138" s="2" t="s">
        <v>6274</v>
      </c>
    </row>
    <row r="2139" spans="1:2">
      <c r="A2139" s="2" t="s">
        <v>5571</v>
      </c>
      <c r="B2139" s="2" t="s">
        <v>6274</v>
      </c>
    </row>
    <row r="2140" spans="1:2">
      <c r="A2140" s="2" t="s">
        <v>5758</v>
      </c>
      <c r="B2140" s="2" t="s">
        <v>6274</v>
      </c>
    </row>
    <row r="2141" spans="1:2">
      <c r="A2141" s="2" t="s">
        <v>5759</v>
      </c>
      <c r="B2141" s="2" t="s">
        <v>6274</v>
      </c>
    </row>
    <row r="2142" spans="1:2">
      <c r="A2142" s="2" t="s">
        <v>6155</v>
      </c>
      <c r="B2142" s="2" t="s">
        <v>6274</v>
      </c>
    </row>
    <row r="2143" spans="1:2">
      <c r="A2143" s="2" t="s">
        <v>7908</v>
      </c>
      <c r="B2143" s="2" t="s">
        <v>6274</v>
      </c>
    </row>
    <row r="2144" spans="1:2">
      <c r="A2144" s="2" t="s">
        <v>6150</v>
      </c>
      <c r="B2144" s="2" t="s">
        <v>6274</v>
      </c>
    </row>
    <row r="2145" spans="1:2">
      <c r="A2145" s="2" t="s">
        <v>3171</v>
      </c>
      <c r="B2145" s="2" t="s">
        <v>6274</v>
      </c>
    </row>
    <row r="2146" spans="1:2">
      <c r="A2146" s="2" t="s">
        <v>6027</v>
      </c>
      <c r="B2146" s="2" t="s">
        <v>6274</v>
      </c>
    </row>
    <row r="2147" spans="1:2">
      <c r="A2147" s="2" t="s">
        <v>7909</v>
      </c>
      <c r="B2147" s="2" t="s">
        <v>573</v>
      </c>
    </row>
    <row r="2148" spans="1:2">
      <c r="A2148" s="2" t="s">
        <v>7910</v>
      </c>
      <c r="B2148" s="2" t="s">
        <v>573</v>
      </c>
    </row>
    <row r="2149" spans="1:2">
      <c r="A2149" s="2" t="s">
        <v>888</v>
      </c>
      <c r="B2149" s="2" t="s">
        <v>573</v>
      </c>
    </row>
    <row r="2150" spans="1:2">
      <c r="A2150" s="2" t="s">
        <v>1601</v>
      </c>
      <c r="B2150" s="2" t="s">
        <v>573</v>
      </c>
    </row>
    <row r="2151" spans="1:2">
      <c r="A2151" s="2" t="s">
        <v>2543</v>
      </c>
      <c r="B2151" s="2" t="s">
        <v>573</v>
      </c>
    </row>
    <row r="2152" spans="1:2">
      <c r="A2152" s="2" t="s">
        <v>7911</v>
      </c>
      <c r="B2152" s="2" t="s">
        <v>573</v>
      </c>
    </row>
    <row r="2153" spans="1:2">
      <c r="A2153" s="2" t="s">
        <v>7912</v>
      </c>
      <c r="B2153" s="2" t="s">
        <v>573</v>
      </c>
    </row>
    <row r="2154" spans="1:2">
      <c r="A2154" s="2" t="s">
        <v>6203</v>
      </c>
      <c r="B2154" s="2" t="s">
        <v>573</v>
      </c>
    </row>
    <row r="2155" spans="1:2">
      <c r="A2155" s="2" t="s">
        <v>7913</v>
      </c>
      <c r="B2155" s="2" t="s">
        <v>244</v>
      </c>
    </row>
    <row r="2156" spans="1:2">
      <c r="A2156" s="2" t="s">
        <v>7914</v>
      </c>
      <c r="B2156" s="2" t="s">
        <v>244</v>
      </c>
    </row>
    <row r="2157" spans="1:2">
      <c r="A2157" s="2" t="s">
        <v>7915</v>
      </c>
      <c r="B2157" s="2" t="s">
        <v>244</v>
      </c>
    </row>
    <row r="2158" spans="1:2">
      <c r="A2158" s="2" t="s">
        <v>7916</v>
      </c>
      <c r="B2158" s="2" t="s">
        <v>244</v>
      </c>
    </row>
    <row r="2159" spans="1:2">
      <c r="A2159" s="2" t="s">
        <v>7917</v>
      </c>
      <c r="B2159" s="2" t="s">
        <v>244</v>
      </c>
    </row>
    <row r="2160" spans="1:2">
      <c r="A2160" s="2" t="s">
        <v>7232</v>
      </c>
      <c r="B2160" s="2" t="s">
        <v>244</v>
      </c>
    </row>
    <row r="2161" spans="1:2">
      <c r="A2161" s="2" t="s">
        <v>7242</v>
      </c>
      <c r="B2161" s="2" t="s">
        <v>244</v>
      </c>
    </row>
    <row r="2162" spans="1:2">
      <c r="A2162" s="2" t="s">
        <v>7918</v>
      </c>
      <c r="B2162" s="2" t="s">
        <v>244</v>
      </c>
    </row>
    <row r="2163" spans="1:2">
      <c r="A2163" s="2" t="s">
        <v>7919</v>
      </c>
      <c r="B2163" s="2" t="s">
        <v>244</v>
      </c>
    </row>
    <row r="2164" spans="1:2">
      <c r="A2164" s="2" t="s">
        <v>3912</v>
      </c>
      <c r="B2164" s="2" t="s">
        <v>244</v>
      </c>
    </row>
    <row r="2165" spans="1:2">
      <c r="A2165" s="2" t="s">
        <v>7920</v>
      </c>
      <c r="B2165" s="2" t="s">
        <v>244</v>
      </c>
    </row>
    <row r="2166" spans="1:2">
      <c r="A2166" s="2" t="s">
        <v>7921</v>
      </c>
      <c r="B2166" s="2" t="s">
        <v>244</v>
      </c>
    </row>
    <row r="2167" spans="1:2">
      <c r="A2167" s="2" t="s">
        <v>6577</v>
      </c>
      <c r="B2167" s="2" t="s">
        <v>1276</v>
      </c>
    </row>
    <row r="2168" spans="1:2">
      <c r="A2168" s="2" t="s">
        <v>6581</v>
      </c>
      <c r="B2168" s="2" t="s">
        <v>1276</v>
      </c>
    </row>
    <row r="2169" spans="1:2">
      <c r="A2169" s="2" t="s">
        <v>6714</v>
      </c>
      <c r="B2169" s="2" t="s">
        <v>1276</v>
      </c>
    </row>
    <row r="2170" spans="1:2">
      <c r="A2170" s="2" t="s">
        <v>6721</v>
      </c>
      <c r="B2170" s="2" t="s">
        <v>1276</v>
      </c>
    </row>
    <row r="2171" spans="1:2">
      <c r="A2171" s="2" t="s">
        <v>6748</v>
      </c>
      <c r="B2171" s="2" t="s">
        <v>1276</v>
      </c>
    </row>
    <row r="2172" spans="1:2">
      <c r="A2172" s="2" t="s">
        <v>6757</v>
      </c>
      <c r="B2172" s="2" t="s">
        <v>1276</v>
      </c>
    </row>
    <row r="2173" spans="1:2">
      <c r="A2173" s="2" t="s">
        <v>6891</v>
      </c>
      <c r="B2173" s="2" t="s">
        <v>1276</v>
      </c>
    </row>
    <row r="2174" spans="1:2">
      <c r="A2174" s="2" t="s">
        <v>6894</v>
      </c>
      <c r="B2174" s="2" t="s">
        <v>1276</v>
      </c>
    </row>
    <row r="2175" spans="1:2">
      <c r="A2175" s="2" t="s">
        <v>6898</v>
      </c>
      <c r="B2175" s="2" t="s">
        <v>1276</v>
      </c>
    </row>
    <row r="2176" spans="1:2">
      <c r="A2176" s="2" t="s">
        <v>6902</v>
      </c>
      <c r="B2176" s="2" t="s">
        <v>1276</v>
      </c>
    </row>
    <row r="2177" spans="1:2">
      <c r="A2177" s="2" t="s">
        <v>6948</v>
      </c>
      <c r="B2177" s="2" t="s">
        <v>1276</v>
      </c>
    </row>
    <row r="2178" spans="1:2">
      <c r="A2178" s="2" t="s">
        <v>3100</v>
      </c>
      <c r="B2178" s="2" t="s">
        <v>1276</v>
      </c>
    </row>
    <row r="2179" spans="1:2">
      <c r="A2179" s="2" t="s">
        <v>7087</v>
      </c>
      <c r="B2179" s="2" t="s">
        <v>1276</v>
      </c>
    </row>
    <row r="2180" spans="1:2">
      <c r="A2180" s="2" t="s">
        <v>7091</v>
      </c>
      <c r="B2180" s="2" t="s">
        <v>1276</v>
      </c>
    </row>
    <row r="2181" spans="1:2">
      <c r="A2181" s="2" t="s">
        <v>7216</v>
      </c>
      <c r="B2181" s="2" t="s">
        <v>1276</v>
      </c>
    </row>
    <row r="2182" spans="1:2">
      <c r="A2182" s="2" t="s">
        <v>7224</v>
      </c>
      <c r="B2182" s="2" t="s">
        <v>1276</v>
      </c>
    </row>
    <row r="2183" spans="1:2">
      <c r="A2183" s="2" t="s">
        <v>7228</v>
      </c>
      <c r="B2183" s="2" t="s">
        <v>1276</v>
      </c>
    </row>
    <row r="2184" spans="1:2">
      <c r="A2184" s="2" t="s">
        <v>7286</v>
      </c>
      <c r="B2184" s="2" t="s">
        <v>1276</v>
      </c>
    </row>
    <row r="2185" spans="1:2">
      <c r="A2185" s="2" t="s">
        <v>4069</v>
      </c>
      <c r="B2185" s="2" t="s">
        <v>1276</v>
      </c>
    </row>
    <row r="2186" spans="1:2">
      <c r="A2186" s="2" t="s">
        <v>4100</v>
      </c>
      <c r="B2186" s="2" t="s">
        <v>1276</v>
      </c>
    </row>
    <row r="2187" spans="1:2">
      <c r="A2187" s="2" t="s">
        <v>7319</v>
      </c>
      <c r="B2187" s="2" t="s">
        <v>1276</v>
      </c>
    </row>
    <row r="2188" spans="1:2">
      <c r="A2188" s="2" t="s">
        <v>7922</v>
      </c>
      <c r="B2188" s="2" t="s">
        <v>1276</v>
      </c>
    </row>
    <row r="2189" spans="1:2">
      <c r="A2189" s="2" t="s">
        <v>7923</v>
      </c>
      <c r="B2189" s="2" t="s">
        <v>1276</v>
      </c>
    </row>
    <row r="2190" spans="1:2">
      <c r="A2190" s="2" t="s">
        <v>7924</v>
      </c>
      <c r="B2190" s="2" t="s">
        <v>1276</v>
      </c>
    </row>
    <row r="2191" spans="1:2">
      <c r="A2191" s="2" t="s">
        <v>7925</v>
      </c>
      <c r="B2191" s="2" t="s">
        <v>1276</v>
      </c>
    </row>
    <row r="2192" spans="1:2">
      <c r="A2192" s="2" t="s">
        <v>7926</v>
      </c>
      <c r="B2192" s="2" t="s">
        <v>1276</v>
      </c>
    </row>
    <row r="2193" spans="1:2">
      <c r="A2193" s="2" t="s">
        <v>7927</v>
      </c>
      <c r="B2193" s="2" t="s">
        <v>1276</v>
      </c>
    </row>
    <row r="2194" spans="1:2">
      <c r="A2194" s="2" t="s">
        <v>7928</v>
      </c>
      <c r="B2194" s="2" t="s">
        <v>1276</v>
      </c>
    </row>
    <row r="2195" spans="1:2">
      <c r="A2195" s="2" t="s">
        <v>4168</v>
      </c>
      <c r="B2195" s="2" t="s">
        <v>1276</v>
      </c>
    </row>
    <row r="2196" spans="1:2">
      <c r="A2196" s="2" t="s">
        <v>7929</v>
      </c>
      <c r="B2196" s="2" t="s">
        <v>1276</v>
      </c>
    </row>
    <row r="2197" spans="1:2">
      <c r="A2197" s="2" t="s">
        <v>7930</v>
      </c>
      <c r="B2197" s="2" t="s">
        <v>1276</v>
      </c>
    </row>
    <row r="2198" spans="1:2">
      <c r="A2198" s="2" t="s">
        <v>7931</v>
      </c>
      <c r="B2198" s="2" t="s">
        <v>1276</v>
      </c>
    </row>
    <row r="2199" spans="1:2">
      <c r="A2199" s="2" t="s">
        <v>7932</v>
      </c>
      <c r="B2199" s="2" t="s">
        <v>1276</v>
      </c>
    </row>
    <row r="2200" spans="1:2">
      <c r="A2200" s="2" t="s">
        <v>7933</v>
      </c>
      <c r="B2200" s="2" t="s">
        <v>1276</v>
      </c>
    </row>
    <row r="2201" spans="1:2">
      <c r="A2201" s="2" t="s">
        <v>7934</v>
      </c>
      <c r="B2201" s="2" t="s">
        <v>1276</v>
      </c>
    </row>
    <row r="2202" spans="1:2">
      <c r="A2202" s="2" t="s">
        <v>7935</v>
      </c>
      <c r="B2202" s="2" t="s">
        <v>1276</v>
      </c>
    </row>
    <row r="2203" spans="1:2">
      <c r="A2203" s="2" t="s">
        <v>7936</v>
      </c>
      <c r="B2203" s="2" t="s">
        <v>1276</v>
      </c>
    </row>
    <row r="2204" spans="1:2">
      <c r="A2204" s="2" t="s">
        <v>7937</v>
      </c>
      <c r="B2204" s="2" t="s">
        <v>1276</v>
      </c>
    </row>
    <row r="2205" spans="1:2">
      <c r="A2205" s="2" t="s">
        <v>7938</v>
      </c>
      <c r="B2205" s="2" t="s">
        <v>1276</v>
      </c>
    </row>
    <row r="2206" spans="1:2">
      <c r="A2206" s="2" t="s">
        <v>7939</v>
      </c>
      <c r="B2206" s="2" t="s">
        <v>1276</v>
      </c>
    </row>
    <row r="2207" spans="1:2">
      <c r="A2207" s="2" t="s">
        <v>7940</v>
      </c>
      <c r="B2207" s="2" t="s">
        <v>1276</v>
      </c>
    </row>
    <row r="2208" spans="1:2">
      <c r="A2208" s="2" t="s">
        <v>7941</v>
      </c>
      <c r="B2208" s="2" t="s">
        <v>1276</v>
      </c>
    </row>
    <row r="2209" spans="1:2">
      <c r="A2209" s="2" t="s">
        <v>7942</v>
      </c>
      <c r="B2209" s="2" t="s">
        <v>1276</v>
      </c>
    </row>
    <row r="2210" spans="1:2">
      <c r="A2210" s="2" t="s">
        <v>7943</v>
      </c>
      <c r="B2210" s="2" t="s">
        <v>1276</v>
      </c>
    </row>
    <row r="2211" spans="1:2">
      <c r="A2211" s="2" t="s">
        <v>7944</v>
      </c>
      <c r="B2211" s="2" t="s">
        <v>1276</v>
      </c>
    </row>
    <row r="2212" spans="1:2">
      <c r="A2212" s="2" t="s">
        <v>4328</v>
      </c>
      <c r="B2212" s="2" t="s">
        <v>1276</v>
      </c>
    </row>
    <row r="2213" spans="1:2">
      <c r="A2213" s="2" t="s">
        <v>7945</v>
      </c>
      <c r="B2213" s="2" t="s">
        <v>1276</v>
      </c>
    </row>
    <row r="2214" spans="1:2">
      <c r="A2214" s="2" t="s">
        <v>7946</v>
      </c>
      <c r="B2214" s="2" t="s">
        <v>1276</v>
      </c>
    </row>
    <row r="2215" spans="1:2">
      <c r="A2215" s="2" t="s">
        <v>4353</v>
      </c>
      <c r="B2215" s="2" t="s">
        <v>1276</v>
      </c>
    </row>
    <row r="2216" spans="1:2">
      <c r="A2216" s="2" t="s">
        <v>7947</v>
      </c>
      <c r="B2216" s="2" t="s">
        <v>1276</v>
      </c>
    </row>
    <row r="2217" spans="1:2">
      <c r="A2217" s="2" t="s">
        <v>7948</v>
      </c>
      <c r="B2217" s="2" t="s">
        <v>1276</v>
      </c>
    </row>
    <row r="2218" spans="1:2">
      <c r="A2218" s="2" t="s">
        <v>7949</v>
      </c>
      <c r="B2218" s="2" t="s">
        <v>1276</v>
      </c>
    </row>
    <row r="2219" spans="1:2">
      <c r="A2219" s="2" t="s">
        <v>7950</v>
      </c>
      <c r="B2219" s="2" t="s">
        <v>1276</v>
      </c>
    </row>
    <row r="2220" spans="1:2">
      <c r="A2220" s="2" t="s">
        <v>7951</v>
      </c>
      <c r="B2220" s="2" t="s">
        <v>1276</v>
      </c>
    </row>
    <row r="2221" spans="1:2">
      <c r="A2221" s="2" t="s">
        <v>7952</v>
      </c>
      <c r="B2221" s="2" t="s">
        <v>1276</v>
      </c>
    </row>
    <row r="2222" spans="1:2">
      <c r="A2222" s="2" t="s">
        <v>7953</v>
      </c>
      <c r="B2222" s="2" t="s">
        <v>1276</v>
      </c>
    </row>
    <row r="2223" spans="1:2">
      <c r="A2223" s="2" t="s">
        <v>7954</v>
      </c>
      <c r="B2223" s="2" t="s">
        <v>1276</v>
      </c>
    </row>
    <row r="2224" spans="1:2">
      <c r="A2224" s="2" t="s">
        <v>7955</v>
      </c>
      <c r="B2224" s="2" t="s">
        <v>1276</v>
      </c>
    </row>
    <row r="2225" spans="1:2">
      <c r="A2225" s="2" t="s">
        <v>4465</v>
      </c>
      <c r="B2225" s="2" t="s">
        <v>1276</v>
      </c>
    </row>
    <row r="2226" spans="1:2">
      <c r="A2226" s="2" t="s">
        <v>7956</v>
      </c>
      <c r="B2226" s="2" t="s">
        <v>1276</v>
      </c>
    </row>
    <row r="2227" spans="1:2">
      <c r="A2227" s="2" t="s">
        <v>7957</v>
      </c>
      <c r="B2227" s="2" t="s">
        <v>1276</v>
      </c>
    </row>
    <row r="2228" spans="1:2">
      <c r="A2228" s="2" t="s">
        <v>7958</v>
      </c>
      <c r="B2228" s="2" t="s">
        <v>1276</v>
      </c>
    </row>
    <row r="2229" spans="1:2">
      <c r="A2229" s="2" t="s">
        <v>7959</v>
      </c>
      <c r="B2229" s="2" t="s">
        <v>1276</v>
      </c>
    </row>
    <row r="2230" spans="1:2">
      <c r="A2230" s="2" t="s">
        <v>7960</v>
      </c>
      <c r="B2230" s="2" t="s">
        <v>1276</v>
      </c>
    </row>
    <row r="2231" spans="1:2">
      <c r="A2231" s="2" t="s">
        <v>7961</v>
      </c>
      <c r="B2231" s="2" t="s">
        <v>1276</v>
      </c>
    </row>
    <row r="2232" spans="1:2">
      <c r="A2232" s="2" t="s">
        <v>7962</v>
      </c>
      <c r="B2232" s="2" t="s">
        <v>1276</v>
      </c>
    </row>
    <row r="2233" spans="1:2">
      <c r="A2233" s="2" t="s">
        <v>7963</v>
      </c>
      <c r="B2233" s="2" t="s">
        <v>1276</v>
      </c>
    </row>
    <row r="2234" spans="1:2">
      <c r="A2234" s="2" t="s">
        <v>7964</v>
      </c>
      <c r="B2234" s="2" t="s">
        <v>1276</v>
      </c>
    </row>
    <row r="2235" spans="1:2">
      <c r="A2235" s="2" t="s">
        <v>7965</v>
      </c>
      <c r="B2235" s="2" t="s">
        <v>1276</v>
      </c>
    </row>
    <row r="2236" spans="1:2">
      <c r="A2236" s="2" t="s">
        <v>7966</v>
      </c>
      <c r="B2236" s="2" t="s">
        <v>1276</v>
      </c>
    </row>
    <row r="2237" spans="1:2">
      <c r="A2237" s="2" t="s">
        <v>4510</v>
      </c>
      <c r="B2237" s="2" t="s">
        <v>1276</v>
      </c>
    </row>
    <row r="2238" spans="1:2">
      <c r="A2238" s="2" t="s">
        <v>7967</v>
      </c>
      <c r="B2238" s="2" t="s">
        <v>1276</v>
      </c>
    </row>
    <row r="2239" spans="1:2">
      <c r="A2239" s="2" t="s">
        <v>4516</v>
      </c>
      <c r="B2239" s="2" t="s">
        <v>1276</v>
      </c>
    </row>
    <row r="2240" spans="1:2">
      <c r="A2240" s="2" t="s">
        <v>7968</v>
      </c>
      <c r="B2240" s="2" t="s">
        <v>1276</v>
      </c>
    </row>
    <row r="2241" spans="1:2">
      <c r="A2241" s="2" t="s">
        <v>4523</v>
      </c>
      <c r="B2241" s="2" t="s">
        <v>1276</v>
      </c>
    </row>
    <row r="2242" spans="1:2">
      <c r="A2242" s="2" t="s">
        <v>4527</v>
      </c>
      <c r="B2242" s="2" t="s">
        <v>1276</v>
      </c>
    </row>
    <row r="2243" spans="1:2">
      <c r="A2243" s="2" t="s">
        <v>4528</v>
      </c>
      <c r="B2243" s="2" t="s">
        <v>1276</v>
      </c>
    </row>
    <row r="2244" spans="1:2">
      <c r="A2244" s="2" t="s">
        <v>7969</v>
      </c>
      <c r="B2244" s="2" t="s">
        <v>1276</v>
      </c>
    </row>
    <row r="2245" spans="1:2">
      <c r="A2245" s="2" t="s">
        <v>7970</v>
      </c>
      <c r="B2245" s="2" t="s">
        <v>1276</v>
      </c>
    </row>
    <row r="2246" spans="1:2">
      <c r="A2246" s="2" t="s">
        <v>7971</v>
      </c>
      <c r="B2246" s="2" t="s">
        <v>1276</v>
      </c>
    </row>
    <row r="2247" spans="1:2">
      <c r="A2247" s="2" t="s">
        <v>7972</v>
      </c>
      <c r="B2247" s="2" t="s">
        <v>1276</v>
      </c>
    </row>
    <row r="2248" spans="1:2">
      <c r="A2248" s="2" t="s">
        <v>4556</v>
      </c>
      <c r="B2248" s="2" t="s">
        <v>1276</v>
      </c>
    </row>
    <row r="2249" spans="1:2">
      <c r="A2249" s="2" t="s">
        <v>7973</v>
      </c>
      <c r="B2249" s="2" t="s">
        <v>1276</v>
      </c>
    </row>
    <row r="2250" spans="1:2">
      <c r="A2250" s="2" t="s">
        <v>7974</v>
      </c>
      <c r="B2250" s="2" t="s">
        <v>1276</v>
      </c>
    </row>
    <row r="2251" spans="1:2">
      <c r="A2251" s="2" t="s">
        <v>7975</v>
      </c>
      <c r="B2251" s="2" t="s">
        <v>1276</v>
      </c>
    </row>
    <row r="2252" spans="1:2">
      <c r="A2252" s="2" t="s">
        <v>7976</v>
      </c>
      <c r="B2252" s="2" t="s">
        <v>1276</v>
      </c>
    </row>
    <row r="2253" spans="1:2">
      <c r="A2253" s="2" t="s">
        <v>7977</v>
      </c>
      <c r="B2253" s="2" t="s">
        <v>1276</v>
      </c>
    </row>
    <row r="2254" spans="1:2">
      <c r="A2254" s="2" t="s">
        <v>4564</v>
      </c>
      <c r="B2254" s="2" t="s">
        <v>1276</v>
      </c>
    </row>
    <row r="2255" spans="1:2">
      <c r="A2255" s="2" t="s">
        <v>7978</v>
      </c>
      <c r="B2255" s="2" t="s">
        <v>1276</v>
      </c>
    </row>
    <row r="2256" spans="1:2">
      <c r="A2256" s="2" t="s">
        <v>7979</v>
      </c>
      <c r="B2256" s="2" t="s">
        <v>1276</v>
      </c>
    </row>
    <row r="2257" spans="1:2">
      <c r="A2257" s="2" t="s">
        <v>7980</v>
      </c>
      <c r="B2257" s="2" t="s">
        <v>1276</v>
      </c>
    </row>
    <row r="2258" spans="1:2">
      <c r="A2258" s="2" t="s">
        <v>7981</v>
      </c>
      <c r="B2258" s="2" t="s">
        <v>1276</v>
      </c>
    </row>
    <row r="2259" spans="1:2">
      <c r="A2259" s="2" t="s">
        <v>7982</v>
      </c>
      <c r="B2259" s="2" t="s">
        <v>1276</v>
      </c>
    </row>
    <row r="2260" spans="1:2">
      <c r="A2260" s="2" t="s">
        <v>7983</v>
      </c>
      <c r="B2260" s="2" t="s">
        <v>1276</v>
      </c>
    </row>
    <row r="2261" spans="1:2">
      <c r="A2261" s="2" t="s">
        <v>7984</v>
      </c>
      <c r="B2261" s="2" t="s">
        <v>1276</v>
      </c>
    </row>
    <row r="2262" spans="1:2">
      <c r="A2262" s="2" t="s">
        <v>7985</v>
      </c>
      <c r="B2262" s="2" t="s">
        <v>1276</v>
      </c>
    </row>
    <row r="2263" spans="1:2">
      <c r="A2263" s="2" t="s">
        <v>7986</v>
      </c>
      <c r="B2263" s="2" t="s">
        <v>1276</v>
      </c>
    </row>
    <row r="2264" spans="1:2">
      <c r="A2264" s="2" t="s">
        <v>4594</v>
      </c>
      <c r="B2264" s="2" t="s">
        <v>1276</v>
      </c>
    </row>
    <row r="2265" spans="1:2">
      <c r="A2265" s="2" t="s">
        <v>7987</v>
      </c>
      <c r="B2265" s="2" t="s">
        <v>1276</v>
      </c>
    </row>
    <row r="2266" spans="1:2">
      <c r="A2266" s="2" t="s">
        <v>7988</v>
      </c>
      <c r="B2266" s="2" t="s">
        <v>1276</v>
      </c>
    </row>
    <row r="2267" spans="1:2">
      <c r="A2267" s="2" t="s">
        <v>7989</v>
      </c>
      <c r="B2267" s="2" t="s">
        <v>1276</v>
      </c>
    </row>
    <row r="2268" spans="1:2">
      <c r="A2268" s="2" t="s">
        <v>7990</v>
      </c>
      <c r="B2268" s="2" t="s">
        <v>1276</v>
      </c>
    </row>
    <row r="2269" spans="1:2">
      <c r="A2269" s="2" t="s">
        <v>7991</v>
      </c>
      <c r="B2269" s="2" t="s">
        <v>1276</v>
      </c>
    </row>
    <row r="2270" spans="1:2">
      <c r="A2270" s="2" t="s">
        <v>4646</v>
      </c>
      <c r="B2270" s="2" t="s">
        <v>1276</v>
      </c>
    </row>
    <row r="2271" spans="1:2">
      <c r="A2271" s="2" t="s">
        <v>7992</v>
      </c>
      <c r="B2271" s="2" t="s">
        <v>1276</v>
      </c>
    </row>
    <row r="2272" spans="1:2">
      <c r="A2272" s="2" t="s">
        <v>7993</v>
      </c>
      <c r="B2272" s="2" t="s">
        <v>1276</v>
      </c>
    </row>
    <row r="2273" spans="1:2">
      <c r="A2273" s="2" t="s">
        <v>7994</v>
      </c>
      <c r="B2273" s="2" t="s">
        <v>1276</v>
      </c>
    </row>
    <row r="2274" spans="1:2">
      <c r="A2274" s="2" t="s">
        <v>4653</v>
      </c>
      <c r="B2274" s="2" t="s">
        <v>1276</v>
      </c>
    </row>
    <row r="2275" spans="1:2">
      <c r="A2275" s="2" t="s">
        <v>4657</v>
      </c>
      <c r="B2275" s="2" t="s">
        <v>1276</v>
      </c>
    </row>
    <row r="2276" spans="1:2">
      <c r="A2276" s="2" t="s">
        <v>7995</v>
      </c>
      <c r="B2276" s="2" t="s">
        <v>1276</v>
      </c>
    </row>
    <row r="2277" spans="1:2">
      <c r="A2277" s="2" t="s">
        <v>5910</v>
      </c>
      <c r="B2277" s="2" t="s">
        <v>1276</v>
      </c>
    </row>
    <row r="2278" spans="1:2">
      <c r="A2278" s="2" t="s">
        <v>7996</v>
      </c>
      <c r="B2278" s="2" t="s">
        <v>1276</v>
      </c>
    </row>
    <row r="2279" spans="1:2">
      <c r="A2279" s="2" t="s">
        <v>7997</v>
      </c>
      <c r="B2279" s="2" t="s">
        <v>1276</v>
      </c>
    </row>
    <row r="2280" spans="1:2">
      <c r="A2280" s="2" t="s">
        <v>7998</v>
      </c>
      <c r="B2280" s="2" t="s">
        <v>1276</v>
      </c>
    </row>
    <row r="2281" spans="1:2">
      <c r="A2281" s="2" t="s">
        <v>7999</v>
      </c>
      <c r="B2281" s="2" t="s">
        <v>1276</v>
      </c>
    </row>
    <row r="2282" spans="1:2">
      <c r="A2282" s="2" t="s">
        <v>8000</v>
      </c>
      <c r="B2282" s="2" t="s">
        <v>1276</v>
      </c>
    </row>
    <row r="2283" spans="1:2">
      <c r="A2283" s="2" t="s">
        <v>8001</v>
      </c>
      <c r="B2283" s="2" t="s">
        <v>1276</v>
      </c>
    </row>
    <row r="2284" spans="1:2">
      <c r="A2284" s="2" t="s">
        <v>4703</v>
      </c>
      <c r="B2284" s="2" t="s">
        <v>1276</v>
      </c>
    </row>
    <row r="2285" spans="1:2">
      <c r="A2285" s="2" t="s">
        <v>4711</v>
      </c>
      <c r="B2285" s="2" t="s">
        <v>1276</v>
      </c>
    </row>
    <row r="2286" spans="1:2">
      <c r="A2286" s="2" t="s">
        <v>8002</v>
      </c>
      <c r="B2286" s="2" t="s">
        <v>1276</v>
      </c>
    </row>
    <row r="2287" spans="1:2">
      <c r="A2287" s="2" t="s">
        <v>8003</v>
      </c>
      <c r="B2287" s="2" t="s">
        <v>1276</v>
      </c>
    </row>
    <row r="2288" spans="1:2">
      <c r="A2288" s="2" t="s">
        <v>8004</v>
      </c>
      <c r="B2288" s="2" t="s">
        <v>1276</v>
      </c>
    </row>
    <row r="2289" spans="1:2">
      <c r="A2289" s="2" t="s">
        <v>4755</v>
      </c>
      <c r="B2289" s="2" t="s">
        <v>1276</v>
      </c>
    </row>
    <row r="2290" spans="1:2">
      <c r="A2290" s="2" t="s">
        <v>8005</v>
      </c>
      <c r="B2290" s="2" t="s">
        <v>1276</v>
      </c>
    </row>
    <row r="2291" spans="1:2">
      <c r="A2291" s="2" t="s">
        <v>8006</v>
      </c>
      <c r="B2291" s="2" t="s">
        <v>1276</v>
      </c>
    </row>
    <row r="2292" spans="1:2">
      <c r="A2292" s="2" t="s">
        <v>4785</v>
      </c>
      <c r="B2292" s="2" t="s">
        <v>1276</v>
      </c>
    </row>
    <row r="2293" spans="1:2">
      <c r="A2293" s="2" t="s">
        <v>8007</v>
      </c>
      <c r="B2293" s="2" t="s">
        <v>1276</v>
      </c>
    </row>
    <row r="2294" spans="1:2">
      <c r="A2294" s="2" t="s">
        <v>8008</v>
      </c>
      <c r="B2294" s="2" t="s">
        <v>1276</v>
      </c>
    </row>
    <row r="2295" spans="1:2">
      <c r="A2295" s="2" t="s">
        <v>8009</v>
      </c>
      <c r="B2295" s="2" t="s">
        <v>1276</v>
      </c>
    </row>
    <row r="2296" spans="1:2">
      <c r="A2296" s="2" t="s">
        <v>8010</v>
      </c>
      <c r="B2296" s="2" t="s">
        <v>1276</v>
      </c>
    </row>
    <row r="2297" spans="1:2">
      <c r="A2297" s="2" t="s">
        <v>8011</v>
      </c>
      <c r="B2297" s="2" t="s">
        <v>1276</v>
      </c>
    </row>
    <row r="2298" spans="1:2">
      <c r="A2298" s="2" t="s">
        <v>8012</v>
      </c>
      <c r="B2298" s="2" t="s">
        <v>1276</v>
      </c>
    </row>
    <row r="2299" spans="1:2">
      <c r="A2299" s="2" t="s">
        <v>8013</v>
      </c>
      <c r="B2299" s="2" t="s">
        <v>1276</v>
      </c>
    </row>
    <row r="2300" spans="1:2">
      <c r="A2300" s="2" t="s">
        <v>8014</v>
      </c>
      <c r="B2300" s="2" t="s">
        <v>1276</v>
      </c>
    </row>
    <row r="2301" spans="1:2">
      <c r="A2301" s="2" t="s">
        <v>8015</v>
      </c>
      <c r="B2301" s="2" t="s">
        <v>1276</v>
      </c>
    </row>
    <row r="2302" spans="1:2">
      <c r="A2302" s="2" t="s">
        <v>8016</v>
      </c>
      <c r="B2302" s="2" t="s">
        <v>1276</v>
      </c>
    </row>
    <row r="2303" spans="1:2">
      <c r="A2303" s="2" t="s">
        <v>4865</v>
      </c>
      <c r="B2303" s="2" t="s">
        <v>1276</v>
      </c>
    </row>
    <row r="2304" spans="1:2">
      <c r="A2304" s="2" t="s">
        <v>8017</v>
      </c>
      <c r="B2304" s="2" t="s">
        <v>1276</v>
      </c>
    </row>
    <row r="2305" spans="1:2">
      <c r="A2305" s="2" t="s">
        <v>8018</v>
      </c>
      <c r="B2305" s="2" t="s">
        <v>1276</v>
      </c>
    </row>
    <row r="2306" spans="1:2">
      <c r="A2306" s="2" t="s">
        <v>8019</v>
      </c>
      <c r="B2306" s="2" t="s">
        <v>1276</v>
      </c>
    </row>
    <row r="2307" spans="1:2">
      <c r="A2307" s="2" t="s">
        <v>8020</v>
      </c>
      <c r="B2307" s="2" t="s">
        <v>1276</v>
      </c>
    </row>
    <row r="2308" spans="1:2">
      <c r="A2308" s="2" t="s">
        <v>8021</v>
      </c>
      <c r="B2308" s="2" t="s">
        <v>1276</v>
      </c>
    </row>
    <row r="2309" spans="1:2">
      <c r="A2309" s="2" t="s">
        <v>8022</v>
      </c>
      <c r="B2309" s="2" t="s">
        <v>1276</v>
      </c>
    </row>
    <row r="2310" spans="1:2">
      <c r="A2310" s="2" t="s">
        <v>8023</v>
      </c>
      <c r="B2310" s="2" t="s">
        <v>1276</v>
      </c>
    </row>
    <row r="2311" spans="1:2">
      <c r="A2311" s="2" t="s">
        <v>4946</v>
      </c>
      <c r="B2311" s="2" t="s">
        <v>1276</v>
      </c>
    </row>
    <row r="2312" spans="1:2">
      <c r="A2312" s="2" t="s">
        <v>8024</v>
      </c>
      <c r="B2312" s="2" t="s">
        <v>1276</v>
      </c>
    </row>
    <row r="2313" spans="1:2">
      <c r="A2313" s="2" t="s">
        <v>6200</v>
      </c>
      <c r="B2313" s="2" t="s">
        <v>1276</v>
      </c>
    </row>
    <row r="2314" spans="1:2">
      <c r="A2314" s="2" t="s">
        <v>8025</v>
      </c>
      <c r="B2314" s="2" t="s">
        <v>1276</v>
      </c>
    </row>
    <row r="2315" spans="1:2">
      <c r="A2315" s="2" t="s">
        <v>8026</v>
      </c>
      <c r="B2315" s="2" t="s">
        <v>1276</v>
      </c>
    </row>
    <row r="2316" spans="1:2">
      <c r="A2316" s="2" t="s">
        <v>8027</v>
      </c>
      <c r="B2316" s="2" t="s">
        <v>1276</v>
      </c>
    </row>
    <row r="2317" spans="1:2">
      <c r="A2317" s="2" t="s">
        <v>8028</v>
      </c>
      <c r="B2317" s="2" t="s">
        <v>1276</v>
      </c>
    </row>
    <row r="2318" spans="1:2">
      <c r="A2318" s="2" t="s">
        <v>8029</v>
      </c>
      <c r="B2318" s="2" t="s">
        <v>1276</v>
      </c>
    </row>
    <row r="2319" spans="1:2">
      <c r="A2319" s="2" t="s">
        <v>4982</v>
      </c>
      <c r="B2319" s="2" t="s">
        <v>1276</v>
      </c>
    </row>
    <row r="2320" spans="1:2">
      <c r="A2320" s="2" t="s">
        <v>4170</v>
      </c>
      <c r="B2320" s="2" t="s">
        <v>1276</v>
      </c>
    </row>
    <row r="2321" spans="1:2">
      <c r="A2321" s="2" t="s">
        <v>8030</v>
      </c>
      <c r="B2321" s="2" t="s">
        <v>1276</v>
      </c>
    </row>
    <row r="2322" spans="1:2">
      <c r="A2322" s="2" t="s">
        <v>4174</v>
      </c>
      <c r="B2322" s="2" t="s">
        <v>1276</v>
      </c>
    </row>
    <row r="2323" spans="1:2">
      <c r="A2323" s="2" t="s">
        <v>8031</v>
      </c>
      <c r="B2323" s="2" t="s">
        <v>1276</v>
      </c>
    </row>
    <row r="2324" spans="1:2">
      <c r="A2324" s="2" t="s">
        <v>6291</v>
      </c>
      <c r="B2324" s="2" t="s">
        <v>1276</v>
      </c>
    </row>
    <row r="2325" spans="1:2">
      <c r="A2325" s="2" t="s">
        <v>8032</v>
      </c>
      <c r="B2325" s="2" t="s">
        <v>1276</v>
      </c>
    </row>
    <row r="2326" spans="1:2">
      <c r="A2326" s="2" t="s">
        <v>8033</v>
      </c>
      <c r="B2326" s="2" t="s">
        <v>1276</v>
      </c>
    </row>
    <row r="2327" spans="1:2">
      <c r="A2327" s="2" t="s">
        <v>8034</v>
      </c>
      <c r="B2327" s="2" t="s">
        <v>1276</v>
      </c>
    </row>
    <row r="2328" spans="1:2">
      <c r="A2328" s="2" t="s">
        <v>8035</v>
      </c>
      <c r="B2328" s="2" t="s">
        <v>1276</v>
      </c>
    </row>
    <row r="2329" spans="1:2">
      <c r="A2329" s="2" t="s">
        <v>8036</v>
      </c>
      <c r="B2329" s="2" t="s">
        <v>1276</v>
      </c>
    </row>
    <row r="2330" spans="1:2">
      <c r="A2330" s="2" t="s">
        <v>8037</v>
      </c>
      <c r="B2330" s="2" t="s">
        <v>1276</v>
      </c>
    </row>
    <row r="2331" spans="1:2">
      <c r="A2331" s="2" t="s">
        <v>8038</v>
      </c>
      <c r="B2331" s="2" t="s">
        <v>1276</v>
      </c>
    </row>
    <row r="2332" spans="1:2">
      <c r="A2332" s="2" t="s">
        <v>600</v>
      </c>
      <c r="B2332" s="2" t="s">
        <v>1276</v>
      </c>
    </row>
    <row r="2333" spans="1:2">
      <c r="A2333" s="2" t="s">
        <v>8039</v>
      </c>
      <c r="B2333" s="2" t="s">
        <v>1276</v>
      </c>
    </row>
    <row r="2334" spans="1:2">
      <c r="A2334" s="2" t="s">
        <v>8040</v>
      </c>
      <c r="B2334" s="2" t="s">
        <v>1276</v>
      </c>
    </row>
    <row r="2335" spans="1:2">
      <c r="A2335" s="2" t="s">
        <v>8041</v>
      </c>
      <c r="B2335" s="2" t="s">
        <v>1276</v>
      </c>
    </row>
    <row r="2336" spans="1:2">
      <c r="A2336" s="2" t="s">
        <v>8042</v>
      </c>
      <c r="B2336" s="2" t="s">
        <v>1276</v>
      </c>
    </row>
    <row r="2337" spans="1:2">
      <c r="A2337" s="2" t="s">
        <v>6552</v>
      </c>
      <c r="B2337" s="2" t="s">
        <v>1276</v>
      </c>
    </row>
    <row r="2338" spans="1:2">
      <c r="A2338" s="2" t="s">
        <v>6555</v>
      </c>
      <c r="B2338" s="2" t="s">
        <v>1276</v>
      </c>
    </row>
    <row r="2339" spans="1:2">
      <c r="A2339" s="2" t="s">
        <v>6559</v>
      </c>
      <c r="B2339" s="2" t="s">
        <v>1276</v>
      </c>
    </row>
    <row r="2340" spans="1:2">
      <c r="A2340" s="2" t="s">
        <v>8043</v>
      </c>
      <c r="B2340" s="2" t="s">
        <v>1276</v>
      </c>
    </row>
    <row r="2341" spans="1:2">
      <c r="A2341" s="2" t="s">
        <v>5547</v>
      </c>
      <c r="B2341" s="2" t="s">
        <v>1276</v>
      </c>
    </row>
    <row r="2342" spans="1:2">
      <c r="A2342" s="2" t="s">
        <v>4518</v>
      </c>
      <c r="B2342" s="2" t="s">
        <v>1276</v>
      </c>
    </row>
    <row r="2343" spans="1:2">
      <c r="A2343" s="2" t="s">
        <v>8044</v>
      </c>
      <c r="B2343" s="2" t="s">
        <v>1276</v>
      </c>
    </row>
    <row r="2344" spans="1:2">
      <c r="A2344" s="2" t="s">
        <v>8045</v>
      </c>
      <c r="B2344" s="2" t="s">
        <v>1276</v>
      </c>
    </row>
    <row r="2345" spans="1:2">
      <c r="A2345" s="2" t="s">
        <v>8046</v>
      </c>
      <c r="B2345" s="2" t="s">
        <v>1276</v>
      </c>
    </row>
    <row r="2346" spans="1:2">
      <c r="A2346" s="2" t="s">
        <v>8047</v>
      </c>
      <c r="B2346" s="2" t="s">
        <v>1276</v>
      </c>
    </row>
    <row r="2347" spans="1:2">
      <c r="A2347" s="2" t="s">
        <v>8048</v>
      </c>
      <c r="B2347" s="2" t="s">
        <v>1276</v>
      </c>
    </row>
    <row r="2348" spans="1:2">
      <c r="A2348" s="2" t="s">
        <v>4583</v>
      </c>
      <c r="B2348" s="2" t="s">
        <v>1276</v>
      </c>
    </row>
    <row r="2349" spans="1:2">
      <c r="A2349" s="2" t="s">
        <v>8049</v>
      </c>
      <c r="B2349" s="2" t="s">
        <v>1276</v>
      </c>
    </row>
    <row r="2350" spans="1:2">
      <c r="A2350" s="2" t="s">
        <v>4593</v>
      </c>
      <c r="B2350" s="2" t="s">
        <v>1276</v>
      </c>
    </row>
    <row r="2351" spans="1:2">
      <c r="A2351" s="2" t="s">
        <v>8050</v>
      </c>
      <c r="B2351" s="2" t="s">
        <v>1276</v>
      </c>
    </row>
    <row r="2352" spans="1:2">
      <c r="A2352" s="2" t="s">
        <v>8051</v>
      </c>
      <c r="B2352" s="2" t="s">
        <v>1276</v>
      </c>
    </row>
    <row r="2353" spans="1:2">
      <c r="A2353" s="2" t="s">
        <v>8052</v>
      </c>
      <c r="B2353" s="2" t="s">
        <v>1276</v>
      </c>
    </row>
    <row r="2354" spans="1:2">
      <c r="A2354" s="2" t="s">
        <v>8053</v>
      </c>
      <c r="B2354" s="2" t="s">
        <v>1276</v>
      </c>
    </row>
    <row r="2355" spans="1:2">
      <c r="A2355" s="2" t="s">
        <v>8054</v>
      </c>
      <c r="B2355" s="2" t="s">
        <v>1276</v>
      </c>
    </row>
    <row r="2356" spans="1:2">
      <c r="A2356" s="2" t="s">
        <v>8055</v>
      </c>
      <c r="B2356" s="2" t="s">
        <v>1276</v>
      </c>
    </row>
    <row r="2357" spans="1:2">
      <c r="A2357" s="2" t="s">
        <v>8056</v>
      </c>
      <c r="B2357" s="2" t="s">
        <v>1276</v>
      </c>
    </row>
    <row r="2358" spans="1:2">
      <c r="A2358" s="2" t="s">
        <v>6887</v>
      </c>
      <c r="B2358" s="2" t="s">
        <v>1276</v>
      </c>
    </row>
    <row r="2359" spans="1:2">
      <c r="A2359" s="2" t="s">
        <v>8057</v>
      </c>
      <c r="B2359" s="2" t="s">
        <v>1276</v>
      </c>
    </row>
    <row r="2360" spans="1:2">
      <c r="A2360" s="2" t="s">
        <v>4701</v>
      </c>
      <c r="B2360" s="2" t="s">
        <v>1276</v>
      </c>
    </row>
    <row r="2361" spans="1:2">
      <c r="A2361" s="2" t="s">
        <v>8058</v>
      </c>
      <c r="B2361" s="2" t="s">
        <v>1276</v>
      </c>
    </row>
    <row r="2362" spans="1:2">
      <c r="A2362" s="2" t="s">
        <v>4709</v>
      </c>
      <c r="B2362" s="2" t="s">
        <v>1276</v>
      </c>
    </row>
    <row r="2363" spans="1:2">
      <c r="A2363" s="2" t="s">
        <v>4712</v>
      </c>
      <c r="B2363" s="2" t="s">
        <v>1276</v>
      </c>
    </row>
    <row r="2364" spans="1:2">
      <c r="A2364" s="2" t="s">
        <v>8059</v>
      </c>
      <c r="B2364" s="2" t="s">
        <v>1276</v>
      </c>
    </row>
    <row r="2365" spans="1:2">
      <c r="A2365" s="2" t="s">
        <v>8060</v>
      </c>
      <c r="B2365" s="2" t="s">
        <v>1276</v>
      </c>
    </row>
    <row r="2366" spans="1:2">
      <c r="A2366" s="2" t="s">
        <v>4724</v>
      </c>
      <c r="B2366" s="2" t="s">
        <v>1276</v>
      </c>
    </row>
    <row r="2367" spans="1:2">
      <c r="A2367" s="2" t="s">
        <v>4726</v>
      </c>
      <c r="B2367" s="2" t="s">
        <v>1276</v>
      </c>
    </row>
    <row r="2368" spans="1:2">
      <c r="A2368" s="2" t="s">
        <v>4738</v>
      </c>
      <c r="B2368" s="2" t="s">
        <v>1276</v>
      </c>
    </row>
    <row r="2369" spans="1:2">
      <c r="A2369" s="2" t="s">
        <v>4739</v>
      </c>
      <c r="B2369" s="2" t="s">
        <v>1276</v>
      </c>
    </row>
    <row r="2370" spans="1:2">
      <c r="A2370" s="2" t="s">
        <v>4740</v>
      </c>
      <c r="B2370" s="2" t="s">
        <v>1276</v>
      </c>
    </row>
    <row r="2371" spans="1:2">
      <c r="A2371" s="2" t="s">
        <v>4741</v>
      </c>
      <c r="B2371" s="2" t="s">
        <v>1276</v>
      </c>
    </row>
    <row r="2372" spans="1:2">
      <c r="A2372" s="2" t="s">
        <v>4742</v>
      </c>
      <c r="B2372" s="2" t="s">
        <v>1276</v>
      </c>
    </row>
    <row r="2373" spans="1:2">
      <c r="A2373" s="2" t="s">
        <v>4743</v>
      </c>
      <c r="B2373" s="2" t="s">
        <v>1276</v>
      </c>
    </row>
    <row r="2374" spans="1:2">
      <c r="A2374" s="2" t="s">
        <v>4744</v>
      </c>
      <c r="B2374" s="2" t="s">
        <v>1276</v>
      </c>
    </row>
    <row r="2375" spans="1:2">
      <c r="A2375" s="2" t="s">
        <v>4745</v>
      </c>
      <c r="B2375" s="2" t="s">
        <v>1276</v>
      </c>
    </row>
    <row r="2376" spans="1:2">
      <c r="A2376" s="2" t="s">
        <v>4746</v>
      </c>
      <c r="B2376" s="2" t="s">
        <v>1276</v>
      </c>
    </row>
    <row r="2377" spans="1:2">
      <c r="A2377" s="2" t="s">
        <v>4747</v>
      </c>
      <c r="B2377" s="2" t="s">
        <v>1276</v>
      </c>
    </row>
    <row r="2378" spans="1:2">
      <c r="A2378" s="2" t="s">
        <v>4748</v>
      </c>
      <c r="B2378" s="2" t="s">
        <v>1276</v>
      </c>
    </row>
    <row r="2379" spans="1:2">
      <c r="A2379" s="2" t="s">
        <v>4749</v>
      </c>
      <c r="B2379" s="2" t="s">
        <v>1276</v>
      </c>
    </row>
    <row r="2380" spans="1:2">
      <c r="A2380" s="2" t="s">
        <v>4750</v>
      </c>
      <c r="B2380" s="2" t="s">
        <v>1276</v>
      </c>
    </row>
    <row r="2381" spans="1:2">
      <c r="A2381" s="2" t="s">
        <v>4761</v>
      </c>
      <c r="B2381" s="2" t="s">
        <v>1276</v>
      </c>
    </row>
    <row r="2382" spans="1:2">
      <c r="A2382" s="2" t="s">
        <v>4762</v>
      </c>
      <c r="B2382" s="2" t="s">
        <v>1276</v>
      </c>
    </row>
    <row r="2383" spans="1:2">
      <c r="A2383" s="2" t="s">
        <v>4773</v>
      </c>
      <c r="B2383" s="2" t="s">
        <v>1276</v>
      </c>
    </row>
    <row r="2384" spans="1:2">
      <c r="A2384" s="2" t="s">
        <v>4774</v>
      </c>
      <c r="B2384" s="2" t="s">
        <v>1276</v>
      </c>
    </row>
    <row r="2385" spans="1:2">
      <c r="A2385" s="2" t="s">
        <v>4788</v>
      </c>
      <c r="B2385" s="2" t="s">
        <v>1276</v>
      </c>
    </row>
    <row r="2386" spans="1:2">
      <c r="A2386" s="2" t="s">
        <v>8061</v>
      </c>
      <c r="B2386" s="2" t="s">
        <v>1276</v>
      </c>
    </row>
    <row r="2387" spans="1:2">
      <c r="A2387" s="2" t="s">
        <v>8062</v>
      </c>
      <c r="B2387" s="2" t="s">
        <v>1276</v>
      </c>
    </row>
    <row r="2388" spans="1:2">
      <c r="A2388" s="2" t="s">
        <v>4868</v>
      </c>
      <c r="B2388" s="2" t="s">
        <v>1276</v>
      </c>
    </row>
    <row r="2389" spans="1:2">
      <c r="A2389" s="2" t="s">
        <v>8063</v>
      </c>
      <c r="B2389" s="2" t="s">
        <v>1276</v>
      </c>
    </row>
    <row r="2390" spans="1:2">
      <c r="A2390" s="2" t="s">
        <v>8064</v>
      </c>
      <c r="B2390" s="2" t="s">
        <v>1276</v>
      </c>
    </row>
    <row r="2391" spans="1:2">
      <c r="A2391" s="2" t="s">
        <v>4939</v>
      </c>
      <c r="B2391" s="2" t="s">
        <v>1276</v>
      </c>
    </row>
    <row r="2392" spans="1:2">
      <c r="A2392" s="2" t="s">
        <v>4941</v>
      </c>
      <c r="B2392" s="2" t="s">
        <v>1276</v>
      </c>
    </row>
    <row r="2393" spans="1:2">
      <c r="A2393" s="2" t="s">
        <v>8065</v>
      </c>
      <c r="B2393" s="2" t="s">
        <v>1276</v>
      </c>
    </row>
    <row r="2394" spans="1:2">
      <c r="A2394" s="2" t="s">
        <v>8066</v>
      </c>
      <c r="B2394" s="2" t="s">
        <v>1276</v>
      </c>
    </row>
    <row r="2395" spans="1:2">
      <c r="A2395" s="2" t="s">
        <v>8067</v>
      </c>
      <c r="B2395" s="2" t="s">
        <v>1276</v>
      </c>
    </row>
    <row r="2396" spans="1:2">
      <c r="A2396" s="2" t="s">
        <v>4965</v>
      </c>
      <c r="B2396" s="2" t="s">
        <v>1276</v>
      </c>
    </row>
    <row r="2397" spans="1:2">
      <c r="A2397" s="2" t="s">
        <v>4971</v>
      </c>
      <c r="B2397" s="2" t="s">
        <v>1276</v>
      </c>
    </row>
    <row r="2398" spans="1:2">
      <c r="A2398" s="2" t="s">
        <v>8068</v>
      </c>
      <c r="B2398" s="2" t="s">
        <v>1276</v>
      </c>
    </row>
    <row r="2399" spans="1:2">
      <c r="A2399" s="2" t="s">
        <v>8069</v>
      </c>
      <c r="B2399" s="2" t="s">
        <v>1276</v>
      </c>
    </row>
    <row r="2400" spans="1:2">
      <c r="A2400" s="2" t="s">
        <v>8070</v>
      </c>
      <c r="B2400" s="2" t="s">
        <v>1276</v>
      </c>
    </row>
    <row r="2401" spans="1:2">
      <c r="A2401" s="2" t="s">
        <v>8071</v>
      </c>
      <c r="B2401" s="2" t="s">
        <v>1276</v>
      </c>
    </row>
    <row r="2402" spans="1:2">
      <c r="A2402" s="2" t="s">
        <v>8072</v>
      </c>
      <c r="B2402" s="2" t="s">
        <v>1276</v>
      </c>
    </row>
    <row r="2403" spans="1:2">
      <c r="A2403" s="2" t="s">
        <v>8073</v>
      </c>
      <c r="B2403" s="2" t="s">
        <v>1276</v>
      </c>
    </row>
    <row r="2404" spans="1:2">
      <c r="A2404" s="2" t="s">
        <v>8074</v>
      </c>
      <c r="B2404" s="2" t="s">
        <v>1276</v>
      </c>
    </row>
    <row r="2405" spans="1:2">
      <c r="A2405" s="2" t="s">
        <v>8075</v>
      </c>
      <c r="B2405" s="2" t="s">
        <v>1276</v>
      </c>
    </row>
    <row r="2406" spans="1:2">
      <c r="A2406" s="2" t="s">
        <v>8076</v>
      </c>
      <c r="B2406" s="2" t="s">
        <v>1276</v>
      </c>
    </row>
    <row r="2407" spans="1:2">
      <c r="A2407" s="2" t="s">
        <v>8077</v>
      </c>
      <c r="B2407" s="2" t="s">
        <v>1276</v>
      </c>
    </row>
    <row r="2408" spans="1:2">
      <c r="A2408" s="2" t="s">
        <v>8078</v>
      </c>
      <c r="B2408" s="2" t="s">
        <v>1276</v>
      </c>
    </row>
    <row r="2409" spans="1:2">
      <c r="A2409" s="2" t="s">
        <v>8079</v>
      </c>
      <c r="B2409" s="2" t="s">
        <v>1276</v>
      </c>
    </row>
    <row r="2410" spans="1:2">
      <c r="A2410" s="2" t="s">
        <v>8080</v>
      </c>
      <c r="B2410" s="2" t="s">
        <v>1276</v>
      </c>
    </row>
    <row r="2411" spans="1:2">
      <c r="A2411" s="2" t="s">
        <v>8081</v>
      </c>
      <c r="B2411" s="2" t="s">
        <v>1276</v>
      </c>
    </row>
    <row r="2412" spans="1:2">
      <c r="A2412" s="2" t="s">
        <v>8082</v>
      </c>
      <c r="B2412" s="2" t="s">
        <v>1276</v>
      </c>
    </row>
    <row r="2413" spans="1:2">
      <c r="A2413" s="2" t="s">
        <v>8083</v>
      </c>
      <c r="B2413" s="2" t="s">
        <v>1276</v>
      </c>
    </row>
    <row r="2414" spans="1:2">
      <c r="A2414" s="2" t="s">
        <v>8084</v>
      </c>
      <c r="B2414" s="2" t="s">
        <v>1276</v>
      </c>
    </row>
    <row r="2415" spans="1:2">
      <c r="A2415" s="2" t="s">
        <v>8085</v>
      </c>
      <c r="B2415" s="2" t="s">
        <v>1276</v>
      </c>
    </row>
    <row r="2416" spans="1:2">
      <c r="A2416" s="2" t="s">
        <v>4790</v>
      </c>
      <c r="B2416" s="2" t="s">
        <v>1276</v>
      </c>
    </row>
    <row r="2417" spans="1:2">
      <c r="A2417" s="2" t="s">
        <v>8086</v>
      </c>
      <c r="B2417" s="2" t="s">
        <v>1276</v>
      </c>
    </row>
    <row r="2418" spans="1:2">
      <c r="A2418" s="2" t="s">
        <v>8087</v>
      </c>
      <c r="B2418" s="2" t="s">
        <v>1276</v>
      </c>
    </row>
    <row r="2419" spans="1:2">
      <c r="A2419" s="2" t="s">
        <v>8088</v>
      </c>
      <c r="B2419" s="2" t="s">
        <v>1276</v>
      </c>
    </row>
    <row r="2420" spans="1:2">
      <c r="A2420" s="2" t="s">
        <v>8089</v>
      </c>
      <c r="B2420" s="2" t="s">
        <v>1276</v>
      </c>
    </row>
    <row r="2421" spans="1:2">
      <c r="A2421" s="2" t="s">
        <v>8090</v>
      </c>
      <c r="B2421" s="2" t="s">
        <v>1276</v>
      </c>
    </row>
    <row r="2422" spans="1:2">
      <c r="A2422" s="2" t="s">
        <v>8091</v>
      </c>
      <c r="B2422" s="2" t="s">
        <v>1276</v>
      </c>
    </row>
    <row r="2423" spans="1:2">
      <c r="A2423" s="2" t="s">
        <v>8092</v>
      </c>
      <c r="B2423" s="2" t="s">
        <v>1276</v>
      </c>
    </row>
    <row r="2424" spans="1:2">
      <c r="A2424" s="2" t="s">
        <v>8093</v>
      </c>
      <c r="B2424" s="2" t="s">
        <v>1276</v>
      </c>
    </row>
    <row r="2425" spans="1:2">
      <c r="A2425" s="2" t="s">
        <v>8094</v>
      </c>
      <c r="B2425" s="2" t="s">
        <v>1276</v>
      </c>
    </row>
    <row r="2426" spans="1:2">
      <c r="A2426" s="2" t="s">
        <v>8095</v>
      </c>
      <c r="B2426" s="2" t="s">
        <v>1276</v>
      </c>
    </row>
    <row r="2427" spans="1:2">
      <c r="A2427" s="2" t="s">
        <v>8096</v>
      </c>
      <c r="B2427" s="2" t="s">
        <v>1276</v>
      </c>
    </row>
    <row r="2428" spans="1:2">
      <c r="A2428" s="2" t="s">
        <v>8097</v>
      </c>
      <c r="B2428" s="2" t="s">
        <v>1276</v>
      </c>
    </row>
    <row r="2429" spans="1:2">
      <c r="A2429" s="2" t="s">
        <v>8098</v>
      </c>
      <c r="B2429" s="2" t="s">
        <v>1276</v>
      </c>
    </row>
    <row r="2430" spans="1:2">
      <c r="A2430" s="2" t="s">
        <v>8099</v>
      </c>
      <c r="B2430" s="2" t="s">
        <v>1276</v>
      </c>
    </row>
    <row r="2431" spans="1:2">
      <c r="A2431" s="2" t="s">
        <v>8100</v>
      </c>
      <c r="B2431" s="2" t="s">
        <v>1276</v>
      </c>
    </row>
    <row r="2432" spans="1:2">
      <c r="A2432" s="2" t="s">
        <v>4484</v>
      </c>
      <c r="B2432" s="2" t="s">
        <v>1276</v>
      </c>
    </row>
    <row r="2433" spans="1:2">
      <c r="A2433" s="2" t="s">
        <v>8101</v>
      </c>
      <c r="B2433" s="2" t="s">
        <v>1276</v>
      </c>
    </row>
    <row r="2434" spans="1:2">
      <c r="A2434" s="2" t="s">
        <v>8102</v>
      </c>
      <c r="B2434" s="2" t="s">
        <v>1276</v>
      </c>
    </row>
    <row r="2435" spans="1:2">
      <c r="A2435" s="2" t="s">
        <v>8103</v>
      </c>
      <c r="B2435" s="2" t="s">
        <v>1276</v>
      </c>
    </row>
    <row r="2436" spans="1:2">
      <c r="A2436" s="2" t="s">
        <v>4521</v>
      </c>
      <c r="B2436" s="2" t="s">
        <v>1276</v>
      </c>
    </row>
    <row r="2437" spans="1:2">
      <c r="A2437" s="2" t="s">
        <v>8104</v>
      </c>
      <c r="B2437" s="2" t="s">
        <v>1276</v>
      </c>
    </row>
    <row r="2438" spans="1:2">
      <c r="A2438" s="2" t="s">
        <v>8105</v>
      </c>
      <c r="B2438" s="2" t="s">
        <v>1276</v>
      </c>
    </row>
    <row r="2439" spans="1:2">
      <c r="A2439" s="2" t="s">
        <v>4567</v>
      </c>
      <c r="B2439" s="2" t="s">
        <v>1276</v>
      </c>
    </row>
    <row r="2440" spans="1:2">
      <c r="A2440" s="2" t="s">
        <v>8106</v>
      </c>
      <c r="B2440" s="2" t="s">
        <v>1276</v>
      </c>
    </row>
    <row r="2441" spans="1:2">
      <c r="A2441" s="2" t="s">
        <v>8107</v>
      </c>
      <c r="B2441" s="2" t="s">
        <v>1276</v>
      </c>
    </row>
    <row r="2442" spans="1:2">
      <c r="A2442" s="2" t="s">
        <v>8108</v>
      </c>
      <c r="B2442" s="2" t="s">
        <v>1276</v>
      </c>
    </row>
    <row r="2443" spans="1:2">
      <c r="A2443" s="2" t="s">
        <v>8109</v>
      </c>
      <c r="B2443" s="2" t="s">
        <v>1276</v>
      </c>
    </row>
    <row r="2444" spans="1:2">
      <c r="A2444" s="2" t="s">
        <v>8110</v>
      </c>
      <c r="B2444" s="2" t="s">
        <v>1276</v>
      </c>
    </row>
    <row r="2445" spans="1:2">
      <c r="A2445" s="2" t="s">
        <v>8111</v>
      </c>
      <c r="B2445" s="2" t="s">
        <v>1276</v>
      </c>
    </row>
    <row r="2446" spans="1:2">
      <c r="A2446" s="2" t="s">
        <v>8112</v>
      </c>
      <c r="B2446" s="2" t="s">
        <v>1276</v>
      </c>
    </row>
    <row r="2447" spans="1:2">
      <c r="A2447" s="2" t="s">
        <v>4706</v>
      </c>
      <c r="B2447" s="2" t="s">
        <v>1276</v>
      </c>
    </row>
    <row r="2448" spans="1:2">
      <c r="A2448" s="2" t="s">
        <v>8113</v>
      </c>
      <c r="B2448" s="2" t="s">
        <v>1276</v>
      </c>
    </row>
    <row r="2449" spans="1:2">
      <c r="A2449" s="2" t="s">
        <v>4792</v>
      </c>
      <c r="B2449" s="2" t="s">
        <v>1276</v>
      </c>
    </row>
    <row r="2450" spans="1:2">
      <c r="A2450" s="2" t="s">
        <v>8114</v>
      </c>
      <c r="B2450" s="2" t="s">
        <v>1276</v>
      </c>
    </row>
    <row r="2451" spans="1:2">
      <c r="A2451" s="2" t="s">
        <v>8115</v>
      </c>
      <c r="B2451" s="2" t="s">
        <v>1276</v>
      </c>
    </row>
    <row r="2452" spans="1:2">
      <c r="A2452" s="2" t="s">
        <v>8116</v>
      </c>
      <c r="B2452" s="2" t="s">
        <v>1276</v>
      </c>
    </row>
    <row r="2453" spans="1:2">
      <c r="A2453" s="2" t="s">
        <v>8117</v>
      </c>
      <c r="B2453" s="2" t="s">
        <v>1276</v>
      </c>
    </row>
    <row r="2454" spans="1:2">
      <c r="A2454" s="2" t="s">
        <v>8118</v>
      </c>
      <c r="B2454" s="2" t="s">
        <v>1276</v>
      </c>
    </row>
    <row r="2455" spans="1:2">
      <c r="A2455" s="2" t="s">
        <v>8119</v>
      </c>
      <c r="B2455" s="2" t="s">
        <v>1276</v>
      </c>
    </row>
    <row r="2456" spans="1:2">
      <c r="A2456" s="2" t="s">
        <v>8120</v>
      </c>
      <c r="B2456" s="2" t="s">
        <v>1276</v>
      </c>
    </row>
    <row r="2457" spans="1:2">
      <c r="A2457" s="2" t="s">
        <v>8121</v>
      </c>
      <c r="B2457" s="2" t="s">
        <v>1276</v>
      </c>
    </row>
    <row r="2458" spans="1:2">
      <c r="A2458" s="2" t="s">
        <v>8122</v>
      </c>
      <c r="B2458" s="2" t="s">
        <v>1276</v>
      </c>
    </row>
    <row r="2459" spans="1:2">
      <c r="A2459" s="2" t="s">
        <v>8123</v>
      </c>
      <c r="B2459" s="2" t="s">
        <v>1276</v>
      </c>
    </row>
    <row r="2460" spans="1:2">
      <c r="A2460" s="2" t="s">
        <v>8124</v>
      </c>
      <c r="B2460" s="2" t="s">
        <v>1276</v>
      </c>
    </row>
    <row r="2461" spans="1:2">
      <c r="A2461" s="2" t="s">
        <v>8125</v>
      </c>
      <c r="B2461" s="2" t="s">
        <v>1276</v>
      </c>
    </row>
    <row r="2462" spans="1:2">
      <c r="A2462" s="2" t="s">
        <v>8126</v>
      </c>
      <c r="B2462" s="2" t="s">
        <v>1276</v>
      </c>
    </row>
    <row r="2463" spans="1:2">
      <c r="A2463" s="2" t="s">
        <v>8127</v>
      </c>
      <c r="B2463" s="2" t="s">
        <v>1276</v>
      </c>
    </row>
    <row r="2464" spans="1:2">
      <c r="A2464" s="2" t="s">
        <v>8128</v>
      </c>
      <c r="B2464" s="2" t="s">
        <v>1276</v>
      </c>
    </row>
    <row r="2465" spans="1:2">
      <c r="A2465" s="2" t="s">
        <v>8129</v>
      </c>
      <c r="B2465" s="2" t="s">
        <v>1276</v>
      </c>
    </row>
    <row r="2466" spans="1:2">
      <c r="A2466" s="2" t="s">
        <v>8130</v>
      </c>
      <c r="B2466" s="2" t="s">
        <v>1276</v>
      </c>
    </row>
    <row r="2467" spans="1:2">
      <c r="A2467" s="2" t="s">
        <v>8131</v>
      </c>
      <c r="B2467" s="2" t="s">
        <v>1276</v>
      </c>
    </row>
    <row r="2468" spans="1:2">
      <c r="A2468" s="2" t="s">
        <v>8132</v>
      </c>
      <c r="B2468" s="2" t="s">
        <v>1276</v>
      </c>
    </row>
    <row r="2469" spans="1:2">
      <c r="A2469" s="2" t="s">
        <v>8133</v>
      </c>
      <c r="B2469" s="2" t="s">
        <v>1276</v>
      </c>
    </row>
    <row r="2470" spans="1:2">
      <c r="A2470" s="2" t="s">
        <v>8134</v>
      </c>
      <c r="B2470" s="2" t="s">
        <v>1276</v>
      </c>
    </row>
    <row r="2471" spans="1:2">
      <c r="A2471" s="2" t="s">
        <v>8135</v>
      </c>
      <c r="B2471" s="2" t="s">
        <v>1276</v>
      </c>
    </row>
    <row r="2472" spans="1:2">
      <c r="A2472" s="2" t="s">
        <v>8136</v>
      </c>
      <c r="B2472" s="2" t="s">
        <v>1276</v>
      </c>
    </row>
    <row r="2473" spans="1:2">
      <c r="A2473" s="2" t="s">
        <v>8137</v>
      </c>
      <c r="B2473" s="2" t="s">
        <v>1276</v>
      </c>
    </row>
    <row r="2474" spans="1:2">
      <c r="A2474" s="2" t="s">
        <v>8138</v>
      </c>
      <c r="B2474" s="2" t="s">
        <v>1276</v>
      </c>
    </row>
    <row r="2475" spans="1:2">
      <c r="A2475" s="2" t="s">
        <v>8139</v>
      </c>
      <c r="B2475" s="2" t="s">
        <v>1276</v>
      </c>
    </row>
    <row r="2476" spans="1:2">
      <c r="A2476" s="2" t="s">
        <v>8140</v>
      </c>
      <c r="B2476" s="2" t="s">
        <v>1276</v>
      </c>
    </row>
    <row r="2477" spans="1:2">
      <c r="A2477" s="2" t="s">
        <v>8141</v>
      </c>
      <c r="B2477" s="2" t="s">
        <v>1276</v>
      </c>
    </row>
    <row r="2478" spans="1:2">
      <c r="A2478" s="2" t="s">
        <v>8142</v>
      </c>
      <c r="B2478" s="2" t="s">
        <v>1276</v>
      </c>
    </row>
    <row r="2479" spans="1:2">
      <c r="A2479" s="2" t="s">
        <v>8143</v>
      </c>
      <c r="B2479" s="2" t="s">
        <v>1276</v>
      </c>
    </row>
    <row r="2480" spans="1:2">
      <c r="A2480" s="2" t="s">
        <v>8144</v>
      </c>
      <c r="B2480" s="2" t="s">
        <v>1276</v>
      </c>
    </row>
    <row r="2481" spans="1:2">
      <c r="A2481" s="2" t="s">
        <v>8145</v>
      </c>
      <c r="B2481" s="2" t="s">
        <v>1276</v>
      </c>
    </row>
    <row r="2482" spans="1:2">
      <c r="A2482" s="2" t="s">
        <v>8146</v>
      </c>
      <c r="B2482" s="2" t="s">
        <v>1276</v>
      </c>
    </row>
    <row r="2483" spans="1:2">
      <c r="A2483" s="2" t="s">
        <v>8147</v>
      </c>
      <c r="B2483" s="2" t="s">
        <v>1276</v>
      </c>
    </row>
    <row r="2484" spans="1:2">
      <c r="A2484" s="2" t="s">
        <v>8148</v>
      </c>
      <c r="B2484" s="2" t="s">
        <v>1276</v>
      </c>
    </row>
    <row r="2485" spans="1:2">
      <c r="A2485" s="2" t="s">
        <v>8149</v>
      </c>
      <c r="B2485" s="2" t="s">
        <v>1276</v>
      </c>
    </row>
    <row r="2486" spans="1:2">
      <c r="A2486" s="2" t="s">
        <v>8150</v>
      </c>
      <c r="B2486" s="2" t="s">
        <v>1276</v>
      </c>
    </row>
    <row r="2487" spans="1:2">
      <c r="A2487" s="2" t="s">
        <v>4330</v>
      </c>
      <c r="B2487" s="2" t="s">
        <v>1276</v>
      </c>
    </row>
    <row r="2488" spans="1:2">
      <c r="A2488" s="2" t="s">
        <v>8151</v>
      </c>
      <c r="B2488" s="2" t="s">
        <v>1276</v>
      </c>
    </row>
    <row r="2489" spans="1:2">
      <c r="A2489" s="2" t="s">
        <v>4355</v>
      </c>
      <c r="B2489" s="2" t="s">
        <v>1276</v>
      </c>
    </row>
    <row r="2490" spans="1:2">
      <c r="A2490" s="2" t="s">
        <v>8152</v>
      </c>
      <c r="B2490" s="2" t="s">
        <v>1276</v>
      </c>
    </row>
    <row r="2491" spans="1:2">
      <c r="A2491" s="2" t="s">
        <v>8153</v>
      </c>
      <c r="B2491" s="2" t="s">
        <v>1276</v>
      </c>
    </row>
    <row r="2492" spans="1:2">
      <c r="A2492" s="2" t="s">
        <v>8154</v>
      </c>
      <c r="B2492" s="2" t="s">
        <v>1276</v>
      </c>
    </row>
    <row r="2493" spans="1:2">
      <c r="A2493" s="2" t="s">
        <v>8155</v>
      </c>
      <c r="B2493" s="2" t="s">
        <v>1276</v>
      </c>
    </row>
    <row r="2494" spans="1:2">
      <c r="A2494" s="2" t="s">
        <v>8156</v>
      </c>
      <c r="B2494" s="2" t="s">
        <v>1276</v>
      </c>
    </row>
    <row r="2495" spans="1:2">
      <c r="A2495" s="2" t="s">
        <v>8157</v>
      </c>
      <c r="B2495" s="2" t="s">
        <v>1276</v>
      </c>
    </row>
    <row r="2496" spans="1:2">
      <c r="A2496" s="2" t="s">
        <v>8158</v>
      </c>
      <c r="B2496" s="2" t="s">
        <v>1276</v>
      </c>
    </row>
    <row r="2497" spans="1:2">
      <c r="A2497" s="2" t="s">
        <v>8159</v>
      </c>
      <c r="B2497" s="2" t="s">
        <v>1276</v>
      </c>
    </row>
    <row r="2498" spans="1:2">
      <c r="A2498" s="2" t="s">
        <v>8160</v>
      </c>
      <c r="B2498" s="2" t="s">
        <v>1276</v>
      </c>
    </row>
    <row r="2499" spans="1:2">
      <c r="A2499" s="2" t="s">
        <v>8161</v>
      </c>
      <c r="B2499" s="2" t="s">
        <v>1276</v>
      </c>
    </row>
    <row r="2500" spans="1:2">
      <c r="A2500" s="2" t="s">
        <v>8162</v>
      </c>
      <c r="B2500" s="2" t="s">
        <v>1276</v>
      </c>
    </row>
    <row r="2501" spans="1:2">
      <c r="A2501" s="2" t="s">
        <v>8163</v>
      </c>
      <c r="B2501" s="2" t="s">
        <v>1276</v>
      </c>
    </row>
    <row r="2502" spans="1:2">
      <c r="A2502" s="2" t="s">
        <v>8164</v>
      </c>
      <c r="B2502" s="2" t="s">
        <v>1276</v>
      </c>
    </row>
    <row r="2503" spans="1:2">
      <c r="A2503" s="2" t="s">
        <v>8165</v>
      </c>
      <c r="B2503" s="2" t="s">
        <v>1276</v>
      </c>
    </row>
    <row r="2504" spans="1:2">
      <c r="A2504" s="2" t="s">
        <v>8166</v>
      </c>
      <c r="B2504" s="2" t="s">
        <v>1276</v>
      </c>
    </row>
    <row r="2505" spans="1:2">
      <c r="A2505" s="2" t="s">
        <v>8167</v>
      </c>
      <c r="B2505" s="2" t="s">
        <v>1276</v>
      </c>
    </row>
    <row r="2506" spans="1:2">
      <c r="A2506" s="2" t="s">
        <v>8168</v>
      </c>
      <c r="B2506" s="2" t="s">
        <v>1276</v>
      </c>
    </row>
    <row r="2507" spans="1:2">
      <c r="A2507" s="2" t="s">
        <v>8169</v>
      </c>
      <c r="B2507" s="2" t="s">
        <v>1276</v>
      </c>
    </row>
    <row r="2508" spans="1:2">
      <c r="A2508" s="2" t="s">
        <v>8170</v>
      </c>
      <c r="B2508" s="2" t="s">
        <v>1276</v>
      </c>
    </row>
    <row r="2509" spans="1:2">
      <c r="A2509" s="2" t="s">
        <v>4520</v>
      </c>
      <c r="B2509" s="2" t="s">
        <v>1276</v>
      </c>
    </row>
    <row r="2510" spans="1:2">
      <c r="A2510" s="2" t="s">
        <v>8171</v>
      </c>
      <c r="B2510" s="2" t="s">
        <v>1276</v>
      </c>
    </row>
    <row r="2511" spans="1:2">
      <c r="A2511" s="2" t="s">
        <v>8172</v>
      </c>
      <c r="B2511" s="2" t="s">
        <v>1276</v>
      </c>
    </row>
    <row r="2512" spans="1:2">
      <c r="A2512" s="2" t="s">
        <v>8173</v>
      </c>
      <c r="B2512" s="2" t="s">
        <v>1276</v>
      </c>
    </row>
    <row r="2513" spans="1:2">
      <c r="A2513" s="2" t="s">
        <v>8174</v>
      </c>
      <c r="B2513" s="2" t="s">
        <v>1276</v>
      </c>
    </row>
    <row r="2514" spans="1:2">
      <c r="A2514" s="2" t="s">
        <v>4557</v>
      </c>
      <c r="B2514" s="2" t="s">
        <v>1276</v>
      </c>
    </row>
    <row r="2515" spans="1:2">
      <c r="A2515" s="2" t="s">
        <v>8175</v>
      </c>
      <c r="B2515" s="2" t="s">
        <v>1276</v>
      </c>
    </row>
    <row r="2516" spans="1:2">
      <c r="A2516" s="2" t="s">
        <v>8176</v>
      </c>
      <c r="B2516" s="2" t="s">
        <v>1276</v>
      </c>
    </row>
    <row r="2517" spans="1:2">
      <c r="A2517" s="2" t="s">
        <v>8177</v>
      </c>
      <c r="B2517" s="2" t="s">
        <v>1276</v>
      </c>
    </row>
    <row r="2518" spans="1:2">
      <c r="A2518" s="2" t="s">
        <v>4566</v>
      </c>
      <c r="B2518" s="2" t="s">
        <v>1276</v>
      </c>
    </row>
    <row r="2519" spans="1:2">
      <c r="A2519" s="2" t="s">
        <v>8178</v>
      </c>
      <c r="B2519" s="2" t="s">
        <v>1276</v>
      </c>
    </row>
    <row r="2520" spans="1:2">
      <c r="A2520" s="2" t="s">
        <v>8179</v>
      </c>
      <c r="B2520" s="2" t="s">
        <v>1276</v>
      </c>
    </row>
    <row r="2521" spans="1:2">
      <c r="A2521" s="2" t="s">
        <v>8180</v>
      </c>
      <c r="B2521" s="2" t="s">
        <v>1276</v>
      </c>
    </row>
    <row r="2522" spans="1:2">
      <c r="A2522" s="2" t="s">
        <v>8181</v>
      </c>
      <c r="B2522" s="2" t="s">
        <v>1276</v>
      </c>
    </row>
    <row r="2523" spans="1:2">
      <c r="A2523" s="2" t="s">
        <v>8182</v>
      </c>
      <c r="B2523" s="2" t="s">
        <v>1276</v>
      </c>
    </row>
    <row r="2524" spans="1:2">
      <c r="A2524" s="2" t="s">
        <v>8183</v>
      </c>
      <c r="B2524" s="2" t="s">
        <v>1276</v>
      </c>
    </row>
    <row r="2525" spans="1:2">
      <c r="A2525" s="2" t="s">
        <v>8184</v>
      </c>
      <c r="B2525" s="2" t="s">
        <v>1276</v>
      </c>
    </row>
    <row r="2526" spans="1:2">
      <c r="A2526" s="2" t="s">
        <v>8185</v>
      </c>
      <c r="B2526" s="2" t="s">
        <v>1276</v>
      </c>
    </row>
    <row r="2527" spans="1:2">
      <c r="A2527" s="2" t="s">
        <v>8186</v>
      </c>
      <c r="B2527" s="2" t="s">
        <v>1276</v>
      </c>
    </row>
    <row r="2528" spans="1:2">
      <c r="A2528" s="2" t="s">
        <v>8187</v>
      </c>
      <c r="B2528" s="2" t="s">
        <v>1276</v>
      </c>
    </row>
    <row r="2529" spans="1:2">
      <c r="A2529" s="2" t="s">
        <v>8188</v>
      </c>
      <c r="B2529" s="2" t="s">
        <v>1276</v>
      </c>
    </row>
    <row r="2530" spans="1:2">
      <c r="A2530" s="2" t="s">
        <v>8189</v>
      </c>
      <c r="B2530" s="2" t="s">
        <v>1276</v>
      </c>
    </row>
    <row r="2531" spans="1:2">
      <c r="A2531" s="2" t="s">
        <v>8190</v>
      </c>
      <c r="B2531" s="2" t="s">
        <v>1276</v>
      </c>
    </row>
    <row r="2532" spans="1:2">
      <c r="A2532" s="2" t="s">
        <v>8191</v>
      </c>
      <c r="B2532" s="2" t="s">
        <v>1276</v>
      </c>
    </row>
    <row r="2533" spans="1:2">
      <c r="A2533" s="2" t="s">
        <v>8192</v>
      </c>
      <c r="B2533" s="2" t="s">
        <v>1276</v>
      </c>
    </row>
    <row r="2534" spans="1:2">
      <c r="A2534" s="2" t="s">
        <v>8193</v>
      </c>
      <c r="B2534" s="2" t="s">
        <v>1276</v>
      </c>
    </row>
    <row r="2535" spans="1:2">
      <c r="A2535" s="2" t="s">
        <v>8194</v>
      </c>
      <c r="B2535" s="2" t="s">
        <v>1276</v>
      </c>
    </row>
    <row r="2536" spans="1:2">
      <c r="A2536" s="2" t="s">
        <v>8195</v>
      </c>
      <c r="B2536" s="2" t="s">
        <v>1276</v>
      </c>
    </row>
    <row r="2537" spans="1:2">
      <c r="A2537" s="2" t="s">
        <v>4692</v>
      </c>
      <c r="B2537" s="2" t="s">
        <v>1276</v>
      </c>
    </row>
    <row r="2538" spans="1:2">
      <c r="A2538" s="2" t="s">
        <v>8196</v>
      </c>
      <c r="B2538" s="2" t="s">
        <v>1276</v>
      </c>
    </row>
    <row r="2539" spans="1:2">
      <c r="A2539" s="2" t="s">
        <v>8197</v>
      </c>
      <c r="B2539" s="2" t="s">
        <v>1276</v>
      </c>
    </row>
    <row r="2540" spans="1:2">
      <c r="A2540" s="2" t="s">
        <v>8198</v>
      </c>
      <c r="B2540" s="2" t="s">
        <v>1276</v>
      </c>
    </row>
    <row r="2541" spans="1:2">
      <c r="A2541" s="2" t="s">
        <v>8199</v>
      </c>
      <c r="B2541" s="2" t="s">
        <v>1276</v>
      </c>
    </row>
    <row r="2542" spans="1:2">
      <c r="A2542" s="2" t="s">
        <v>8200</v>
      </c>
      <c r="B2542" s="2" t="s">
        <v>1276</v>
      </c>
    </row>
    <row r="2543" spans="1:2">
      <c r="A2543" s="2" t="s">
        <v>4704</v>
      </c>
      <c r="B2543" s="2" t="s">
        <v>1276</v>
      </c>
    </row>
    <row r="2544" spans="1:2">
      <c r="A2544" s="2" t="s">
        <v>8201</v>
      </c>
      <c r="B2544" s="2" t="s">
        <v>1276</v>
      </c>
    </row>
    <row r="2545" spans="1:2">
      <c r="A2545" s="2" t="s">
        <v>8202</v>
      </c>
      <c r="B2545" s="2" t="s">
        <v>1276</v>
      </c>
    </row>
    <row r="2546" spans="1:2">
      <c r="A2546" s="2" t="s">
        <v>8203</v>
      </c>
      <c r="B2546" s="2" t="s">
        <v>1276</v>
      </c>
    </row>
    <row r="2547" spans="1:2">
      <c r="A2547" s="2" t="s">
        <v>8204</v>
      </c>
      <c r="B2547" s="2" t="s">
        <v>1276</v>
      </c>
    </row>
    <row r="2548" spans="1:2">
      <c r="A2548" s="2" t="s">
        <v>8205</v>
      </c>
      <c r="B2548" s="2" t="s">
        <v>1276</v>
      </c>
    </row>
    <row r="2549" spans="1:2">
      <c r="A2549" s="2" t="s">
        <v>4721</v>
      </c>
      <c r="B2549" s="2" t="s">
        <v>1276</v>
      </c>
    </row>
    <row r="2550" spans="1:2">
      <c r="A2550" s="2" t="s">
        <v>8206</v>
      </c>
      <c r="B2550" s="2" t="s">
        <v>1276</v>
      </c>
    </row>
    <row r="2551" spans="1:2">
      <c r="A2551" s="2" t="s">
        <v>8207</v>
      </c>
      <c r="B2551" s="2" t="s">
        <v>1276</v>
      </c>
    </row>
    <row r="2552" spans="1:2">
      <c r="A2552" s="2" t="s">
        <v>4787</v>
      </c>
      <c r="B2552" s="2" t="s">
        <v>1276</v>
      </c>
    </row>
    <row r="2553" spans="1:2">
      <c r="A2553" s="2" t="s">
        <v>8208</v>
      </c>
      <c r="B2553" s="2" t="s">
        <v>1276</v>
      </c>
    </row>
    <row r="2554" spans="1:2">
      <c r="A2554" s="2" t="s">
        <v>4791</v>
      </c>
      <c r="B2554" s="2" t="s">
        <v>1276</v>
      </c>
    </row>
    <row r="2555" spans="1:2">
      <c r="A2555" s="2" t="s">
        <v>8209</v>
      </c>
      <c r="B2555" s="2" t="s">
        <v>1276</v>
      </c>
    </row>
    <row r="2556" spans="1:2">
      <c r="A2556" s="2" t="s">
        <v>8210</v>
      </c>
      <c r="B2556" s="2" t="s">
        <v>1276</v>
      </c>
    </row>
    <row r="2557" spans="1:2">
      <c r="A2557" s="2" t="s">
        <v>8211</v>
      </c>
      <c r="B2557" s="2" t="s">
        <v>1276</v>
      </c>
    </row>
    <row r="2558" spans="1:2">
      <c r="A2558" s="2" t="s">
        <v>8212</v>
      </c>
      <c r="B2558" s="2" t="s">
        <v>1276</v>
      </c>
    </row>
    <row r="2559" spans="1:2">
      <c r="A2559" s="2" t="s">
        <v>8213</v>
      </c>
      <c r="B2559" s="2" t="s">
        <v>1276</v>
      </c>
    </row>
    <row r="2560" spans="1:2">
      <c r="A2560" s="2" t="s">
        <v>8214</v>
      </c>
      <c r="B2560" s="2" t="s">
        <v>1276</v>
      </c>
    </row>
    <row r="2561" spans="1:2">
      <c r="A2561" s="2" t="s">
        <v>8215</v>
      </c>
      <c r="B2561" s="2" t="s">
        <v>1276</v>
      </c>
    </row>
    <row r="2562" spans="1:2">
      <c r="A2562" s="2" t="s">
        <v>8216</v>
      </c>
      <c r="B2562" s="2" t="s">
        <v>1276</v>
      </c>
    </row>
    <row r="2563" spans="1:2">
      <c r="A2563" s="2" t="s">
        <v>8217</v>
      </c>
      <c r="B2563" s="2" t="s">
        <v>1276</v>
      </c>
    </row>
    <row r="2564" spans="1:2">
      <c r="A2564" s="2" t="s">
        <v>8218</v>
      </c>
      <c r="B2564" s="2" t="s">
        <v>1276</v>
      </c>
    </row>
    <row r="2565" spans="1:2">
      <c r="A2565" s="2" t="s">
        <v>8219</v>
      </c>
      <c r="B2565" s="2" t="s">
        <v>1276</v>
      </c>
    </row>
    <row r="2566" spans="1:2">
      <c r="A2566" s="2" t="s">
        <v>4866</v>
      </c>
      <c r="B2566" s="2" t="s">
        <v>1276</v>
      </c>
    </row>
    <row r="2567" spans="1:2">
      <c r="A2567" s="2" t="s">
        <v>8220</v>
      </c>
      <c r="B2567" s="2" t="s">
        <v>1276</v>
      </c>
    </row>
    <row r="2568" spans="1:2">
      <c r="A2568" s="2" t="s">
        <v>8221</v>
      </c>
      <c r="B2568" s="2" t="s">
        <v>1276</v>
      </c>
    </row>
    <row r="2569" spans="1:2">
      <c r="A2569" s="2" t="s">
        <v>8222</v>
      </c>
      <c r="B2569" s="2" t="s">
        <v>1276</v>
      </c>
    </row>
    <row r="2570" spans="1:2">
      <c r="A2570" s="2" t="s">
        <v>8223</v>
      </c>
      <c r="B2570" s="2" t="s">
        <v>1276</v>
      </c>
    </row>
    <row r="2571" spans="1:2">
      <c r="A2571" s="2" t="s">
        <v>8224</v>
      </c>
      <c r="B2571" s="2" t="s">
        <v>1276</v>
      </c>
    </row>
    <row r="2572" spans="1:2">
      <c r="A2572" s="2" t="s">
        <v>8225</v>
      </c>
      <c r="B2572" s="2" t="s">
        <v>1276</v>
      </c>
    </row>
    <row r="2573" spans="1:2">
      <c r="A2573" s="2" t="s">
        <v>8226</v>
      </c>
      <c r="B2573" s="2" t="s">
        <v>1276</v>
      </c>
    </row>
    <row r="2574" spans="1:2">
      <c r="A2574" s="2" t="s">
        <v>8227</v>
      </c>
      <c r="B2574" s="2" t="s">
        <v>1276</v>
      </c>
    </row>
    <row r="2575" spans="1:2">
      <c r="A2575" s="2" t="s">
        <v>8228</v>
      </c>
      <c r="B2575" s="2" t="s">
        <v>1276</v>
      </c>
    </row>
    <row r="2576" spans="1:2">
      <c r="A2576" s="2" t="s">
        <v>4947</v>
      </c>
      <c r="B2576" s="2" t="s">
        <v>1276</v>
      </c>
    </row>
    <row r="2577" spans="1:2">
      <c r="A2577" s="2" t="s">
        <v>6202</v>
      </c>
      <c r="B2577" s="2" t="s">
        <v>1276</v>
      </c>
    </row>
    <row r="2578" spans="1:2">
      <c r="A2578" s="2" t="s">
        <v>8229</v>
      </c>
      <c r="B2578" s="2" t="s">
        <v>1276</v>
      </c>
    </row>
    <row r="2579" spans="1:2">
      <c r="A2579" s="2" t="s">
        <v>8230</v>
      </c>
      <c r="B2579" s="2" t="s">
        <v>1276</v>
      </c>
    </row>
    <row r="2580" spans="1:2">
      <c r="A2580" s="2" t="s">
        <v>8231</v>
      </c>
      <c r="B2580" s="2" t="s">
        <v>1276</v>
      </c>
    </row>
    <row r="2581" spans="1:2">
      <c r="A2581" s="2" t="s">
        <v>4967</v>
      </c>
      <c r="B2581" s="2" t="s">
        <v>1276</v>
      </c>
    </row>
    <row r="2582" spans="1:2">
      <c r="A2582" s="2" t="s">
        <v>8232</v>
      </c>
      <c r="B2582" s="2" t="s">
        <v>1276</v>
      </c>
    </row>
    <row r="2583" spans="1:2">
      <c r="A2583" s="2" t="s">
        <v>4973</v>
      </c>
      <c r="B2583" s="2" t="s">
        <v>1276</v>
      </c>
    </row>
    <row r="2584" spans="1:2">
      <c r="A2584" s="2" t="s">
        <v>8233</v>
      </c>
      <c r="B2584" s="2" t="s">
        <v>1276</v>
      </c>
    </row>
    <row r="2585" spans="1:2">
      <c r="A2585" s="2" t="s">
        <v>4983</v>
      </c>
      <c r="B2585" s="2" t="s">
        <v>1276</v>
      </c>
    </row>
    <row r="2586" spans="1:2">
      <c r="A2586" s="2" t="s">
        <v>8234</v>
      </c>
      <c r="B2586" s="2" t="s">
        <v>1276</v>
      </c>
    </row>
    <row r="2587" spans="1:2">
      <c r="A2587" s="2" t="s">
        <v>8235</v>
      </c>
      <c r="B2587" s="2" t="s">
        <v>1276</v>
      </c>
    </row>
    <row r="2588" spans="1:2">
      <c r="A2588" s="2" t="s">
        <v>8236</v>
      </c>
      <c r="B2588" s="2" t="s">
        <v>1276</v>
      </c>
    </row>
    <row r="2589" spans="1:2">
      <c r="A2589" s="2" t="s">
        <v>8237</v>
      </c>
      <c r="B2589" s="2" t="s">
        <v>1276</v>
      </c>
    </row>
    <row r="2590" spans="1:2">
      <c r="A2590" s="2" t="s">
        <v>8238</v>
      </c>
      <c r="B2590" s="2" t="s">
        <v>1276</v>
      </c>
    </row>
    <row r="2591" spans="1:2">
      <c r="A2591" s="2" t="s">
        <v>8239</v>
      </c>
      <c r="B2591" s="2" t="s">
        <v>1276</v>
      </c>
    </row>
    <row r="2592" spans="1:2">
      <c r="A2592" s="2" t="s">
        <v>8240</v>
      </c>
      <c r="B2592" s="2" t="s">
        <v>1276</v>
      </c>
    </row>
    <row r="2593" spans="1:2">
      <c r="A2593" s="2" t="s">
        <v>8241</v>
      </c>
      <c r="B2593" s="2" t="s">
        <v>1276</v>
      </c>
    </row>
    <row r="2594" spans="1:2">
      <c r="A2594" s="2" t="s">
        <v>8242</v>
      </c>
      <c r="B2594" s="2" t="s">
        <v>1276</v>
      </c>
    </row>
    <row r="2595" spans="1:2">
      <c r="A2595" s="2" t="s">
        <v>4705</v>
      </c>
      <c r="B2595" s="2" t="s">
        <v>1276</v>
      </c>
    </row>
    <row r="2596" spans="1:2">
      <c r="A2596" s="2" t="s">
        <v>8243</v>
      </c>
      <c r="B2596" s="2" t="s">
        <v>1276</v>
      </c>
    </row>
    <row r="2597" spans="1:2">
      <c r="A2597" s="2" t="s">
        <v>8244</v>
      </c>
      <c r="B2597" s="2" t="s">
        <v>1276</v>
      </c>
    </row>
    <row r="2598" spans="1:2">
      <c r="A2598" s="2" t="s">
        <v>8245</v>
      </c>
      <c r="B2598" s="2" t="s">
        <v>1276</v>
      </c>
    </row>
    <row r="2599" spans="1:2">
      <c r="A2599" s="2" t="s">
        <v>8246</v>
      </c>
      <c r="B2599" s="2" t="s">
        <v>1276</v>
      </c>
    </row>
    <row r="2600" spans="1:2">
      <c r="A2600" s="2" t="s">
        <v>8247</v>
      </c>
      <c r="B2600" s="2" t="s">
        <v>1276</v>
      </c>
    </row>
    <row r="2601" spans="1:2">
      <c r="A2601" s="2" t="s">
        <v>8248</v>
      </c>
      <c r="B2601" s="2" t="s">
        <v>1276</v>
      </c>
    </row>
    <row r="2602" spans="1:2">
      <c r="A2602" s="2" t="s">
        <v>8249</v>
      </c>
      <c r="B2602" s="2" t="s">
        <v>1276</v>
      </c>
    </row>
    <row r="2603" spans="1:2">
      <c r="A2603" s="2" t="s">
        <v>8250</v>
      </c>
      <c r="B2603" s="2" t="s">
        <v>1276</v>
      </c>
    </row>
    <row r="2604" spans="1:2">
      <c r="A2604" s="2" t="s">
        <v>8251</v>
      </c>
      <c r="B2604" s="2" t="s">
        <v>1276</v>
      </c>
    </row>
    <row r="2605" spans="1:2">
      <c r="A2605" s="2" t="s">
        <v>8252</v>
      </c>
      <c r="B2605" s="2" t="s">
        <v>1276</v>
      </c>
    </row>
    <row r="2606" spans="1:2">
      <c r="A2606" s="2" t="s">
        <v>8253</v>
      </c>
      <c r="B2606" s="2" t="s">
        <v>1276</v>
      </c>
    </row>
    <row r="2607" spans="1:2">
      <c r="A2607" s="2" t="s">
        <v>8254</v>
      </c>
      <c r="B2607" s="2" t="s">
        <v>1276</v>
      </c>
    </row>
    <row r="2608" spans="1:2">
      <c r="A2608" s="2" t="s">
        <v>8255</v>
      </c>
      <c r="B2608" s="2" t="s">
        <v>1276</v>
      </c>
    </row>
    <row r="2609" spans="1:2">
      <c r="A2609" s="2" t="s">
        <v>8256</v>
      </c>
      <c r="B2609" s="2" t="s">
        <v>1276</v>
      </c>
    </row>
    <row r="2610" spans="1:2">
      <c r="A2610" s="2" t="s">
        <v>8257</v>
      </c>
      <c r="B2610" s="2" t="s">
        <v>1276</v>
      </c>
    </row>
    <row r="2611" spans="1:2">
      <c r="A2611" s="2" t="s">
        <v>8258</v>
      </c>
      <c r="B2611" s="2" t="s">
        <v>1276</v>
      </c>
    </row>
    <row r="2612" spans="1:2">
      <c r="A2612" s="2" t="s">
        <v>8259</v>
      </c>
      <c r="B2612" s="2" t="s">
        <v>1276</v>
      </c>
    </row>
    <row r="2613" spans="1:2">
      <c r="A2613" s="2" t="s">
        <v>8260</v>
      </c>
      <c r="B2613" s="2" t="s">
        <v>1276</v>
      </c>
    </row>
    <row r="2614" spans="1:2">
      <c r="A2614" s="2" t="s">
        <v>8261</v>
      </c>
      <c r="B2614" s="2" t="s">
        <v>1276</v>
      </c>
    </row>
    <row r="2615" spans="1:2">
      <c r="A2615" s="2" t="s">
        <v>8262</v>
      </c>
      <c r="B2615" s="2" t="s">
        <v>1276</v>
      </c>
    </row>
    <row r="2616" spans="1:2">
      <c r="A2616" s="2" t="s">
        <v>8263</v>
      </c>
      <c r="B2616" s="2" t="s">
        <v>1276</v>
      </c>
    </row>
    <row r="2617" spans="1:2">
      <c r="A2617" s="2" t="s">
        <v>8264</v>
      </c>
      <c r="B2617" s="2" t="s">
        <v>1276</v>
      </c>
    </row>
    <row r="2618" spans="1:2">
      <c r="A2618" s="2" t="s">
        <v>8265</v>
      </c>
      <c r="B2618" s="2" t="s">
        <v>1276</v>
      </c>
    </row>
    <row r="2619" spans="1:2">
      <c r="A2619" s="2" t="s">
        <v>4949</v>
      </c>
      <c r="B2619" s="2" t="s">
        <v>8266</v>
      </c>
    </row>
    <row r="2620" spans="1:2">
      <c r="A2620" s="2" t="s">
        <v>6255</v>
      </c>
      <c r="B2620" s="2" t="s">
        <v>503</v>
      </c>
    </row>
    <row r="2621" spans="1:2">
      <c r="A2621" s="2" t="s">
        <v>4998</v>
      </c>
      <c r="B2621" s="2" t="s">
        <v>503</v>
      </c>
    </row>
    <row r="2622" spans="1:2">
      <c r="A2622" s="2" t="s">
        <v>5537</v>
      </c>
      <c r="B2622" s="2" t="s">
        <v>503</v>
      </c>
    </row>
    <row r="2623" spans="1:2">
      <c r="A2623" s="2" t="s">
        <v>6602</v>
      </c>
      <c r="B2623" s="2" t="s">
        <v>503</v>
      </c>
    </row>
    <row r="2624" spans="1:2">
      <c r="A2624" s="2" t="s">
        <v>5719</v>
      </c>
      <c r="B2624" s="2" t="s">
        <v>503</v>
      </c>
    </row>
    <row r="2625" spans="1:2">
      <c r="A2625" s="2" t="s">
        <v>6730</v>
      </c>
      <c r="B2625" s="2" t="s">
        <v>503</v>
      </c>
    </row>
    <row r="2626" spans="1:2">
      <c r="A2626" s="2" t="s">
        <v>4595</v>
      </c>
      <c r="B2626" s="2" t="s">
        <v>503</v>
      </c>
    </row>
    <row r="2627" spans="1:2">
      <c r="A2627" s="2" t="s">
        <v>5834</v>
      </c>
      <c r="B2627" s="2" t="s">
        <v>503</v>
      </c>
    </row>
    <row r="2628" spans="1:2">
      <c r="A2628" s="2" t="s">
        <v>5836</v>
      </c>
      <c r="B2628" s="2" t="s">
        <v>503</v>
      </c>
    </row>
    <row r="2629" spans="1:2">
      <c r="A2629" s="2" t="s">
        <v>6816</v>
      </c>
      <c r="B2629" s="2" t="s">
        <v>503</v>
      </c>
    </row>
    <row r="2630" spans="1:2">
      <c r="A2630" s="2" t="s">
        <v>5188</v>
      </c>
      <c r="B2630" t="s">
        <v>1669</v>
      </c>
    </row>
    <row r="2631" spans="1:2">
      <c r="A2631" s="2" t="s">
        <v>6392</v>
      </c>
      <c r="B2631" t="s">
        <v>1669</v>
      </c>
    </row>
    <row r="2632" spans="1:2">
      <c r="A2632" s="2" t="s">
        <v>5190</v>
      </c>
      <c r="B2632" t="s">
        <v>1669</v>
      </c>
    </row>
    <row r="2633" spans="1:2">
      <c r="A2633" s="2" t="s">
        <v>4968</v>
      </c>
      <c r="B2633" t="s">
        <v>1669</v>
      </c>
    </row>
    <row r="2634" spans="1:2">
      <c r="A2634" s="2" t="s">
        <v>7298</v>
      </c>
      <c r="B2634" t="s">
        <v>1669</v>
      </c>
    </row>
    <row r="2635" spans="1:2">
      <c r="A2635" s="2" t="s">
        <v>5087</v>
      </c>
      <c r="B2635" s="2" t="s">
        <v>103</v>
      </c>
    </row>
    <row r="2636" spans="1:2">
      <c r="A2636" s="2" t="s">
        <v>5426</v>
      </c>
      <c r="B2636" s="2" t="s">
        <v>103</v>
      </c>
    </row>
    <row r="2637" spans="1:2">
      <c r="A2637" s="2" t="s">
        <v>5428</v>
      </c>
      <c r="B2637" s="2" t="s">
        <v>103</v>
      </c>
    </row>
    <row r="2638" spans="1:2">
      <c r="A2638" s="2" t="s">
        <v>5429</v>
      </c>
      <c r="B2638" s="2" t="s">
        <v>103</v>
      </c>
    </row>
    <row r="2639" spans="1:2">
      <c r="A2639" s="2" t="s">
        <v>5430</v>
      </c>
      <c r="B2639" s="2" t="s">
        <v>103</v>
      </c>
    </row>
    <row r="2640" spans="1:2">
      <c r="A2640" s="2" t="s">
        <v>8267</v>
      </c>
      <c r="B2640" s="2" t="s">
        <v>103</v>
      </c>
    </row>
    <row r="2641" spans="1:2">
      <c r="A2641" s="2" t="s">
        <v>4609</v>
      </c>
      <c r="B2641" s="2" t="s">
        <v>103</v>
      </c>
    </row>
    <row r="2642" spans="1:2">
      <c r="A2642" s="2" t="s">
        <v>5778</v>
      </c>
      <c r="B2642" s="2" t="s">
        <v>103</v>
      </c>
    </row>
    <row r="2643" spans="1:2">
      <c r="A2643" s="2" t="s">
        <v>5779</v>
      </c>
      <c r="B2643" s="2" t="s">
        <v>103</v>
      </c>
    </row>
    <row r="2644" spans="1:2">
      <c r="A2644" s="2" t="s">
        <v>5781</v>
      </c>
      <c r="B2644" s="2" t="s">
        <v>103</v>
      </c>
    </row>
    <row r="2645" spans="1:2">
      <c r="A2645" s="2" t="s">
        <v>5783</v>
      </c>
      <c r="B2645" s="2" t="s">
        <v>103</v>
      </c>
    </row>
    <row r="2646" spans="1:2">
      <c r="A2646" s="2" t="s">
        <v>6782</v>
      </c>
      <c r="B2646" s="2" t="s">
        <v>103</v>
      </c>
    </row>
    <row r="2647" spans="1:2">
      <c r="A2647" s="2" t="s">
        <v>4611</v>
      </c>
      <c r="B2647" s="2" t="s">
        <v>103</v>
      </c>
    </row>
    <row r="2648" spans="1:2">
      <c r="A2648" s="2" t="s">
        <v>6786</v>
      </c>
      <c r="B2648" s="2" t="s">
        <v>103</v>
      </c>
    </row>
    <row r="2649" spans="1:2">
      <c r="A2649" s="2" t="s">
        <v>6790</v>
      </c>
      <c r="B2649" s="2" t="s">
        <v>103</v>
      </c>
    </row>
    <row r="2650" spans="1:2">
      <c r="A2650" s="2" t="s">
        <v>6793</v>
      </c>
      <c r="B2650" s="2" t="s">
        <v>103</v>
      </c>
    </row>
    <row r="2651" spans="1:2">
      <c r="A2651" s="2" t="s">
        <v>5797</v>
      </c>
      <c r="B2651" s="2" t="s">
        <v>103</v>
      </c>
    </row>
    <row r="2652" spans="1:2">
      <c r="A2652" s="2" t="s">
        <v>5799</v>
      </c>
      <c r="B2652" s="2" t="s">
        <v>103</v>
      </c>
    </row>
    <row r="2653" spans="1:2">
      <c r="A2653" s="2" t="s">
        <v>5800</v>
      </c>
      <c r="B2653" s="2" t="s">
        <v>103</v>
      </c>
    </row>
    <row r="2654" spans="1:2">
      <c r="A2654" s="2" t="s">
        <v>5801</v>
      </c>
      <c r="B2654" s="2" t="s">
        <v>103</v>
      </c>
    </row>
    <row r="2655" spans="1:2">
      <c r="A2655" s="2" t="s">
        <v>8268</v>
      </c>
      <c r="B2655" s="2" t="s">
        <v>103</v>
      </c>
    </row>
    <row r="2656" spans="1:2">
      <c r="A2656" s="2" t="s">
        <v>5812</v>
      </c>
      <c r="B2656" s="2" t="s">
        <v>103</v>
      </c>
    </row>
    <row r="2657" spans="1:2">
      <c r="A2657" s="2" t="s">
        <v>5890</v>
      </c>
      <c r="B2657" s="2" t="s">
        <v>103</v>
      </c>
    </row>
    <row r="2658" spans="1:2">
      <c r="A2658" s="2" t="s">
        <v>6162</v>
      </c>
      <c r="B2658" s="2" t="s">
        <v>103</v>
      </c>
    </row>
    <row r="2659" spans="1:2">
      <c r="A2659" s="2" t="s">
        <v>8269</v>
      </c>
      <c r="B2659" s="2" t="s">
        <v>103</v>
      </c>
    </row>
    <row r="2660" spans="1:2">
      <c r="A2660" s="2" t="s">
        <v>4979</v>
      </c>
      <c r="B2660" s="2" t="s">
        <v>103</v>
      </c>
    </row>
    <row r="2661" spans="1:2">
      <c r="A2661" s="2" t="s">
        <v>4981</v>
      </c>
      <c r="B2661" s="2" t="s">
        <v>103</v>
      </c>
    </row>
    <row r="2662" spans="1:2">
      <c r="A2662" s="2" t="s">
        <v>5089</v>
      </c>
      <c r="B2662" s="2" t="s">
        <v>6740</v>
      </c>
    </row>
    <row r="2663" spans="1:2">
      <c r="A2663" s="2" t="s">
        <v>5186</v>
      </c>
      <c r="B2663" s="2" t="s">
        <v>6740</v>
      </c>
    </row>
    <row r="2664" spans="1:2">
      <c r="A2664" s="2" t="s">
        <v>5446</v>
      </c>
      <c r="B2664" s="2" t="s">
        <v>6740</v>
      </c>
    </row>
    <row r="2665" spans="1:2">
      <c r="A2665" s="2" t="s">
        <v>5448</v>
      </c>
      <c r="B2665" s="2" t="s">
        <v>6740</v>
      </c>
    </row>
    <row r="2666" spans="1:2">
      <c r="A2666" s="2" t="s">
        <v>5449</v>
      </c>
      <c r="B2666" s="2" t="s">
        <v>6740</v>
      </c>
    </row>
    <row r="2667" spans="1:2">
      <c r="A2667" s="2" t="s">
        <v>5500</v>
      </c>
      <c r="B2667" s="2" t="s">
        <v>6740</v>
      </c>
    </row>
    <row r="2668" spans="1:2">
      <c r="A2668" s="2" t="s">
        <v>5502</v>
      </c>
      <c r="B2668" s="2" t="s">
        <v>6740</v>
      </c>
    </row>
    <row r="2669" spans="1:2">
      <c r="A2669" s="2" t="s">
        <v>5503</v>
      </c>
      <c r="B2669" s="2" t="s">
        <v>6740</v>
      </c>
    </row>
    <row r="2670" spans="1:2">
      <c r="A2670" s="2" t="s">
        <v>5721</v>
      </c>
      <c r="B2670" s="2" t="s">
        <v>6740</v>
      </c>
    </row>
    <row r="2671" spans="1:2">
      <c r="A2671" s="2" t="s">
        <v>2450</v>
      </c>
      <c r="B2671" s="2" t="s">
        <v>6740</v>
      </c>
    </row>
    <row r="2672" spans="1:2">
      <c r="A2672" s="2" t="s">
        <v>5729</v>
      </c>
      <c r="B2672" s="2" t="s">
        <v>6740</v>
      </c>
    </row>
    <row r="2673" spans="1:2">
      <c r="A2673" s="2" t="s">
        <v>5731</v>
      </c>
      <c r="B2673" s="2" t="s">
        <v>6740</v>
      </c>
    </row>
    <row r="2674" spans="1:2">
      <c r="A2674" s="2" t="s">
        <v>5733</v>
      </c>
      <c r="B2674" s="2" t="s">
        <v>6740</v>
      </c>
    </row>
    <row r="2675" spans="1:2">
      <c r="A2675" s="2" t="s">
        <v>5795</v>
      </c>
      <c r="B2675" s="2" t="s">
        <v>6740</v>
      </c>
    </row>
    <row r="2676" spans="1:2">
      <c r="A2676" s="2" t="s">
        <v>5845</v>
      </c>
      <c r="B2676" s="2" t="s">
        <v>6740</v>
      </c>
    </row>
    <row r="2677" spans="1:2">
      <c r="A2677" s="2" t="s">
        <v>5847</v>
      </c>
      <c r="B2677" s="2" t="s">
        <v>6740</v>
      </c>
    </row>
    <row r="2678" spans="1:2">
      <c r="A2678" s="2" t="s">
        <v>5851</v>
      </c>
      <c r="B2678" s="2" t="s">
        <v>6740</v>
      </c>
    </row>
    <row r="2679" spans="1:2">
      <c r="A2679" s="2" t="s">
        <v>5871</v>
      </c>
      <c r="B2679" s="2" t="s">
        <v>6740</v>
      </c>
    </row>
    <row r="2680" spans="1:2">
      <c r="A2680" s="2" t="s">
        <v>5873</v>
      </c>
      <c r="B2680" s="2" t="s">
        <v>6740</v>
      </c>
    </row>
    <row r="2681" spans="1:2">
      <c r="A2681" s="2" t="s">
        <v>5883</v>
      </c>
      <c r="B2681" s="2" t="s">
        <v>6740</v>
      </c>
    </row>
    <row r="2682" spans="1:2">
      <c r="A2682" s="2" t="s">
        <v>5885</v>
      </c>
      <c r="B2682" s="2" t="s">
        <v>6740</v>
      </c>
    </row>
    <row r="2683" spans="1:2">
      <c r="A2683" s="2" t="s">
        <v>8270</v>
      </c>
      <c r="B2683" s="2" t="s">
        <v>6740</v>
      </c>
    </row>
    <row r="2684" spans="1:2">
      <c r="A2684" s="2" t="s">
        <v>8271</v>
      </c>
      <c r="B2684" s="2" t="s">
        <v>6740</v>
      </c>
    </row>
    <row r="2685" spans="1:2">
      <c r="A2685" s="2" t="s">
        <v>5887</v>
      </c>
      <c r="B2685" s="2" t="s">
        <v>6740</v>
      </c>
    </row>
    <row r="2686" spans="1:2">
      <c r="A2686" s="2" t="s">
        <v>5888</v>
      </c>
      <c r="B2686" s="2" t="s">
        <v>6740</v>
      </c>
    </row>
    <row r="2687" spans="1:2">
      <c r="A2687" s="2" t="s">
        <v>5889</v>
      </c>
      <c r="B2687" s="2" t="s">
        <v>6740</v>
      </c>
    </row>
    <row r="2688" spans="1:2">
      <c r="A2688" s="2" t="s">
        <v>5947</v>
      </c>
      <c r="B2688" s="2" t="s">
        <v>6740</v>
      </c>
    </row>
    <row r="2689" spans="1:2">
      <c r="A2689" s="2" t="s">
        <v>8272</v>
      </c>
      <c r="B2689" s="2" t="s">
        <v>6740</v>
      </c>
    </row>
    <row r="2690" spans="1:2">
      <c r="A2690" s="2" t="s">
        <v>5311</v>
      </c>
      <c r="B2690" s="2" t="s">
        <v>6740</v>
      </c>
    </row>
    <row r="2691" spans="1:2">
      <c r="A2691" s="2" t="s">
        <v>5313</v>
      </c>
      <c r="B2691" s="2" t="s">
        <v>6740</v>
      </c>
    </row>
    <row r="2692" spans="1:2">
      <c r="A2692" s="2" t="s">
        <v>5314</v>
      </c>
      <c r="B2692" s="2" t="s">
        <v>6740</v>
      </c>
    </row>
    <row r="2693" spans="1:2">
      <c r="A2693" s="2" t="s">
        <v>5316</v>
      </c>
      <c r="B2693" s="2" t="s">
        <v>6740</v>
      </c>
    </row>
    <row r="2694" spans="1:2">
      <c r="A2694" s="2" t="s">
        <v>5318</v>
      </c>
      <c r="B2694" s="2" t="s">
        <v>6740</v>
      </c>
    </row>
    <row r="2695" spans="1:2">
      <c r="A2695" s="2" t="s">
        <v>2513</v>
      </c>
      <c r="B2695" s="2" t="s">
        <v>3289</v>
      </c>
    </row>
    <row r="2696" spans="1:2">
      <c r="A2696" s="2" t="s">
        <v>5984</v>
      </c>
      <c r="B2696" s="2" t="s">
        <v>3289</v>
      </c>
    </row>
    <row r="2697" spans="1:2">
      <c r="A2697" s="2" t="s">
        <v>4736</v>
      </c>
      <c r="B2697" s="2" t="s">
        <v>3289</v>
      </c>
    </row>
    <row r="2698" spans="1:2">
      <c r="A2698" s="2" t="s">
        <v>6072</v>
      </c>
      <c r="B2698" s="2" t="s">
        <v>3289</v>
      </c>
    </row>
    <row r="2699" spans="1:2">
      <c r="A2699" s="2" t="s">
        <v>4837</v>
      </c>
      <c r="B2699" s="2" t="s">
        <v>3289</v>
      </c>
    </row>
    <row r="2700" spans="1:2">
      <c r="A2700" s="2" t="s">
        <v>3284</v>
      </c>
      <c r="B2700" s="2" t="s">
        <v>3289</v>
      </c>
    </row>
    <row r="2701" spans="1:2">
      <c r="A2701" s="2" t="s">
        <v>4839</v>
      </c>
      <c r="B2701" s="2" t="s">
        <v>3289</v>
      </c>
    </row>
    <row r="2702" spans="1:2">
      <c r="A2702" s="2" t="s">
        <v>3293</v>
      </c>
      <c r="B2702" s="2" t="s">
        <v>3289</v>
      </c>
    </row>
    <row r="2703" spans="1:2">
      <c r="A2703" s="2" t="s">
        <v>4840</v>
      </c>
      <c r="B2703" s="2" t="s">
        <v>3289</v>
      </c>
    </row>
    <row r="2704" spans="1:2">
      <c r="A2704" s="2" t="s">
        <v>6074</v>
      </c>
      <c r="B2704" s="2" t="s">
        <v>3289</v>
      </c>
    </row>
    <row r="2705" spans="1:2">
      <c r="A2705" s="2" t="s">
        <v>6076</v>
      </c>
      <c r="B2705" s="2" t="s">
        <v>3289</v>
      </c>
    </row>
    <row r="2706" spans="1:2">
      <c r="A2706" s="2" t="s">
        <v>6077</v>
      </c>
      <c r="B2706" s="2" t="s">
        <v>3289</v>
      </c>
    </row>
    <row r="2707" spans="1:2">
      <c r="A2707" s="2" t="s">
        <v>4841</v>
      </c>
      <c r="B2707" s="2" t="s">
        <v>3289</v>
      </c>
    </row>
    <row r="2708" spans="1:2">
      <c r="A2708" s="2" t="s">
        <v>6079</v>
      </c>
      <c r="B2708" s="2" t="s">
        <v>3289</v>
      </c>
    </row>
  </sheetData>
  <autoFilter xmlns:etc="http://www.wps.cn/officeDocument/2017/etCustomData" ref="A1:B2708" etc:filterBottomFollowUsedRange="0">
    <sortState ref="A1:B2708">
      <sortCondition ref="B1"/>
    </sortState>
    <extLst/>
  </autoFilter>
  <hyperlinks>
    <hyperlink ref="B1194" r:id="rId1" display="N-Glycan biosynthesis" tooltip="https://www.kegg.jp/pathway/map00510"/>
    <hyperlink ref="B1195" r:id="rId1" display="N-Glycan biosynthesis" tooltip="https://www.kegg.jp/pathway/map00510"/>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RXNS</vt:lpstr>
      <vt:lpstr>updated_grRules</vt:lpstr>
      <vt:lpstr>updated_MetNames</vt:lpstr>
      <vt:lpstr>updated_RxnECs</vt:lpstr>
      <vt:lpstr>new_Reactions2</vt:lpstr>
      <vt:lpstr>subSystem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AJJ</dc:creator>
  <cp:lastModifiedBy>Yuke</cp:lastModifiedBy>
  <dcterms:created xsi:type="dcterms:W3CDTF">2023-05-12T11:15:00Z</dcterms:created>
  <dcterms:modified xsi:type="dcterms:W3CDTF">2026-06-24T05:23:29Z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2052-12.1.0.22089</vt:lpwstr>
  </property>
  <property fmtid="{D5CDD505-2E9C-101B-9397-08002B2CF9AE}" pid="3" name="ICV">
    <vt:lpwstr>3AE89CF625BD403ABDDE2C390BF5E38F_13</vt:lpwstr>
  </property>
  <property fmtid="{D5CDD505-2E9C-101B-9397-08002B2CF9AE}" pid="4" name="CalculationRule">
    <vt:i4>0</vt:i4>
  </property>
</Properties>
</file>